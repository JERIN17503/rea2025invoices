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eaac\OneDrive\Desktop\01. Sreeraj\"/>
    </mc:Choice>
  </mc:AlternateContent>
  <xr:revisionPtr revIDLastSave="0" documentId="13_ncr:1_{B3BE7B7C-DC20-4BAF-AC60-4C46DB12CF37}" xr6:coauthVersionLast="47" xr6:coauthVersionMax="47" xr10:uidLastSave="{00000000-0000-0000-0000-000000000000}"/>
  <bookViews>
    <workbookView xWindow="-120" yWindow="-120" windowWidth="29040" windowHeight="15720" tabRatio="598" firstSheet="2" activeTab="6" xr2:uid="{4E0BB0BC-0845-4D4D-B141-2343A93DDB1E}"/>
  </bookViews>
  <sheets>
    <sheet name="Reena" sheetId="22" state="hidden" r:id="rId1"/>
    <sheet name="Summary REA Adv - AR- 25 Mar24" sheetId="18" state="hidden" r:id="rId2"/>
    <sheet name="For Pivot" sheetId="48" r:id="rId3"/>
    <sheet name="calc" sheetId="44" state="hidden" r:id="rId4"/>
    <sheet name="Summary REA Adv" sheetId="28" r:id="rId5"/>
    <sheet name="Sheet2" sheetId="30" state="hidden" r:id="rId6"/>
    <sheet name="REA Adv - Invoices" sheetId="1" r:id="rId7"/>
    <sheet name="Summary REA Ins" sheetId="16" state="hidden" r:id="rId8"/>
    <sheet name="2024-curated" sheetId="36" r:id="rId9"/>
    <sheet name="2024" sheetId="47" r:id="rId10"/>
    <sheet name="COMP" sheetId="37" r:id="rId11"/>
    <sheet name="REA Ins - Inv" sheetId="2" state="hidden" r:id="rId12"/>
  </sheets>
  <definedNames>
    <definedName name="_xlnm._FilterDatabase" localSheetId="3" hidden="1">calc!$B$2:$P$412</definedName>
    <definedName name="_xlnm._FilterDatabase" localSheetId="2" hidden="1">'For Pivot'!$A$2:$Q$468</definedName>
    <definedName name="_xlnm._FilterDatabase" localSheetId="6" hidden="1">'REA Adv - Invoices'!$B$2:$L$844</definedName>
    <definedName name="_xlnm._FilterDatabase" localSheetId="11" hidden="1">'REA Ins - Inv'!$B$2:$L$23</definedName>
    <definedName name="_xlnm._FilterDatabase" localSheetId="0" hidden="1">Reena!$A$1:$O$190</definedName>
    <definedName name="_xlcn.WorksheetConnection_InvoiceMasterlist2024.v1.xlsxTable11" hidden="1">Table1</definedName>
    <definedName name="_xlcn.WorksheetConnection_REAAdvInvoicesB2L3581" hidden="1">'REA Adv - Invoices'!$B$2:$L$358</definedName>
  </definedNames>
  <calcPr calcId="191029"/>
  <pivotCaches>
    <pivotCache cacheId="1" r:id="rId13"/>
    <pivotCache cacheId="2" r:id="rId14"/>
    <pivotCache cacheId="3" r:id="rId15"/>
    <pivotCache cacheId="4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REA Adv - Invoices!$B$2:$L$358"/>
          <x15:modelTable id="Table1" name="Table1" connection="WorksheetConnection_Invoice - Masterlist 2024.v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77" i="1" l="1"/>
  <c r="J844" i="1" l="1"/>
  <c r="K844" i="1" s="1"/>
  <c r="J843" i="1"/>
  <c r="K843" i="1" s="1"/>
  <c r="J842" i="1"/>
  <c r="K842" i="1" s="1"/>
  <c r="J841" i="1" l="1"/>
  <c r="K841" i="1" s="1"/>
  <c r="J840" i="1" l="1"/>
  <c r="K840" i="1" s="1"/>
  <c r="J839" i="1" l="1"/>
  <c r="K839" i="1" s="1"/>
  <c r="J838" i="1" l="1"/>
  <c r="K838" i="1" s="1"/>
  <c r="J837" i="1" l="1"/>
  <c r="K837" i="1" s="1"/>
  <c r="J836" i="1" l="1"/>
  <c r="K836" i="1" s="1"/>
  <c r="J835" i="1" l="1"/>
  <c r="K835" i="1" s="1"/>
  <c r="J834" i="1" l="1"/>
  <c r="K834" i="1" s="1"/>
  <c r="J833" i="1" l="1"/>
  <c r="K833" i="1" s="1"/>
  <c r="J832" i="1" l="1"/>
  <c r="K832" i="1" s="1"/>
  <c r="J831" i="1" l="1"/>
  <c r="K831" i="1" s="1"/>
  <c r="J830" i="1" l="1"/>
  <c r="K830" i="1" s="1"/>
  <c r="J829" i="1" l="1"/>
  <c r="K829" i="1" s="1"/>
  <c r="J828" i="1" l="1"/>
  <c r="K828" i="1" s="1"/>
  <c r="J827" i="1" l="1"/>
  <c r="K827" i="1" s="1"/>
  <c r="J826" i="1" l="1"/>
  <c r="K826" i="1" s="1"/>
  <c r="J825" i="1" l="1"/>
  <c r="K825" i="1" s="1"/>
  <c r="J824" i="1" l="1"/>
  <c r="K824" i="1" s="1"/>
  <c r="J823" i="1" l="1"/>
  <c r="K823" i="1" s="1"/>
  <c r="J822" i="1" l="1"/>
  <c r="K822" i="1" s="1"/>
  <c r="J821" i="1" l="1"/>
  <c r="K821" i="1" s="1"/>
  <c r="J820" i="1" l="1"/>
  <c r="K820" i="1" s="1"/>
  <c r="J819" i="1" l="1"/>
  <c r="K819" i="1" s="1"/>
  <c r="K818" i="1" l="1"/>
  <c r="J817" i="1" l="1"/>
  <c r="K817" i="1" s="1"/>
  <c r="J816" i="1" l="1"/>
  <c r="K816" i="1" s="1"/>
  <c r="J815" i="1" l="1"/>
  <c r="K815" i="1" s="1"/>
  <c r="J814" i="1" l="1"/>
  <c r="K814" i="1" s="1"/>
  <c r="J813" i="1" l="1"/>
  <c r="K813" i="1" s="1"/>
  <c r="J812" i="1" l="1"/>
  <c r="K812" i="1" s="1"/>
  <c r="J811" i="1" l="1"/>
  <c r="K811" i="1" s="1"/>
  <c r="J810" i="1" l="1"/>
  <c r="K810" i="1" s="1"/>
  <c r="J809" i="1" l="1"/>
  <c r="K809" i="1" s="1"/>
  <c r="J808" i="1" l="1"/>
  <c r="K808" i="1" s="1"/>
  <c r="J807" i="1" l="1"/>
  <c r="K807" i="1" s="1"/>
  <c r="J806" i="1" l="1"/>
  <c r="K806" i="1" s="1"/>
  <c r="J805" i="1" l="1"/>
  <c r="K805" i="1" s="1"/>
  <c r="J804" i="1" l="1"/>
  <c r="K804" i="1" s="1"/>
  <c r="J803" i="1" l="1"/>
  <c r="K803" i="1" s="1"/>
  <c r="J802" i="1" l="1"/>
  <c r="K802" i="1" s="1"/>
  <c r="J801" i="1" l="1"/>
  <c r="K801" i="1" s="1"/>
  <c r="J800" i="1" l="1"/>
  <c r="K800" i="1" s="1"/>
  <c r="J799" i="1" l="1"/>
  <c r="K799" i="1" s="1"/>
  <c r="J798" i="1" l="1"/>
  <c r="K798" i="1" s="1"/>
  <c r="S476" i="1"/>
  <c r="J797" i="1"/>
  <c r="K797" i="1" s="1"/>
  <c r="J796" i="1" l="1"/>
  <c r="K796" i="1" s="1"/>
  <c r="J795" i="1" l="1"/>
  <c r="K795" i="1" s="1"/>
  <c r="J794" i="1" l="1"/>
  <c r="K794" i="1" s="1"/>
  <c r="J793" i="1" l="1"/>
  <c r="K793" i="1" s="1"/>
  <c r="J792" i="1" l="1"/>
  <c r="K792" i="1" s="1"/>
  <c r="J724" i="1" l="1"/>
  <c r="K724" i="1" s="1"/>
  <c r="J723" i="1"/>
  <c r="K723" i="1" s="1"/>
  <c r="S475" i="1" l="1"/>
  <c r="J722" i="1" l="1"/>
  <c r="K722" i="1" s="1"/>
  <c r="J700" i="1" l="1"/>
  <c r="K700" i="1" s="1"/>
  <c r="J680" i="1" l="1"/>
  <c r="K680" i="1" s="1"/>
  <c r="J673" i="1" l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5" i="1"/>
  <c r="K725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26" i="1"/>
  <c r="K726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672" i="1" l="1"/>
  <c r="K672" i="1" s="1"/>
  <c r="J671" i="1" l="1"/>
  <c r="K671" i="1" s="1"/>
  <c r="J670" i="1"/>
  <c r="K670" i="1" s="1"/>
  <c r="J669" i="1" l="1"/>
  <c r="K669" i="1" s="1"/>
  <c r="J668" i="1" l="1"/>
  <c r="K668" i="1" s="1"/>
  <c r="J667" i="1" l="1"/>
  <c r="K667" i="1" s="1"/>
  <c r="J666" i="1" l="1"/>
  <c r="K666" i="1" s="1"/>
  <c r="J665" i="1" l="1"/>
  <c r="K665" i="1" s="1"/>
  <c r="J664" i="1" l="1"/>
  <c r="K664" i="1" s="1"/>
  <c r="J663" i="1" l="1"/>
  <c r="K663" i="1" s="1"/>
  <c r="J662" i="1" l="1"/>
  <c r="K662" i="1" s="1"/>
  <c r="J661" i="1" l="1"/>
  <c r="K661" i="1" s="1"/>
  <c r="J660" i="1" l="1"/>
  <c r="K660" i="1" s="1"/>
  <c r="J659" i="1" l="1"/>
  <c r="K659" i="1" s="1"/>
  <c r="J658" i="1" l="1"/>
  <c r="K658" i="1" s="1"/>
  <c r="J657" i="1" l="1"/>
  <c r="K657" i="1" s="1"/>
  <c r="J656" i="1" l="1"/>
  <c r="K656" i="1" s="1"/>
  <c r="J655" i="1" l="1"/>
  <c r="K655" i="1" s="1"/>
  <c r="J654" i="1" l="1"/>
  <c r="K654" i="1" s="1"/>
  <c r="J653" i="1" l="1"/>
  <c r="K653" i="1" s="1"/>
  <c r="J652" i="1" l="1"/>
  <c r="K652" i="1" s="1"/>
  <c r="J651" i="1" l="1"/>
  <c r="K651" i="1" s="1"/>
  <c r="J650" i="1" l="1"/>
  <c r="K650" i="1" s="1"/>
  <c r="J649" i="1" l="1"/>
  <c r="K649" i="1" s="1"/>
  <c r="J648" i="1" l="1"/>
  <c r="K648" i="1" s="1"/>
  <c r="J647" i="1" l="1"/>
  <c r="K647" i="1" s="1"/>
  <c r="J646" i="1" l="1"/>
  <c r="K646" i="1" s="1"/>
  <c r="J645" i="1" l="1"/>
  <c r="K645" i="1" s="1"/>
  <c r="J644" i="1" l="1"/>
  <c r="K644" i="1" s="1"/>
  <c r="J643" i="1" l="1"/>
  <c r="K643" i="1" s="1"/>
  <c r="J642" i="1" l="1"/>
  <c r="K642" i="1" s="1"/>
  <c r="J641" i="1" l="1"/>
  <c r="K641" i="1" s="1"/>
  <c r="J640" i="1"/>
  <c r="K640" i="1" s="1"/>
  <c r="J639" i="1"/>
  <c r="K639" i="1" s="1"/>
  <c r="J638" i="1" l="1"/>
  <c r="K638" i="1" s="1"/>
  <c r="J637" i="1" l="1"/>
  <c r="K637" i="1" s="1"/>
  <c r="J636" i="1" l="1"/>
  <c r="K636" i="1" s="1"/>
  <c r="J635" i="1" l="1"/>
  <c r="K635" i="1" s="1"/>
  <c r="S474" i="1" l="1"/>
  <c r="J546" i="1" l="1"/>
  <c r="J547" i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8" i="1"/>
  <c r="K628" i="1" s="1"/>
  <c r="J629" i="1"/>
  <c r="K629" i="1" s="1"/>
  <c r="J630" i="1"/>
  <c r="K630" i="1" s="1"/>
  <c r="J631" i="1"/>
  <c r="K631" i="1" s="1"/>
  <c r="J633" i="1"/>
  <c r="K633" i="1" s="1"/>
  <c r="J634" i="1"/>
  <c r="K634" i="1" s="1"/>
  <c r="S473" i="1" l="1"/>
  <c r="K547" i="1" l="1"/>
  <c r="K546" i="1" l="1"/>
  <c r="J545" i="1" l="1"/>
  <c r="K545" i="1" s="1"/>
  <c r="J544" i="1" l="1"/>
  <c r="K544" i="1" s="1"/>
  <c r="J543" i="1" l="1"/>
  <c r="K543" i="1" s="1"/>
  <c r="J542" i="1" l="1"/>
  <c r="K542" i="1" s="1"/>
  <c r="J541" i="1" l="1"/>
  <c r="K541" i="1" s="1"/>
  <c r="J540" i="1" l="1"/>
  <c r="K540" i="1" s="1"/>
  <c r="J539" i="1" l="1"/>
  <c r="K539" i="1" s="1"/>
  <c r="J538" i="1" l="1"/>
  <c r="K538" i="1" s="1"/>
  <c r="J537" i="1" l="1"/>
  <c r="K537" i="1" s="1"/>
  <c r="J536" i="1" l="1"/>
  <c r="K536" i="1" s="1"/>
  <c r="J535" i="1" l="1"/>
  <c r="K535" i="1" s="1"/>
  <c r="J534" i="1" l="1"/>
  <c r="K534" i="1" s="1"/>
  <c r="J533" i="1" l="1"/>
  <c r="K533" i="1" s="1"/>
  <c r="J532" i="1" l="1"/>
  <c r="K532" i="1" s="1"/>
  <c r="J531" i="1" l="1"/>
  <c r="K531" i="1" s="1"/>
  <c r="J530" i="1" l="1"/>
  <c r="K530" i="1" s="1"/>
  <c r="J529" i="1" l="1"/>
  <c r="K529" i="1" s="1"/>
  <c r="J528" i="1" l="1"/>
  <c r="K528" i="1" s="1"/>
  <c r="J527" i="1" l="1"/>
  <c r="K527" i="1" s="1"/>
  <c r="J526" i="1" l="1"/>
  <c r="K526" i="1" s="1"/>
  <c r="J525" i="1" l="1"/>
  <c r="K525" i="1" s="1"/>
  <c r="J524" i="1" l="1"/>
  <c r="K524" i="1" s="1"/>
  <c r="J523" i="1" l="1"/>
  <c r="K523" i="1" s="1"/>
  <c r="J522" i="1" l="1"/>
  <c r="K522" i="1" s="1"/>
  <c r="J521" i="1" l="1"/>
  <c r="K521" i="1" s="1"/>
  <c r="J520" i="1" l="1"/>
  <c r="K520" i="1" s="1"/>
  <c r="J519" i="1" l="1"/>
  <c r="K519" i="1" s="1"/>
  <c r="J518" i="1" l="1"/>
  <c r="K518" i="1" s="1"/>
  <c r="J517" i="1" l="1"/>
  <c r="K517" i="1" s="1"/>
  <c r="T477" i="1" l="1"/>
  <c r="T471" i="1"/>
  <c r="T468" i="1"/>
  <c r="J516" i="1"/>
  <c r="K516" i="1" s="1"/>
  <c r="J515" i="1" l="1"/>
  <c r="K515" i="1" s="1"/>
  <c r="J514" i="1" l="1"/>
  <c r="K514" i="1" s="1"/>
  <c r="J513" i="1" l="1"/>
  <c r="K513" i="1" s="1"/>
  <c r="J512" i="1" l="1"/>
  <c r="K512" i="1" s="1"/>
  <c r="J511" i="1" l="1"/>
  <c r="K511" i="1" s="1"/>
  <c r="J510" i="1" l="1"/>
  <c r="K510" i="1" s="1"/>
  <c r="J509" i="1" l="1"/>
  <c r="K509" i="1" s="1"/>
  <c r="J508" i="1" l="1"/>
  <c r="K508" i="1" s="1"/>
  <c r="J507" i="1" l="1"/>
  <c r="K507" i="1" s="1"/>
  <c r="J506" i="1" l="1"/>
  <c r="K506" i="1" s="1"/>
  <c r="J505" i="1" l="1"/>
  <c r="K505" i="1" s="1"/>
  <c r="J504" i="1" l="1"/>
  <c r="K504" i="1" s="1"/>
  <c r="J503" i="1" l="1"/>
  <c r="K503" i="1" s="1"/>
  <c r="J502" i="1" l="1"/>
  <c r="K502" i="1" s="1"/>
  <c r="J501" i="1" l="1"/>
  <c r="K501" i="1" s="1"/>
  <c r="J500" i="1"/>
  <c r="K500" i="1" s="1"/>
  <c r="S472" i="1"/>
  <c r="J498" i="1"/>
  <c r="K498" i="1" s="1"/>
  <c r="T474" i="1" l="1"/>
  <c r="T478" i="1" s="1"/>
  <c r="T479" i="1" s="1"/>
  <c r="J497" i="1"/>
  <c r="K497" i="1" s="1"/>
  <c r="J496" i="1" l="1"/>
  <c r="K496" i="1" s="1"/>
  <c r="J495" i="1" l="1"/>
  <c r="K495" i="1" s="1"/>
  <c r="J494" i="1" l="1"/>
  <c r="K494" i="1" s="1"/>
  <c r="J493" i="1" l="1"/>
  <c r="K493" i="1" s="1"/>
  <c r="J492" i="1" l="1"/>
  <c r="K492" i="1" s="1"/>
  <c r="J491" i="1" l="1"/>
  <c r="K491" i="1" s="1"/>
  <c r="J489" i="1" l="1"/>
  <c r="K489" i="1" s="1"/>
  <c r="I489" i="1"/>
  <c r="J488" i="1"/>
  <c r="K488" i="1" s="1"/>
  <c r="I488" i="1"/>
  <c r="J487" i="1"/>
  <c r="K487" i="1" s="1"/>
  <c r="I487" i="1"/>
  <c r="J486" i="1"/>
  <c r="K486" i="1" s="1"/>
  <c r="I486" i="1"/>
  <c r="J485" i="1"/>
  <c r="K485" i="1" s="1"/>
  <c r="I485" i="1"/>
  <c r="J484" i="1"/>
  <c r="K484" i="1" s="1"/>
  <c r="I484" i="1"/>
  <c r="J483" i="1"/>
  <c r="K483" i="1" s="1"/>
  <c r="I483" i="1"/>
  <c r="J482" i="1"/>
  <c r="K482" i="1" s="1"/>
  <c r="I482" i="1"/>
  <c r="J490" i="1" l="1"/>
  <c r="K490" i="1" s="1"/>
  <c r="I481" i="1" l="1"/>
  <c r="J481" i="1"/>
  <c r="K481" i="1" s="1"/>
  <c r="I480" i="1" l="1"/>
  <c r="J480" i="1"/>
  <c r="K480" i="1" s="1"/>
  <c r="I479" i="1" l="1"/>
  <c r="J479" i="1"/>
  <c r="K479" i="1" s="1"/>
  <c r="I478" i="1"/>
  <c r="J478" i="1"/>
  <c r="K478" i="1" s="1"/>
  <c r="I477" i="1" l="1"/>
  <c r="J477" i="1"/>
  <c r="K477" i="1" s="1"/>
  <c r="I476" i="1" l="1"/>
  <c r="J476" i="1"/>
  <c r="K476" i="1" s="1"/>
  <c r="I475" i="1" l="1"/>
  <c r="J475" i="1"/>
  <c r="K475" i="1" s="1"/>
  <c r="I474" i="1" l="1"/>
  <c r="J474" i="1"/>
  <c r="K474" i="1" s="1"/>
  <c r="I473" i="1" l="1"/>
  <c r="J473" i="1"/>
  <c r="K473" i="1" s="1"/>
  <c r="J472" i="1" l="1"/>
  <c r="K472" i="1" s="1"/>
  <c r="I472" i="1"/>
  <c r="J471" i="1"/>
  <c r="K471" i="1" s="1"/>
  <c r="I471" i="1"/>
  <c r="J470" i="1"/>
  <c r="K470" i="1" s="1"/>
  <c r="I470" i="1"/>
  <c r="I469" i="1" l="1"/>
  <c r="J469" i="1"/>
  <c r="K469" i="1" s="1"/>
  <c r="J468" i="48" l="1"/>
  <c r="K468" i="48" s="1"/>
  <c r="I468" i="48"/>
  <c r="J467" i="48"/>
  <c r="K467" i="48" s="1"/>
  <c r="I467" i="48"/>
  <c r="J466" i="48"/>
  <c r="K466" i="48" s="1"/>
  <c r="I466" i="48"/>
  <c r="J465" i="48"/>
  <c r="K465" i="48" s="1"/>
  <c r="I465" i="48"/>
  <c r="J464" i="48"/>
  <c r="K464" i="48" s="1"/>
  <c r="I464" i="48"/>
  <c r="J463" i="48"/>
  <c r="K463" i="48" s="1"/>
  <c r="I463" i="48"/>
  <c r="J462" i="48"/>
  <c r="K462" i="48" s="1"/>
  <c r="I462" i="48"/>
  <c r="J461" i="48"/>
  <c r="K461" i="48" s="1"/>
  <c r="I461" i="48"/>
  <c r="J460" i="48"/>
  <c r="K460" i="48" s="1"/>
  <c r="I460" i="48"/>
  <c r="J459" i="48"/>
  <c r="K459" i="48" s="1"/>
  <c r="I459" i="48"/>
  <c r="J458" i="48"/>
  <c r="K458" i="48" s="1"/>
  <c r="I458" i="48"/>
  <c r="J457" i="48"/>
  <c r="K457" i="48" s="1"/>
  <c r="I457" i="48"/>
  <c r="J456" i="48"/>
  <c r="K456" i="48" s="1"/>
  <c r="I456" i="48"/>
  <c r="J455" i="48"/>
  <c r="K455" i="48" s="1"/>
  <c r="I455" i="48"/>
  <c r="J454" i="48"/>
  <c r="K454" i="48" s="1"/>
  <c r="I454" i="48"/>
  <c r="J453" i="48"/>
  <c r="K453" i="48" s="1"/>
  <c r="I453" i="48"/>
  <c r="J452" i="48"/>
  <c r="K452" i="48" s="1"/>
  <c r="I452" i="48"/>
  <c r="J451" i="48"/>
  <c r="K451" i="48" s="1"/>
  <c r="I451" i="48"/>
  <c r="J450" i="48"/>
  <c r="K450" i="48" s="1"/>
  <c r="I450" i="48"/>
  <c r="J449" i="48"/>
  <c r="K449" i="48" s="1"/>
  <c r="I449" i="48"/>
  <c r="J448" i="48"/>
  <c r="K448" i="48" s="1"/>
  <c r="I448" i="48"/>
  <c r="J447" i="48"/>
  <c r="K447" i="48" s="1"/>
  <c r="I447" i="48"/>
  <c r="J446" i="48"/>
  <c r="K446" i="48" s="1"/>
  <c r="I446" i="48"/>
  <c r="J445" i="48"/>
  <c r="K445" i="48" s="1"/>
  <c r="I445" i="48"/>
  <c r="J444" i="48"/>
  <c r="K444" i="48" s="1"/>
  <c r="I444" i="48"/>
  <c r="J443" i="48"/>
  <c r="K443" i="48" s="1"/>
  <c r="I443" i="48"/>
  <c r="J442" i="48"/>
  <c r="K442" i="48" s="1"/>
  <c r="I442" i="48"/>
  <c r="J441" i="48"/>
  <c r="K441" i="48" s="1"/>
  <c r="I441" i="48"/>
  <c r="J440" i="48"/>
  <c r="K440" i="48" s="1"/>
  <c r="I440" i="48"/>
  <c r="J439" i="48"/>
  <c r="K439" i="48" s="1"/>
  <c r="I439" i="48"/>
  <c r="J438" i="48"/>
  <c r="K438" i="48" s="1"/>
  <c r="I438" i="48"/>
  <c r="J437" i="48"/>
  <c r="K437" i="48" s="1"/>
  <c r="I437" i="48"/>
  <c r="J436" i="48"/>
  <c r="K436" i="48" s="1"/>
  <c r="I436" i="48"/>
  <c r="J435" i="48"/>
  <c r="K435" i="48" s="1"/>
  <c r="I435" i="48"/>
  <c r="J434" i="48"/>
  <c r="K434" i="48" s="1"/>
  <c r="I434" i="48"/>
  <c r="J433" i="48"/>
  <c r="K433" i="48" s="1"/>
  <c r="I433" i="48"/>
  <c r="J432" i="48"/>
  <c r="K432" i="48" s="1"/>
  <c r="I432" i="48"/>
  <c r="J431" i="48"/>
  <c r="K431" i="48" s="1"/>
  <c r="I431" i="48"/>
  <c r="J430" i="48"/>
  <c r="K430" i="48" s="1"/>
  <c r="I430" i="48"/>
  <c r="J429" i="48"/>
  <c r="K429" i="48" s="1"/>
  <c r="I429" i="48"/>
  <c r="J428" i="48"/>
  <c r="K428" i="48" s="1"/>
  <c r="I428" i="48"/>
  <c r="J427" i="48"/>
  <c r="K427" i="48" s="1"/>
  <c r="I427" i="48"/>
  <c r="J426" i="48"/>
  <c r="K426" i="48" s="1"/>
  <c r="I426" i="48"/>
  <c r="J425" i="48"/>
  <c r="K425" i="48" s="1"/>
  <c r="I425" i="48"/>
  <c r="J424" i="48"/>
  <c r="K424" i="48" s="1"/>
  <c r="I424" i="48"/>
  <c r="K423" i="48"/>
  <c r="J423" i="48"/>
  <c r="I423" i="48"/>
  <c r="J422" i="48"/>
  <c r="K422" i="48" s="1"/>
  <c r="I422" i="48"/>
  <c r="J421" i="48"/>
  <c r="K421" i="48" s="1"/>
  <c r="I421" i="48"/>
  <c r="J420" i="48"/>
  <c r="K420" i="48" s="1"/>
  <c r="I420" i="48"/>
  <c r="J419" i="48"/>
  <c r="K419" i="48" s="1"/>
  <c r="I419" i="48"/>
  <c r="J418" i="48"/>
  <c r="K418" i="48" s="1"/>
  <c r="I418" i="48"/>
  <c r="J417" i="48"/>
  <c r="K417" i="48" s="1"/>
  <c r="I417" i="48"/>
  <c r="J416" i="48"/>
  <c r="K416" i="48" s="1"/>
  <c r="I416" i="48"/>
  <c r="K415" i="48"/>
  <c r="J415" i="48"/>
  <c r="I415" i="48"/>
  <c r="J414" i="48"/>
  <c r="K414" i="48" s="1"/>
  <c r="I414" i="48"/>
  <c r="J413" i="48"/>
  <c r="K413" i="48" s="1"/>
  <c r="I413" i="48"/>
  <c r="J412" i="48"/>
  <c r="K412" i="48" s="1"/>
  <c r="I412" i="48"/>
  <c r="J411" i="48"/>
  <c r="K411" i="48" s="1"/>
  <c r="I411" i="48"/>
  <c r="J410" i="48"/>
  <c r="K410" i="48" s="1"/>
  <c r="I410" i="48"/>
  <c r="J409" i="48"/>
  <c r="K409" i="48" s="1"/>
  <c r="I409" i="48"/>
  <c r="J408" i="48"/>
  <c r="K408" i="48" s="1"/>
  <c r="I408" i="48"/>
  <c r="K407" i="48"/>
  <c r="J407" i="48"/>
  <c r="I407" i="48"/>
  <c r="J406" i="48"/>
  <c r="K406" i="48" s="1"/>
  <c r="I406" i="48"/>
  <c r="J405" i="48"/>
  <c r="K405" i="48" s="1"/>
  <c r="I405" i="48"/>
  <c r="J404" i="48"/>
  <c r="K404" i="48" s="1"/>
  <c r="I404" i="48"/>
  <c r="J403" i="48"/>
  <c r="K403" i="48" s="1"/>
  <c r="I403" i="48"/>
  <c r="J402" i="48"/>
  <c r="K402" i="48" s="1"/>
  <c r="I402" i="48"/>
  <c r="J401" i="48"/>
  <c r="K401" i="48" s="1"/>
  <c r="I401" i="48"/>
  <c r="J400" i="48"/>
  <c r="J399" i="48"/>
  <c r="K399" i="48" s="1"/>
  <c r="I399" i="48"/>
  <c r="J398" i="48"/>
  <c r="K398" i="48" s="1"/>
  <c r="I398" i="48"/>
  <c r="J397" i="48"/>
  <c r="K397" i="48" s="1"/>
  <c r="I397" i="48"/>
  <c r="J396" i="48"/>
  <c r="K396" i="48" s="1"/>
  <c r="I396" i="48"/>
  <c r="J395" i="48"/>
  <c r="K395" i="48" s="1"/>
  <c r="I395" i="48"/>
  <c r="J394" i="48"/>
  <c r="K394" i="48" s="1"/>
  <c r="I394" i="48"/>
  <c r="J393" i="48"/>
  <c r="K393" i="48" s="1"/>
  <c r="I393" i="48"/>
  <c r="J392" i="48"/>
  <c r="K392" i="48" s="1"/>
  <c r="I392" i="48"/>
  <c r="J391" i="48"/>
  <c r="K391" i="48" s="1"/>
  <c r="I391" i="48"/>
  <c r="J390" i="48"/>
  <c r="K390" i="48" s="1"/>
  <c r="I390" i="48"/>
  <c r="J389" i="48"/>
  <c r="K389" i="48" s="1"/>
  <c r="I389" i="48"/>
  <c r="J388" i="48"/>
  <c r="K388" i="48" s="1"/>
  <c r="I388" i="48"/>
  <c r="J387" i="48"/>
  <c r="K387" i="48" s="1"/>
  <c r="I387" i="48"/>
  <c r="J386" i="48"/>
  <c r="K386" i="48" s="1"/>
  <c r="I386" i="48"/>
  <c r="J385" i="48"/>
  <c r="K385" i="48" s="1"/>
  <c r="I385" i="48"/>
  <c r="J384" i="48"/>
  <c r="K384" i="48" s="1"/>
  <c r="I384" i="48"/>
  <c r="J383" i="48"/>
  <c r="K383" i="48" s="1"/>
  <c r="I383" i="48"/>
  <c r="J382" i="48"/>
  <c r="K382" i="48" s="1"/>
  <c r="I382" i="48"/>
  <c r="J381" i="48"/>
  <c r="K381" i="48" s="1"/>
  <c r="I381" i="48"/>
  <c r="J380" i="48"/>
  <c r="K380" i="48" s="1"/>
  <c r="I380" i="48"/>
  <c r="J379" i="48"/>
  <c r="K379" i="48" s="1"/>
  <c r="I379" i="48"/>
  <c r="J378" i="48"/>
  <c r="K378" i="48" s="1"/>
  <c r="I378" i="48"/>
  <c r="J377" i="48"/>
  <c r="K377" i="48" s="1"/>
  <c r="I377" i="48"/>
  <c r="J376" i="48"/>
  <c r="K376" i="48" s="1"/>
  <c r="I376" i="48"/>
  <c r="J375" i="48"/>
  <c r="K375" i="48" s="1"/>
  <c r="I375" i="48"/>
  <c r="J374" i="48"/>
  <c r="K374" i="48" s="1"/>
  <c r="I374" i="48"/>
  <c r="J373" i="48"/>
  <c r="K373" i="48" s="1"/>
  <c r="I373" i="48"/>
  <c r="J372" i="48"/>
  <c r="K372" i="48" s="1"/>
  <c r="I372" i="48"/>
  <c r="J371" i="48"/>
  <c r="K371" i="48" s="1"/>
  <c r="I371" i="48"/>
  <c r="J370" i="48"/>
  <c r="K370" i="48" s="1"/>
  <c r="I370" i="48"/>
  <c r="J369" i="48"/>
  <c r="K369" i="48" s="1"/>
  <c r="I369" i="48"/>
  <c r="J368" i="48"/>
  <c r="K368" i="48" s="1"/>
  <c r="I368" i="48"/>
  <c r="J367" i="48"/>
  <c r="K367" i="48" s="1"/>
  <c r="I367" i="48"/>
  <c r="J366" i="48"/>
  <c r="K366" i="48" s="1"/>
  <c r="I366" i="48"/>
  <c r="J365" i="48"/>
  <c r="K365" i="48" s="1"/>
  <c r="I365" i="48"/>
  <c r="J364" i="48"/>
  <c r="K364" i="48" s="1"/>
  <c r="I364" i="48"/>
  <c r="J363" i="48"/>
  <c r="K363" i="48" s="1"/>
  <c r="I363" i="48"/>
  <c r="J362" i="48"/>
  <c r="K362" i="48" s="1"/>
  <c r="I362" i="48"/>
  <c r="J361" i="48"/>
  <c r="K361" i="48" s="1"/>
  <c r="I361" i="48"/>
  <c r="J360" i="48"/>
  <c r="K360" i="48" s="1"/>
  <c r="I360" i="48"/>
  <c r="J359" i="48"/>
  <c r="K359" i="48" s="1"/>
  <c r="I359" i="48"/>
  <c r="J358" i="48"/>
  <c r="K358" i="48" s="1"/>
  <c r="I358" i="48"/>
  <c r="J357" i="48"/>
  <c r="K357" i="48" s="1"/>
  <c r="I357" i="48"/>
  <c r="J356" i="48"/>
  <c r="K356" i="48" s="1"/>
  <c r="I356" i="48"/>
  <c r="K355" i="48"/>
  <c r="J355" i="48"/>
  <c r="I355" i="48"/>
  <c r="J354" i="48"/>
  <c r="K354" i="48" s="1"/>
  <c r="I354" i="48"/>
  <c r="J353" i="48"/>
  <c r="K353" i="48" s="1"/>
  <c r="I353" i="48"/>
  <c r="J352" i="48"/>
  <c r="K352" i="48" s="1"/>
  <c r="I352" i="48"/>
  <c r="J351" i="48"/>
  <c r="K351" i="48" s="1"/>
  <c r="I351" i="48"/>
  <c r="J350" i="48"/>
  <c r="K350" i="48" s="1"/>
  <c r="I350" i="48"/>
  <c r="J349" i="48"/>
  <c r="K349" i="48" s="1"/>
  <c r="I349" i="48"/>
  <c r="J348" i="48"/>
  <c r="K348" i="48" s="1"/>
  <c r="I348" i="48"/>
  <c r="J347" i="48"/>
  <c r="K347" i="48" s="1"/>
  <c r="I347" i="48"/>
  <c r="J346" i="48"/>
  <c r="K346" i="48" s="1"/>
  <c r="I346" i="48"/>
  <c r="J345" i="48"/>
  <c r="K345" i="48" s="1"/>
  <c r="I345" i="48"/>
  <c r="J344" i="48"/>
  <c r="K344" i="48" s="1"/>
  <c r="I344" i="48"/>
  <c r="J343" i="48"/>
  <c r="K343" i="48" s="1"/>
  <c r="I343" i="48"/>
  <c r="J342" i="48"/>
  <c r="K342" i="48" s="1"/>
  <c r="I342" i="48"/>
  <c r="J341" i="48"/>
  <c r="K341" i="48" s="1"/>
  <c r="I341" i="48"/>
  <c r="J340" i="48"/>
  <c r="K340" i="48" s="1"/>
  <c r="I340" i="48"/>
  <c r="J339" i="48"/>
  <c r="K339" i="48" s="1"/>
  <c r="I339" i="48"/>
  <c r="J338" i="48"/>
  <c r="K338" i="48" s="1"/>
  <c r="I338" i="48"/>
  <c r="K336" i="48"/>
  <c r="J336" i="48"/>
  <c r="I336" i="48"/>
  <c r="J335" i="48"/>
  <c r="K335" i="48" s="1"/>
  <c r="I335" i="48"/>
  <c r="J334" i="48"/>
  <c r="K334" i="48" s="1"/>
  <c r="I334" i="48"/>
  <c r="J333" i="48"/>
  <c r="K333" i="48" s="1"/>
  <c r="I333" i="48"/>
  <c r="J332" i="48"/>
  <c r="K332" i="48" s="1"/>
  <c r="I332" i="48"/>
  <c r="J331" i="48"/>
  <c r="K331" i="48" s="1"/>
  <c r="I331" i="48"/>
  <c r="J330" i="48"/>
  <c r="K330" i="48" s="1"/>
  <c r="I330" i="48"/>
  <c r="J329" i="48"/>
  <c r="K329" i="48" s="1"/>
  <c r="I329" i="48"/>
  <c r="J328" i="48"/>
  <c r="K328" i="48" s="1"/>
  <c r="I328" i="48"/>
  <c r="J327" i="48"/>
  <c r="K327" i="48" s="1"/>
  <c r="I327" i="48"/>
  <c r="J326" i="48"/>
  <c r="K326" i="48" s="1"/>
  <c r="I326" i="48"/>
  <c r="J325" i="48"/>
  <c r="K325" i="48" s="1"/>
  <c r="I325" i="48"/>
  <c r="J324" i="48"/>
  <c r="K324" i="48" s="1"/>
  <c r="I324" i="48"/>
  <c r="J323" i="48"/>
  <c r="K323" i="48" s="1"/>
  <c r="I323" i="48"/>
  <c r="J322" i="48"/>
  <c r="K322" i="48" s="1"/>
  <c r="I322" i="48"/>
  <c r="J321" i="48"/>
  <c r="K321" i="48" s="1"/>
  <c r="I321" i="48"/>
  <c r="J320" i="48"/>
  <c r="K320" i="48" s="1"/>
  <c r="I320" i="48"/>
  <c r="J319" i="48"/>
  <c r="K319" i="48" s="1"/>
  <c r="I319" i="48"/>
  <c r="J318" i="48"/>
  <c r="K318" i="48" s="1"/>
  <c r="I318" i="48"/>
  <c r="J317" i="48"/>
  <c r="K317" i="48" s="1"/>
  <c r="I317" i="48"/>
  <c r="J316" i="48"/>
  <c r="K316" i="48" s="1"/>
  <c r="I316" i="48"/>
  <c r="J315" i="48"/>
  <c r="K315" i="48" s="1"/>
  <c r="I315" i="48"/>
  <c r="J314" i="48"/>
  <c r="K314" i="48" s="1"/>
  <c r="I314" i="48"/>
  <c r="J313" i="48"/>
  <c r="K313" i="48" s="1"/>
  <c r="I313" i="48"/>
  <c r="J312" i="48"/>
  <c r="K312" i="48" s="1"/>
  <c r="I312" i="48"/>
  <c r="J311" i="48"/>
  <c r="K311" i="48" s="1"/>
  <c r="I311" i="48"/>
  <c r="J310" i="48"/>
  <c r="K310" i="48" s="1"/>
  <c r="I310" i="48"/>
  <c r="J309" i="48"/>
  <c r="K309" i="48" s="1"/>
  <c r="I309" i="48"/>
  <c r="K308" i="48"/>
  <c r="J308" i="48"/>
  <c r="I308" i="48"/>
  <c r="J307" i="48"/>
  <c r="K307" i="48" s="1"/>
  <c r="I307" i="48"/>
  <c r="J306" i="48"/>
  <c r="K306" i="48" s="1"/>
  <c r="I306" i="48"/>
  <c r="J305" i="48"/>
  <c r="K305" i="48" s="1"/>
  <c r="I305" i="48"/>
  <c r="J304" i="48"/>
  <c r="K304" i="48" s="1"/>
  <c r="I304" i="48"/>
  <c r="J303" i="48"/>
  <c r="K303" i="48" s="1"/>
  <c r="I303" i="48"/>
  <c r="J302" i="48"/>
  <c r="K302" i="48" s="1"/>
  <c r="I302" i="48"/>
  <c r="J301" i="48"/>
  <c r="K301" i="48" s="1"/>
  <c r="I301" i="48"/>
  <c r="J300" i="48"/>
  <c r="K300" i="48" s="1"/>
  <c r="I300" i="48"/>
  <c r="J299" i="48"/>
  <c r="K299" i="48" s="1"/>
  <c r="I299" i="48"/>
  <c r="J298" i="48"/>
  <c r="K298" i="48" s="1"/>
  <c r="I298" i="48"/>
  <c r="J297" i="48"/>
  <c r="K297" i="48" s="1"/>
  <c r="I297" i="48"/>
  <c r="J296" i="48"/>
  <c r="K296" i="48" s="1"/>
  <c r="I296" i="48"/>
  <c r="J295" i="48"/>
  <c r="K295" i="48" s="1"/>
  <c r="I295" i="48"/>
  <c r="J294" i="48"/>
  <c r="K294" i="48" s="1"/>
  <c r="I294" i="48"/>
  <c r="J293" i="48"/>
  <c r="K293" i="48" s="1"/>
  <c r="I293" i="48"/>
  <c r="J292" i="48"/>
  <c r="K292" i="48" s="1"/>
  <c r="I292" i="48"/>
  <c r="J291" i="48"/>
  <c r="K291" i="48" s="1"/>
  <c r="I291" i="48"/>
  <c r="K290" i="48"/>
  <c r="J290" i="48"/>
  <c r="I290" i="48"/>
  <c r="J289" i="48"/>
  <c r="K289" i="48" s="1"/>
  <c r="I289" i="48"/>
  <c r="J288" i="48"/>
  <c r="K288" i="48" s="1"/>
  <c r="I288" i="48"/>
  <c r="J287" i="48"/>
  <c r="K287" i="48" s="1"/>
  <c r="I287" i="48"/>
  <c r="J286" i="48"/>
  <c r="K286" i="48" s="1"/>
  <c r="I286" i="48"/>
  <c r="J285" i="48"/>
  <c r="K285" i="48" s="1"/>
  <c r="I285" i="48"/>
  <c r="J284" i="48"/>
  <c r="K284" i="48" s="1"/>
  <c r="I284" i="48"/>
  <c r="J283" i="48"/>
  <c r="K283" i="48" s="1"/>
  <c r="I283" i="48"/>
  <c r="J282" i="48"/>
  <c r="K282" i="48" s="1"/>
  <c r="I282" i="48"/>
  <c r="J281" i="48"/>
  <c r="K281" i="48" s="1"/>
  <c r="I281" i="48"/>
  <c r="J280" i="48"/>
  <c r="K280" i="48" s="1"/>
  <c r="I280" i="48"/>
  <c r="J279" i="48"/>
  <c r="K279" i="48" s="1"/>
  <c r="I279" i="48"/>
  <c r="J278" i="48"/>
  <c r="K278" i="48" s="1"/>
  <c r="I278" i="48"/>
  <c r="J277" i="48"/>
  <c r="K277" i="48" s="1"/>
  <c r="I277" i="48"/>
  <c r="J276" i="48"/>
  <c r="K276" i="48" s="1"/>
  <c r="I276" i="48"/>
  <c r="J275" i="48"/>
  <c r="K275" i="48" s="1"/>
  <c r="I275" i="48"/>
  <c r="J274" i="48"/>
  <c r="K274" i="48" s="1"/>
  <c r="I274" i="48"/>
  <c r="J273" i="48"/>
  <c r="K273" i="48" s="1"/>
  <c r="I273" i="48"/>
  <c r="J272" i="48"/>
  <c r="K272" i="48" s="1"/>
  <c r="I272" i="48"/>
  <c r="J271" i="48"/>
  <c r="K271" i="48" s="1"/>
  <c r="I271" i="48"/>
  <c r="J270" i="48"/>
  <c r="K270" i="48" s="1"/>
  <c r="I270" i="48"/>
  <c r="J269" i="48"/>
  <c r="K269" i="48" s="1"/>
  <c r="I269" i="48"/>
  <c r="J267" i="48"/>
  <c r="K267" i="48" s="1"/>
  <c r="I267" i="48"/>
  <c r="J266" i="48"/>
  <c r="K266" i="48" s="1"/>
  <c r="I266" i="48"/>
  <c r="J265" i="48"/>
  <c r="K265" i="48" s="1"/>
  <c r="I265" i="48"/>
  <c r="J264" i="48"/>
  <c r="K264" i="48" s="1"/>
  <c r="I264" i="48"/>
  <c r="J263" i="48"/>
  <c r="K263" i="48" s="1"/>
  <c r="I263" i="48"/>
  <c r="J262" i="48"/>
  <c r="K262" i="48" s="1"/>
  <c r="I262" i="48"/>
  <c r="J261" i="48"/>
  <c r="K261" i="48" s="1"/>
  <c r="I261" i="48"/>
  <c r="J260" i="48"/>
  <c r="K260" i="48" s="1"/>
  <c r="I260" i="48"/>
  <c r="J259" i="48"/>
  <c r="K259" i="48" s="1"/>
  <c r="I259" i="48"/>
  <c r="J258" i="48"/>
  <c r="K258" i="48" s="1"/>
  <c r="I258" i="48"/>
  <c r="J257" i="48"/>
  <c r="K257" i="48" s="1"/>
  <c r="I257" i="48"/>
  <c r="J256" i="48"/>
  <c r="K256" i="48" s="1"/>
  <c r="I256" i="48"/>
  <c r="J255" i="48"/>
  <c r="K255" i="48" s="1"/>
  <c r="I255" i="48"/>
  <c r="J254" i="48"/>
  <c r="K254" i="48" s="1"/>
  <c r="I254" i="48"/>
  <c r="J253" i="48"/>
  <c r="K253" i="48" s="1"/>
  <c r="I253" i="48"/>
  <c r="J252" i="48"/>
  <c r="K252" i="48" s="1"/>
  <c r="I252" i="48"/>
  <c r="J251" i="48"/>
  <c r="K251" i="48" s="1"/>
  <c r="I251" i="48"/>
  <c r="J250" i="48"/>
  <c r="K250" i="48" s="1"/>
  <c r="I250" i="48"/>
  <c r="J249" i="48"/>
  <c r="K249" i="48" s="1"/>
  <c r="I249" i="48"/>
  <c r="J248" i="48"/>
  <c r="K248" i="48" s="1"/>
  <c r="I248" i="48"/>
  <c r="J247" i="48"/>
  <c r="K247" i="48" s="1"/>
  <c r="I247" i="48"/>
  <c r="J246" i="48"/>
  <c r="K246" i="48" s="1"/>
  <c r="I246" i="48"/>
  <c r="J245" i="48"/>
  <c r="K245" i="48" s="1"/>
  <c r="I245" i="48"/>
  <c r="J244" i="48"/>
  <c r="K244" i="48" s="1"/>
  <c r="I244" i="48"/>
  <c r="J243" i="48"/>
  <c r="K243" i="48" s="1"/>
  <c r="I243" i="48"/>
  <c r="J242" i="48"/>
  <c r="K242" i="48" s="1"/>
  <c r="I242" i="48"/>
  <c r="J241" i="48"/>
  <c r="K241" i="48" s="1"/>
  <c r="I241" i="48"/>
  <c r="J240" i="48"/>
  <c r="K240" i="48" s="1"/>
  <c r="I240" i="48"/>
  <c r="J239" i="48"/>
  <c r="K239" i="48" s="1"/>
  <c r="I239" i="48"/>
  <c r="J238" i="48"/>
  <c r="K238" i="48" s="1"/>
  <c r="I238" i="48"/>
  <c r="J237" i="48"/>
  <c r="K237" i="48" s="1"/>
  <c r="I237" i="48"/>
  <c r="J236" i="48"/>
  <c r="K236" i="48" s="1"/>
  <c r="I236" i="48"/>
  <c r="J235" i="48"/>
  <c r="K235" i="48" s="1"/>
  <c r="I235" i="48"/>
  <c r="J234" i="48"/>
  <c r="K234" i="48" s="1"/>
  <c r="I234" i="48"/>
  <c r="K233" i="48"/>
  <c r="J233" i="48"/>
  <c r="I233" i="48"/>
  <c r="J232" i="48"/>
  <c r="K232" i="48" s="1"/>
  <c r="I232" i="48"/>
  <c r="J231" i="48"/>
  <c r="K231" i="48" s="1"/>
  <c r="I231" i="48"/>
  <c r="J230" i="48"/>
  <c r="K230" i="48" s="1"/>
  <c r="I230" i="48"/>
  <c r="J229" i="48"/>
  <c r="K229" i="48" s="1"/>
  <c r="I229" i="48"/>
  <c r="J228" i="48"/>
  <c r="K228" i="48" s="1"/>
  <c r="I228" i="48"/>
  <c r="J227" i="48"/>
  <c r="K227" i="48" s="1"/>
  <c r="I227" i="48"/>
  <c r="J226" i="48"/>
  <c r="K226" i="48" s="1"/>
  <c r="I226" i="48"/>
  <c r="J225" i="48"/>
  <c r="K225" i="48" s="1"/>
  <c r="I225" i="48"/>
  <c r="G224" i="48"/>
  <c r="J224" i="48" s="1"/>
  <c r="J223" i="48"/>
  <c r="K223" i="48" s="1"/>
  <c r="I223" i="48"/>
  <c r="J222" i="48"/>
  <c r="K222" i="48" s="1"/>
  <c r="I222" i="48"/>
  <c r="J221" i="48"/>
  <c r="K221" i="48" s="1"/>
  <c r="I221" i="48"/>
  <c r="J220" i="48"/>
  <c r="K220" i="48" s="1"/>
  <c r="I220" i="48"/>
  <c r="J219" i="48"/>
  <c r="K219" i="48" s="1"/>
  <c r="I219" i="48"/>
  <c r="J218" i="48"/>
  <c r="K218" i="48" s="1"/>
  <c r="I218" i="48"/>
  <c r="J217" i="48"/>
  <c r="K217" i="48" s="1"/>
  <c r="I217" i="48"/>
  <c r="J216" i="48"/>
  <c r="K216" i="48" s="1"/>
  <c r="I216" i="48"/>
  <c r="J215" i="48"/>
  <c r="K215" i="48" s="1"/>
  <c r="I215" i="48"/>
  <c r="J214" i="48"/>
  <c r="K214" i="48" s="1"/>
  <c r="I214" i="48"/>
  <c r="J213" i="48"/>
  <c r="K213" i="48" s="1"/>
  <c r="I213" i="48"/>
  <c r="J212" i="48"/>
  <c r="K212" i="48" s="1"/>
  <c r="I212" i="48"/>
  <c r="J211" i="48"/>
  <c r="K211" i="48" s="1"/>
  <c r="I211" i="48"/>
  <c r="K210" i="48"/>
  <c r="J210" i="48"/>
  <c r="I210" i="48"/>
  <c r="J209" i="48"/>
  <c r="K209" i="48" s="1"/>
  <c r="I209" i="48"/>
  <c r="J208" i="48"/>
  <c r="K208" i="48" s="1"/>
  <c r="I208" i="48"/>
  <c r="J207" i="48"/>
  <c r="K207" i="48" s="1"/>
  <c r="I207" i="48"/>
  <c r="J206" i="48"/>
  <c r="K206" i="48" s="1"/>
  <c r="I206" i="48"/>
  <c r="J205" i="48"/>
  <c r="K205" i="48" s="1"/>
  <c r="I205" i="48"/>
  <c r="J204" i="48"/>
  <c r="K204" i="48" s="1"/>
  <c r="I204" i="48"/>
  <c r="J203" i="48"/>
  <c r="K203" i="48" s="1"/>
  <c r="I203" i="48"/>
  <c r="J202" i="48"/>
  <c r="K202" i="48" s="1"/>
  <c r="I202" i="48"/>
  <c r="J201" i="48"/>
  <c r="K201" i="48" s="1"/>
  <c r="I201" i="48"/>
  <c r="J200" i="48"/>
  <c r="K200" i="48" s="1"/>
  <c r="I200" i="48"/>
  <c r="J199" i="48"/>
  <c r="K199" i="48" s="1"/>
  <c r="I199" i="48"/>
  <c r="J198" i="48"/>
  <c r="K198" i="48" s="1"/>
  <c r="I198" i="48"/>
  <c r="J197" i="48"/>
  <c r="K197" i="48" s="1"/>
  <c r="I197" i="48"/>
  <c r="J196" i="48"/>
  <c r="K196" i="48" s="1"/>
  <c r="I196" i="48"/>
  <c r="J195" i="48"/>
  <c r="K195" i="48" s="1"/>
  <c r="I195" i="48"/>
  <c r="J194" i="48"/>
  <c r="K194" i="48" s="1"/>
  <c r="I194" i="48"/>
  <c r="G193" i="48"/>
  <c r="G192" i="48"/>
  <c r="I192" i="48" s="1"/>
  <c r="J191" i="48"/>
  <c r="K191" i="48" s="1"/>
  <c r="I191" i="48"/>
  <c r="J190" i="48"/>
  <c r="K190" i="48" s="1"/>
  <c r="I190" i="48"/>
  <c r="J189" i="48"/>
  <c r="G189" i="48"/>
  <c r="G188" i="48"/>
  <c r="J187" i="48"/>
  <c r="K187" i="48" s="1"/>
  <c r="I187" i="48"/>
  <c r="J186" i="48"/>
  <c r="I186" i="48"/>
  <c r="G186" i="48"/>
  <c r="I185" i="48"/>
  <c r="G185" i="48"/>
  <c r="J185" i="48" s="1"/>
  <c r="K185" i="48" s="1"/>
  <c r="J184" i="48"/>
  <c r="K184" i="48" s="1"/>
  <c r="I184" i="48"/>
  <c r="G183" i="48"/>
  <c r="I183" i="48" s="1"/>
  <c r="J182" i="48"/>
  <c r="K182" i="48" s="1"/>
  <c r="I182" i="48"/>
  <c r="J181" i="48"/>
  <c r="K181" i="48" s="1"/>
  <c r="I181" i="48"/>
  <c r="J180" i="48"/>
  <c r="K180" i="48" s="1"/>
  <c r="I180" i="48"/>
  <c r="J179" i="48"/>
  <c r="K179" i="48" s="1"/>
  <c r="I179" i="48"/>
  <c r="J178" i="48"/>
  <c r="K178" i="48" s="1"/>
  <c r="I178" i="48"/>
  <c r="J177" i="48"/>
  <c r="K177" i="48" s="1"/>
  <c r="I177" i="48"/>
  <c r="J176" i="48"/>
  <c r="K176" i="48" s="1"/>
  <c r="I176" i="48"/>
  <c r="J175" i="48"/>
  <c r="K175" i="48" s="1"/>
  <c r="I175" i="48"/>
  <c r="J174" i="48"/>
  <c r="K174" i="48" s="1"/>
  <c r="I174" i="48"/>
  <c r="J173" i="48"/>
  <c r="K173" i="48" s="1"/>
  <c r="I173" i="48"/>
  <c r="J172" i="48"/>
  <c r="K172" i="48" s="1"/>
  <c r="I172" i="48"/>
  <c r="J171" i="48"/>
  <c r="K171" i="48" s="1"/>
  <c r="I171" i="48"/>
  <c r="J170" i="48"/>
  <c r="K170" i="48" s="1"/>
  <c r="I170" i="48"/>
  <c r="K169" i="48"/>
  <c r="J169" i="48"/>
  <c r="I169" i="48"/>
  <c r="J168" i="48"/>
  <c r="K168" i="48" s="1"/>
  <c r="I168" i="48"/>
  <c r="J167" i="48"/>
  <c r="K167" i="48" s="1"/>
  <c r="I167" i="48"/>
  <c r="J166" i="48"/>
  <c r="K166" i="48" s="1"/>
  <c r="I166" i="48"/>
  <c r="J165" i="48"/>
  <c r="K165" i="48" s="1"/>
  <c r="I165" i="48"/>
  <c r="J164" i="48"/>
  <c r="K164" i="48" s="1"/>
  <c r="I164" i="48"/>
  <c r="J163" i="48"/>
  <c r="K163" i="48" s="1"/>
  <c r="I163" i="48"/>
  <c r="J162" i="48"/>
  <c r="K162" i="48" s="1"/>
  <c r="I162" i="48"/>
  <c r="J161" i="48"/>
  <c r="K161" i="48" s="1"/>
  <c r="I161" i="48"/>
  <c r="J160" i="48"/>
  <c r="K160" i="48" s="1"/>
  <c r="I160" i="48"/>
  <c r="J159" i="48"/>
  <c r="K159" i="48" s="1"/>
  <c r="I159" i="48"/>
  <c r="J158" i="48"/>
  <c r="K158" i="48" s="1"/>
  <c r="I158" i="48"/>
  <c r="J157" i="48"/>
  <c r="K157" i="48" s="1"/>
  <c r="I157" i="48"/>
  <c r="J156" i="48"/>
  <c r="K156" i="48" s="1"/>
  <c r="I156" i="48"/>
  <c r="J155" i="48"/>
  <c r="K155" i="48" s="1"/>
  <c r="I155" i="48"/>
  <c r="J154" i="48"/>
  <c r="K154" i="48" s="1"/>
  <c r="I154" i="48"/>
  <c r="J153" i="48"/>
  <c r="K153" i="48" s="1"/>
  <c r="I153" i="48"/>
  <c r="J152" i="48"/>
  <c r="K152" i="48" s="1"/>
  <c r="I152" i="48"/>
  <c r="J151" i="48"/>
  <c r="K151" i="48" s="1"/>
  <c r="I151" i="48"/>
  <c r="J150" i="48"/>
  <c r="K150" i="48" s="1"/>
  <c r="I150" i="48"/>
  <c r="J149" i="48"/>
  <c r="K149" i="48" s="1"/>
  <c r="I149" i="48"/>
  <c r="J148" i="48"/>
  <c r="K148" i="48" s="1"/>
  <c r="I148" i="48"/>
  <c r="J147" i="48"/>
  <c r="K147" i="48" s="1"/>
  <c r="I147" i="48"/>
  <c r="J146" i="48"/>
  <c r="K146" i="48" s="1"/>
  <c r="I146" i="48"/>
  <c r="J145" i="48"/>
  <c r="K145" i="48" s="1"/>
  <c r="I145" i="48"/>
  <c r="J144" i="48"/>
  <c r="K144" i="48" s="1"/>
  <c r="I144" i="48"/>
  <c r="J143" i="48"/>
  <c r="K143" i="48" s="1"/>
  <c r="I143" i="48"/>
  <c r="J142" i="48"/>
  <c r="K142" i="48" s="1"/>
  <c r="I142" i="48"/>
  <c r="J141" i="48"/>
  <c r="K141" i="48" s="1"/>
  <c r="I141" i="48"/>
  <c r="J140" i="48"/>
  <c r="K140" i="48" s="1"/>
  <c r="I140" i="48"/>
  <c r="J139" i="48"/>
  <c r="K139" i="48" s="1"/>
  <c r="I139" i="48"/>
  <c r="J138" i="48"/>
  <c r="K138" i="48" s="1"/>
  <c r="I138" i="48"/>
  <c r="J137" i="48"/>
  <c r="K137" i="48" s="1"/>
  <c r="I137" i="48"/>
  <c r="J136" i="48"/>
  <c r="K136" i="48" s="1"/>
  <c r="I136" i="48"/>
  <c r="J135" i="48"/>
  <c r="K135" i="48" s="1"/>
  <c r="I135" i="48"/>
  <c r="J134" i="48"/>
  <c r="K134" i="48" s="1"/>
  <c r="I134" i="48"/>
  <c r="J133" i="48"/>
  <c r="K133" i="48" s="1"/>
  <c r="I133" i="48"/>
  <c r="J132" i="48"/>
  <c r="K132" i="48" s="1"/>
  <c r="I132" i="48"/>
  <c r="J131" i="48"/>
  <c r="K131" i="48" s="1"/>
  <c r="I131" i="48"/>
  <c r="J130" i="48"/>
  <c r="K130" i="48" s="1"/>
  <c r="I130" i="48"/>
  <c r="J129" i="48"/>
  <c r="K129" i="48" s="1"/>
  <c r="I129" i="48"/>
  <c r="J128" i="48"/>
  <c r="K128" i="48" s="1"/>
  <c r="I128" i="48"/>
  <c r="J127" i="48"/>
  <c r="K127" i="48" s="1"/>
  <c r="I127" i="48"/>
  <c r="J126" i="48"/>
  <c r="K126" i="48" s="1"/>
  <c r="I126" i="48"/>
  <c r="J125" i="48"/>
  <c r="K125" i="48" s="1"/>
  <c r="I125" i="48"/>
  <c r="K124" i="48"/>
  <c r="I124" i="48"/>
  <c r="J123" i="48"/>
  <c r="K123" i="48" s="1"/>
  <c r="I123" i="48"/>
  <c r="J122" i="48"/>
  <c r="K122" i="48" s="1"/>
  <c r="I122" i="48"/>
  <c r="J121" i="48"/>
  <c r="K121" i="48" s="1"/>
  <c r="I121" i="48"/>
  <c r="J120" i="48"/>
  <c r="K120" i="48" s="1"/>
  <c r="I120" i="48"/>
  <c r="J119" i="48"/>
  <c r="K119" i="48" s="1"/>
  <c r="I119" i="48"/>
  <c r="J118" i="48"/>
  <c r="K118" i="48" s="1"/>
  <c r="I118" i="48"/>
  <c r="J117" i="48"/>
  <c r="K117" i="48" s="1"/>
  <c r="I117" i="48"/>
  <c r="J116" i="48"/>
  <c r="K116" i="48" s="1"/>
  <c r="I116" i="48"/>
  <c r="J115" i="48"/>
  <c r="K115" i="48" s="1"/>
  <c r="I115" i="48"/>
  <c r="J114" i="48"/>
  <c r="K114" i="48" s="1"/>
  <c r="I114" i="48"/>
  <c r="J113" i="48"/>
  <c r="K113" i="48" s="1"/>
  <c r="I113" i="48"/>
  <c r="J112" i="48"/>
  <c r="K112" i="48" s="1"/>
  <c r="I112" i="48"/>
  <c r="J111" i="48"/>
  <c r="K111" i="48" s="1"/>
  <c r="I111" i="48"/>
  <c r="J110" i="48"/>
  <c r="K110" i="48" s="1"/>
  <c r="I110" i="48"/>
  <c r="J109" i="48"/>
  <c r="K109" i="48" s="1"/>
  <c r="I109" i="48"/>
  <c r="J108" i="48"/>
  <c r="K108" i="48" s="1"/>
  <c r="I108" i="48"/>
  <c r="J107" i="48"/>
  <c r="K107" i="48" s="1"/>
  <c r="I107" i="48"/>
  <c r="J106" i="48"/>
  <c r="K106" i="48" s="1"/>
  <c r="I106" i="48"/>
  <c r="J105" i="48"/>
  <c r="K105" i="48" s="1"/>
  <c r="I105" i="48"/>
  <c r="J104" i="48"/>
  <c r="K104" i="48" s="1"/>
  <c r="I104" i="48"/>
  <c r="J103" i="48"/>
  <c r="K103" i="48" s="1"/>
  <c r="I103" i="48"/>
  <c r="J102" i="48"/>
  <c r="K102" i="48" s="1"/>
  <c r="I102" i="48"/>
  <c r="J101" i="48"/>
  <c r="K101" i="48" s="1"/>
  <c r="I101" i="48"/>
  <c r="J100" i="48"/>
  <c r="K100" i="48" s="1"/>
  <c r="I100" i="48"/>
  <c r="J99" i="48"/>
  <c r="K99" i="48" s="1"/>
  <c r="I99" i="48"/>
  <c r="J98" i="48"/>
  <c r="K98" i="48" s="1"/>
  <c r="I98" i="48"/>
  <c r="J97" i="48"/>
  <c r="K97" i="48" s="1"/>
  <c r="I97" i="48"/>
  <c r="J96" i="48"/>
  <c r="K96" i="48" s="1"/>
  <c r="I96" i="48"/>
  <c r="J95" i="48"/>
  <c r="K95" i="48" s="1"/>
  <c r="I95" i="48"/>
  <c r="J94" i="48"/>
  <c r="K94" i="48" s="1"/>
  <c r="I94" i="48"/>
  <c r="J93" i="48"/>
  <c r="K93" i="48" s="1"/>
  <c r="I93" i="48"/>
  <c r="J92" i="48"/>
  <c r="K92" i="48" s="1"/>
  <c r="I92" i="48"/>
  <c r="J91" i="48"/>
  <c r="K91" i="48" s="1"/>
  <c r="I91" i="48"/>
  <c r="J90" i="48"/>
  <c r="K90" i="48" s="1"/>
  <c r="I90" i="48"/>
  <c r="J89" i="48"/>
  <c r="K89" i="48" s="1"/>
  <c r="I89" i="48"/>
  <c r="J88" i="48"/>
  <c r="K88" i="48" s="1"/>
  <c r="I88" i="48"/>
  <c r="J87" i="48"/>
  <c r="K87" i="48" s="1"/>
  <c r="I87" i="48"/>
  <c r="J86" i="48"/>
  <c r="K86" i="48" s="1"/>
  <c r="I86" i="48"/>
  <c r="J85" i="48"/>
  <c r="K85" i="48" s="1"/>
  <c r="I85" i="48"/>
  <c r="J84" i="48"/>
  <c r="K84" i="48" s="1"/>
  <c r="I84" i="48"/>
  <c r="J83" i="48"/>
  <c r="K83" i="48" s="1"/>
  <c r="I83" i="48"/>
  <c r="J82" i="48"/>
  <c r="K82" i="48" s="1"/>
  <c r="I82" i="48"/>
  <c r="J81" i="48"/>
  <c r="K81" i="48" s="1"/>
  <c r="I81" i="48"/>
  <c r="J80" i="48"/>
  <c r="K80" i="48" s="1"/>
  <c r="I80" i="48"/>
  <c r="J79" i="48"/>
  <c r="K79" i="48" s="1"/>
  <c r="I79" i="48"/>
  <c r="J78" i="48"/>
  <c r="K78" i="48" s="1"/>
  <c r="I78" i="48"/>
  <c r="J77" i="48"/>
  <c r="K77" i="48" s="1"/>
  <c r="I77" i="48"/>
  <c r="J76" i="48"/>
  <c r="K76" i="48" s="1"/>
  <c r="I76" i="48"/>
  <c r="J75" i="48"/>
  <c r="K75" i="48" s="1"/>
  <c r="I75" i="48"/>
  <c r="J74" i="48"/>
  <c r="K74" i="48" s="1"/>
  <c r="I74" i="48"/>
  <c r="J73" i="48"/>
  <c r="K73" i="48" s="1"/>
  <c r="I73" i="48"/>
  <c r="J72" i="48"/>
  <c r="K72" i="48" s="1"/>
  <c r="I72" i="48"/>
  <c r="J71" i="48"/>
  <c r="K71" i="48" s="1"/>
  <c r="I71" i="48"/>
  <c r="J70" i="48"/>
  <c r="K70" i="48" s="1"/>
  <c r="I70" i="48"/>
  <c r="J69" i="48"/>
  <c r="K69" i="48" s="1"/>
  <c r="I69" i="48"/>
  <c r="K68" i="48"/>
  <c r="J68" i="48"/>
  <c r="I68" i="48"/>
  <c r="J67" i="48"/>
  <c r="K67" i="48" s="1"/>
  <c r="I67" i="48"/>
  <c r="J66" i="48"/>
  <c r="K66" i="48" s="1"/>
  <c r="I66" i="48"/>
  <c r="J65" i="48"/>
  <c r="K65" i="48" s="1"/>
  <c r="I65" i="48"/>
  <c r="J64" i="48"/>
  <c r="K64" i="48" s="1"/>
  <c r="I64" i="48"/>
  <c r="J63" i="48"/>
  <c r="K63" i="48" s="1"/>
  <c r="I63" i="48"/>
  <c r="J62" i="48"/>
  <c r="K62" i="48" s="1"/>
  <c r="I62" i="48"/>
  <c r="J61" i="48"/>
  <c r="K61" i="48" s="1"/>
  <c r="I61" i="48"/>
  <c r="J60" i="48"/>
  <c r="K60" i="48" s="1"/>
  <c r="I60" i="48"/>
  <c r="J59" i="48"/>
  <c r="K59" i="48" s="1"/>
  <c r="I59" i="48"/>
  <c r="J58" i="48"/>
  <c r="K58" i="48" s="1"/>
  <c r="I58" i="48"/>
  <c r="J57" i="48"/>
  <c r="K57" i="48" s="1"/>
  <c r="I57" i="48"/>
  <c r="J56" i="48"/>
  <c r="K56" i="48" s="1"/>
  <c r="I56" i="48"/>
  <c r="J55" i="48"/>
  <c r="K55" i="48" s="1"/>
  <c r="I55" i="48"/>
  <c r="J54" i="48"/>
  <c r="K54" i="48" s="1"/>
  <c r="I54" i="48"/>
  <c r="J53" i="48"/>
  <c r="K53" i="48" s="1"/>
  <c r="I53" i="48"/>
  <c r="J52" i="48"/>
  <c r="K52" i="48" s="1"/>
  <c r="I52" i="48"/>
  <c r="J51" i="48"/>
  <c r="K51" i="48" s="1"/>
  <c r="I51" i="48"/>
  <c r="J50" i="48"/>
  <c r="K50" i="48" s="1"/>
  <c r="I50" i="48"/>
  <c r="J49" i="48"/>
  <c r="K49" i="48" s="1"/>
  <c r="I49" i="48"/>
  <c r="J48" i="48"/>
  <c r="K48" i="48" s="1"/>
  <c r="I48" i="48"/>
  <c r="J47" i="48"/>
  <c r="K47" i="48" s="1"/>
  <c r="I47" i="48"/>
  <c r="J46" i="48"/>
  <c r="K46" i="48" s="1"/>
  <c r="I46" i="48"/>
  <c r="J45" i="48"/>
  <c r="K45" i="48" s="1"/>
  <c r="I45" i="48"/>
  <c r="J44" i="48"/>
  <c r="K44" i="48" s="1"/>
  <c r="I44" i="48"/>
  <c r="J43" i="48"/>
  <c r="K43" i="48" s="1"/>
  <c r="I43" i="48"/>
  <c r="J42" i="48"/>
  <c r="K42" i="48" s="1"/>
  <c r="I42" i="48"/>
  <c r="J41" i="48"/>
  <c r="K41" i="48" s="1"/>
  <c r="I41" i="48"/>
  <c r="J40" i="48"/>
  <c r="K40" i="48" s="1"/>
  <c r="I40" i="48"/>
  <c r="J39" i="48"/>
  <c r="K39" i="48" s="1"/>
  <c r="I39" i="48"/>
  <c r="J38" i="48"/>
  <c r="K38" i="48" s="1"/>
  <c r="I38" i="48"/>
  <c r="J37" i="48"/>
  <c r="K37" i="48" s="1"/>
  <c r="I37" i="48"/>
  <c r="J36" i="48"/>
  <c r="K36" i="48" s="1"/>
  <c r="I36" i="48"/>
  <c r="J35" i="48"/>
  <c r="K35" i="48" s="1"/>
  <c r="I35" i="48"/>
  <c r="J34" i="48"/>
  <c r="K34" i="48" s="1"/>
  <c r="I34" i="48"/>
  <c r="J33" i="48"/>
  <c r="K33" i="48" s="1"/>
  <c r="I33" i="48"/>
  <c r="J32" i="48"/>
  <c r="K32" i="48" s="1"/>
  <c r="I32" i="48"/>
  <c r="J31" i="48"/>
  <c r="K31" i="48" s="1"/>
  <c r="I31" i="48"/>
  <c r="J30" i="48"/>
  <c r="K30" i="48" s="1"/>
  <c r="I30" i="48"/>
  <c r="J29" i="48"/>
  <c r="K29" i="48" s="1"/>
  <c r="I29" i="48"/>
  <c r="J28" i="48"/>
  <c r="K28" i="48" s="1"/>
  <c r="I28" i="48"/>
  <c r="J27" i="48"/>
  <c r="K27" i="48" s="1"/>
  <c r="I27" i="48"/>
  <c r="J26" i="48"/>
  <c r="K26" i="48" s="1"/>
  <c r="I26" i="48"/>
  <c r="J25" i="48"/>
  <c r="K25" i="48" s="1"/>
  <c r="I25" i="48"/>
  <c r="J24" i="48"/>
  <c r="K24" i="48" s="1"/>
  <c r="I24" i="48"/>
  <c r="J23" i="48"/>
  <c r="K23" i="48" s="1"/>
  <c r="I23" i="48"/>
  <c r="K22" i="48"/>
  <c r="J22" i="48"/>
  <c r="I22" i="48"/>
  <c r="J21" i="48"/>
  <c r="K21" i="48" s="1"/>
  <c r="I21" i="48"/>
  <c r="J20" i="48"/>
  <c r="K20" i="48" s="1"/>
  <c r="I20" i="48"/>
  <c r="J19" i="48"/>
  <c r="K19" i="48" s="1"/>
  <c r="I19" i="48"/>
  <c r="J18" i="48"/>
  <c r="K18" i="48" s="1"/>
  <c r="I18" i="48"/>
  <c r="J17" i="48"/>
  <c r="K17" i="48" s="1"/>
  <c r="I17" i="48"/>
  <c r="J16" i="48"/>
  <c r="K16" i="48" s="1"/>
  <c r="I16" i="48"/>
  <c r="J15" i="48"/>
  <c r="K15" i="48" s="1"/>
  <c r="I15" i="48"/>
  <c r="G14" i="48"/>
  <c r="J14" i="48" s="1"/>
  <c r="K14" i="48" s="1"/>
  <c r="J13" i="48"/>
  <c r="K13" i="48" s="1"/>
  <c r="I13" i="48"/>
  <c r="J12" i="48"/>
  <c r="K12" i="48" s="1"/>
  <c r="I12" i="48"/>
  <c r="J11" i="48"/>
  <c r="K11" i="48" s="1"/>
  <c r="I11" i="48"/>
  <c r="J10" i="48"/>
  <c r="K10" i="48" s="1"/>
  <c r="I10" i="48"/>
  <c r="J9" i="48"/>
  <c r="K9" i="48" s="1"/>
  <c r="I9" i="48"/>
  <c r="J8" i="48"/>
  <c r="K8" i="48" s="1"/>
  <c r="I8" i="48"/>
  <c r="J7" i="48"/>
  <c r="K7" i="48" s="1"/>
  <c r="I7" i="48"/>
  <c r="J6" i="48"/>
  <c r="K6" i="48" s="1"/>
  <c r="I6" i="48"/>
  <c r="J5" i="48"/>
  <c r="K5" i="48" s="1"/>
  <c r="I5" i="48"/>
  <c r="J4" i="48"/>
  <c r="K4" i="48" s="1"/>
  <c r="I4" i="48"/>
  <c r="J3" i="48"/>
  <c r="K3" i="48" s="1"/>
  <c r="I3" i="48"/>
  <c r="M2" i="48"/>
  <c r="N2" i="48"/>
  <c r="K186" i="48" l="1"/>
  <c r="K189" i="48"/>
  <c r="O2" i="48"/>
  <c r="I188" i="48"/>
  <c r="I224" i="48"/>
  <c r="J192" i="48"/>
  <c r="K192" i="48" s="1"/>
  <c r="J188" i="48"/>
  <c r="K188" i="48" s="1"/>
  <c r="I193" i="48"/>
  <c r="K224" i="48"/>
  <c r="I14" i="48"/>
  <c r="J193" i="48"/>
  <c r="K193" i="48" s="1"/>
  <c r="J183" i="48"/>
  <c r="K183" i="48" s="1"/>
  <c r="I189" i="48"/>
  <c r="I468" i="1"/>
  <c r="J468" i="1"/>
  <c r="K468" i="1" s="1"/>
  <c r="I467" i="1" l="1"/>
  <c r="J467" i="1"/>
  <c r="K467" i="1" s="1"/>
  <c r="I466" i="1" l="1"/>
  <c r="J466" i="1"/>
  <c r="K466" i="1" s="1"/>
  <c r="I465" i="1" l="1"/>
  <c r="J465" i="1"/>
  <c r="K465" i="1" s="1"/>
  <c r="I464" i="1" l="1"/>
  <c r="J464" i="1"/>
  <c r="K464" i="1" s="1"/>
  <c r="I463" i="1"/>
  <c r="J463" i="1"/>
  <c r="K463" i="1" s="1"/>
  <c r="I462" i="1" l="1"/>
  <c r="J462" i="1"/>
  <c r="K462" i="1" s="1"/>
  <c r="I461" i="1"/>
  <c r="J461" i="1"/>
  <c r="K461" i="1" s="1"/>
  <c r="I460" i="1"/>
  <c r="J460" i="1"/>
  <c r="K460" i="1" s="1"/>
  <c r="I459" i="1"/>
  <c r="J459" i="1"/>
  <c r="K459" i="1" s="1"/>
  <c r="I457" i="1"/>
  <c r="J457" i="1"/>
  <c r="K457" i="1" s="1"/>
  <c r="I456" i="1"/>
  <c r="J456" i="1"/>
  <c r="K456" i="1" s="1"/>
  <c r="I455" i="1"/>
  <c r="J455" i="1"/>
  <c r="K455" i="1" s="1"/>
  <c r="I454" i="1"/>
  <c r="J454" i="1"/>
  <c r="K454" i="1" s="1"/>
  <c r="I453" i="1"/>
  <c r="J453" i="1"/>
  <c r="K453" i="1" s="1"/>
  <c r="I452" i="1"/>
  <c r="J452" i="1"/>
  <c r="K452" i="1" s="1"/>
  <c r="I451" i="1"/>
  <c r="J451" i="1"/>
  <c r="K451" i="1" s="1"/>
  <c r="I450" i="1"/>
  <c r="J450" i="1"/>
  <c r="K450" i="1" s="1"/>
  <c r="D79" i="36"/>
  <c r="E79" i="36"/>
  <c r="F79" i="36"/>
  <c r="G79" i="36"/>
  <c r="H79" i="36"/>
  <c r="I79" i="36"/>
  <c r="J79" i="36"/>
  <c r="K79" i="36"/>
  <c r="C79" i="36"/>
  <c r="M129" i="36"/>
  <c r="M130" i="36"/>
  <c r="L129" i="36"/>
  <c r="L130" i="36"/>
  <c r="K131" i="36"/>
  <c r="D131" i="36"/>
  <c r="E131" i="36"/>
  <c r="F131" i="36"/>
  <c r="G131" i="36"/>
  <c r="H131" i="36"/>
  <c r="I131" i="36"/>
  <c r="J131" i="36"/>
  <c r="C131" i="36"/>
  <c r="I449" i="1"/>
  <c r="J449" i="1"/>
  <c r="K449" i="1" s="1"/>
  <c r="J448" i="1"/>
  <c r="K448" i="1" s="1"/>
  <c r="I448" i="1"/>
  <c r="J447" i="1"/>
  <c r="K447" i="1" s="1"/>
  <c r="I447" i="1"/>
  <c r="J446" i="1"/>
  <c r="K446" i="1" s="1"/>
  <c r="I446" i="1"/>
  <c r="J445" i="1"/>
  <c r="K445" i="1" s="1"/>
  <c r="I445" i="1"/>
  <c r="J444" i="1"/>
  <c r="K444" i="1" s="1"/>
  <c r="I444" i="1"/>
  <c r="J443" i="1"/>
  <c r="K443" i="1" s="1"/>
  <c r="I443" i="1"/>
  <c r="J442" i="1"/>
  <c r="K442" i="1" s="1"/>
  <c r="I442" i="1"/>
  <c r="I441" i="1"/>
  <c r="J441" i="1"/>
  <c r="K441" i="1" s="1"/>
  <c r="I440" i="1"/>
  <c r="J440" i="1"/>
  <c r="K440" i="1" s="1"/>
  <c r="I439" i="1"/>
  <c r="J439" i="1"/>
  <c r="K439" i="1" s="1"/>
  <c r="L127" i="36"/>
  <c r="M127" i="36"/>
  <c r="L128" i="36"/>
  <c r="M128" i="36"/>
  <c r="M78" i="36"/>
  <c r="L78" i="36"/>
  <c r="I39" i="36"/>
  <c r="I16" i="36"/>
  <c r="I438" i="1"/>
  <c r="J438" i="1"/>
  <c r="K438" i="1" s="1"/>
  <c r="I437" i="1"/>
  <c r="J437" i="1"/>
  <c r="K437" i="1" s="1"/>
  <c r="I132" i="36"/>
  <c r="I436" i="1"/>
  <c r="J436" i="1"/>
  <c r="K436" i="1" s="1"/>
  <c r="I435" i="1"/>
  <c r="J435" i="1"/>
  <c r="K435" i="1" s="1"/>
  <c r="I434" i="1"/>
  <c r="J434" i="1"/>
  <c r="K434" i="1" s="1"/>
  <c r="I433" i="1"/>
  <c r="J433" i="1"/>
  <c r="K433" i="1" s="1"/>
  <c r="I432" i="1"/>
  <c r="J432" i="1"/>
  <c r="K432" i="1" s="1"/>
  <c r="I431" i="1"/>
  <c r="J431" i="1"/>
  <c r="K431" i="1" s="1"/>
  <c r="I430" i="1"/>
  <c r="J430" i="1"/>
  <c r="K430" i="1" s="1"/>
  <c r="I429" i="1"/>
  <c r="J429" i="1"/>
  <c r="K429" i="1" s="1"/>
  <c r="I428" i="1"/>
  <c r="J428" i="1"/>
  <c r="K428" i="1" s="1"/>
  <c r="I427" i="1"/>
  <c r="J427" i="1"/>
  <c r="K427" i="1" s="1"/>
  <c r="I426" i="1"/>
  <c r="J426" i="1"/>
  <c r="K426" i="1" s="1"/>
  <c r="I425" i="1"/>
  <c r="J425" i="1"/>
  <c r="K425" i="1" s="1"/>
  <c r="I421" i="1"/>
  <c r="J421" i="1"/>
  <c r="K421" i="1" s="1"/>
  <c r="I422" i="1"/>
  <c r="J422" i="1"/>
  <c r="K422" i="1" s="1"/>
  <c r="I423" i="1"/>
  <c r="J423" i="1"/>
  <c r="K423" i="1" s="1"/>
  <c r="I424" i="1"/>
  <c r="J424" i="1"/>
  <c r="K424" i="1" s="1"/>
  <c r="M83" i="36"/>
  <c r="M84" i="36"/>
  <c r="M85" i="36"/>
  <c r="M86" i="36"/>
  <c r="M87" i="36"/>
  <c r="M88" i="36"/>
  <c r="M89" i="36"/>
  <c r="M90" i="36"/>
  <c r="M91" i="36"/>
  <c r="M92" i="36"/>
  <c r="M93" i="36"/>
  <c r="M94" i="36"/>
  <c r="M95" i="36"/>
  <c r="M96" i="36"/>
  <c r="M97" i="36"/>
  <c r="M98" i="36"/>
  <c r="M99" i="36"/>
  <c r="M100" i="36"/>
  <c r="M101" i="36"/>
  <c r="M102" i="36"/>
  <c r="M103" i="36"/>
  <c r="M104" i="36"/>
  <c r="M105" i="36"/>
  <c r="M106" i="36"/>
  <c r="M107" i="36"/>
  <c r="M108" i="36"/>
  <c r="M109" i="36"/>
  <c r="M110" i="36"/>
  <c r="M111" i="36"/>
  <c r="M112" i="36"/>
  <c r="M113" i="36"/>
  <c r="M114" i="36"/>
  <c r="M115" i="36"/>
  <c r="M116" i="36"/>
  <c r="M117" i="36"/>
  <c r="M118" i="36"/>
  <c r="M119" i="36"/>
  <c r="M120" i="36"/>
  <c r="M121" i="36"/>
  <c r="M122" i="36"/>
  <c r="M123" i="36"/>
  <c r="M124" i="36"/>
  <c r="M125" i="36"/>
  <c r="M126" i="36"/>
  <c r="L125" i="36"/>
  <c r="L126" i="36"/>
  <c r="M82" i="36"/>
  <c r="K39" i="36"/>
  <c r="M43" i="36"/>
  <c r="M44" i="36"/>
  <c r="M45" i="36"/>
  <c r="M46" i="36"/>
  <c r="M47" i="36"/>
  <c r="M48" i="36"/>
  <c r="M49" i="36"/>
  <c r="M50" i="36"/>
  <c r="M51" i="36"/>
  <c r="M52" i="36"/>
  <c r="M53" i="36"/>
  <c r="M54" i="36"/>
  <c r="M55" i="36"/>
  <c r="M56" i="36"/>
  <c r="M57" i="36"/>
  <c r="M58" i="36"/>
  <c r="M59" i="36"/>
  <c r="M60" i="36"/>
  <c r="M61" i="36"/>
  <c r="M62" i="36"/>
  <c r="M63" i="36"/>
  <c r="M64" i="36"/>
  <c r="M65" i="36"/>
  <c r="M66" i="36"/>
  <c r="M67" i="36"/>
  <c r="M68" i="36"/>
  <c r="M69" i="36"/>
  <c r="M70" i="36"/>
  <c r="M71" i="36"/>
  <c r="M72" i="36"/>
  <c r="M73" i="36"/>
  <c r="M74" i="36"/>
  <c r="M75" i="36"/>
  <c r="M76" i="36"/>
  <c r="M77" i="36"/>
  <c r="M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57" i="36"/>
  <c r="L58" i="36"/>
  <c r="L59" i="36"/>
  <c r="L60" i="36"/>
  <c r="L61" i="36"/>
  <c r="L62" i="36"/>
  <c r="L63" i="36"/>
  <c r="L64" i="36"/>
  <c r="L65" i="36"/>
  <c r="L66" i="36"/>
  <c r="L67" i="36"/>
  <c r="L68" i="36"/>
  <c r="L69" i="36"/>
  <c r="L70" i="36"/>
  <c r="L71" i="36"/>
  <c r="L72" i="36"/>
  <c r="L73" i="36"/>
  <c r="L74" i="36"/>
  <c r="L75" i="36"/>
  <c r="L76" i="36"/>
  <c r="L77" i="36"/>
  <c r="L42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35" i="36"/>
  <c r="M36" i="36"/>
  <c r="M37" i="36"/>
  <c r="M38" i="36"/>
  <c r="M19" i="36"/>
  <c r="M7" i="36"/>
  <c r="M8" i="36"/>
  <c r="M9" i="36"/>
  <c r="M10" i="36"/>
  <c r="M11" i="36"/>
  <c r="M12" i="36"/>
  <c r="M13" i="36"/>
  <c r="M14" i="36"/>
  <c r="M15" i="36"/>
  <c r="M6" i="36"/>
  <c r="I420" i="1"/>
  <c r="J420" i="1"/>
  <c r="K420" i="1" s="1"/>
  <c r="M79" i="36"/>
  <c r="I378" i="1"/>
  <c r="I419" i="1"/>
  <c r="J419" i="1"/>
  <c r="K419" i="1" s="1"/>
  <c r="I418" i="1"/>
  <c r="J418" i="1"/>
  <c r="K418" i="1" s="1"/>
  <c r="I417" i="1"/>
  <c r="J417" i="1"/>
  <c r="K417" i="1" s="1"/>
  <c r="I416" i="1"/>
  <c r="J416" i="1"/>
  <c r="K416" i="1" s="1"/>
  <c r="I415" i="1"/>
  <c r="J415" i="1"/>
  <c r="K415" i="1" s="1"/>
  <c r="I414" i="1"/>
  <c r="J414" i="1"/>
  <c r="K414" i="1" s="1"/>
  <c r="I393" i="1"/>
  <c r="I413" i="1"/>
  <c r="J413" i="1"/>
  <c r="K413" i="1" s="1"/>
  <c r="L123" i="36"/>
  <c r="L124" i="36"/>
  <c r="L7" i="36"/>
  <c r="L8" i="36"/>
  <c r="L9" i="36"/>
  <c r="L10" i="36"/>
  <c r="L11" i="36"/>
  <c r="L12" i="36"/>
  <c r="L13" i="36"/>
  <c r="L14" i="36"/>
  <c r="L15" i="36"/>
  <c r="J406" i="44"/>
  <c r="K406" i="44"/>
  <c r="I406" i="44"/>
  <c r="J405" i="44"/>
  <c r="K405" i="44"/>
  <c r="I405" i="44"/>
  <c r="J412" i="44"/>
  <c r="K412" i="44"/>
  <c r="I412" i="44"/>
  <c r="J411" i="44"/>
  <c r="K411" i="44"/>
  <c r="I411" i="44"/>
  <c r="J410" i="44"/>
  <c r="K410" i="44"/>
  <c r="I410" i="44"/>
  <c r="J409" i="44"/>
  <c r="K409" i="44"/>
  <c r="I409" i="44"/>
  <c r="J408" i="44"/>
  <c r="K408" i="44"/>
  <c r="I408" i="44"/>
  <c r="J407" i="44"/>
  <c r="K407" i="44"/>
  <c r="I407" i="44"/>
  <c r="J404" i="44"/>
  <c r="K404" i="44"/>
  <c r="I404" i="44"/>
  <c r="J403" i="44"/>
  <c r="K403" i="44"/>
  <c r="I403" i="44"/>
  <c r="J402" i="44"/>
  <c r="K402" i="44"/>
  <c r="I402" i="44"/>
  <c r="J401" i="44"/>
  <c r="K401" i="44"/>
  <c r="I401" i="44"/>
  <c r="J400" i="44"/>
  <c r="K400" i="44"/>
  <c r="I400" i="44"/>
  <c r="J399" i="44"/>
  <c r="K399" i="44"/>
  <c r="I399" i="44"/>
  <c r="J398" i="44"/>
  <c r="K398" i="44"/>
  <c r="I398" i="44"/>
  <c r="J397" i="44"/>
  <c r="K397" i="44"/>
  <c r="I397" i="44"/>
  <c r="J396" i="44"/>
  <c r="K396" i="44"/>
  <c r="I396" i="44"/>
  <c r="J395" i="44"/>
  <c r="K395" i="44"/>
  <c r="I395" i="44"/>
  <c r="J394" i="44"/>
  <c r="K394" i="44"/>
  <c r="I394" i="44"/>
  <c r="J393" i="44"/>
  <c r="K393" i="44"/>
  <c r="I393" i="44"/>
  <c r="J392" i="44"/>
  <c r="K392" i="44"/>
  <c r="I392" i="44"/>
  <c r="J391" i="44"/>
  <c r="K391" i="44"/>
  <c r="I391" i="44"/>
  <c r="J390" i="44"/>
  <c r="K390" i="44"/>
  <c r="I390" i="44"/>
  <c r="J389" i="44"/>
  <c r="K389" i="44"/>
  <c r="I389" i="44"/>
  <c r="J388" i="44"/>
  <c r="K388" i="44"/>
  <c r="I388" i="44"/>
  <c r="J387" i="44"/>
  <c r="K387" i="44"/>
  <c r="I387" i="44"/>
  <c r="J386" i="44"/>
  <c r="K386" i="44"/>
  <c r="I386" i="44"/>
  <c r="J385" i="44"/>
  <c r="K385" i="44"/>
  <c r="I385" i="44"/>
  <c r="J384" i="44"/>
  <c r="K384" i="44"/>
  <c r="I384" i="44"/>
  <c r="J383" i="44"/>
  <c r="K383" i="44"/>
  <c r="I383" i="44"/>
  <c r="J382" i="44"/>
  <c r="K382" i="44"/>
  <c r="I382" i="44"/>
  <c r="J381" i="44"/>
  <c r="K381" i="44"/>
  <c r="I381" i="44"/>
  <c r="J380" i="44"/>
  <c r="K380" i="44"/>
  <c r="I380" i="44"/>
  <c r="J379" i="44"/>
  <c r="K379" i="44"/>
  <c r="I379" i="44"/>
  <c r="J378" i="44"/>
  <c r="K378" i="44"/>
  <c r="I378" i="44"/>
  <c r="J377" i="44"/>
  <c r="K377" i="44"/>
  <c r="I377" i="44"/>
  <c r="J376" i="44"/>
  <c r="K376" i="44"/>
  <c r="I376" i="44"/>
  <c r="J375" i="44"/>
  <c r="K375" i="44"/>
  <c r="I375" i="44"/>
  <c r="J374" i="44"/>
  <c r="K374" i="44"/>
  <c r="I374" i="44"/>
  <c r="J373" i="44"/>
  <c r="K373" i="44"/>
  <c r="I373" i="44"/>
  <c r="J372" i="44"/>
  <c r="K372" i="44"/>
  <c r="I372" i="44"/>
  <c r="J371" i="44"/>
  <c r="K371" i="44"/>
  <c r="I371" i="44"/>
  <c r="J370" i="44"/>
  <c r="K370" i="44"/>
  <c r="I370" i="44"/>
  <c r="J369" i="44"/>
  <c r="K369" i="44"/>
  <c r="I369" i="44"/>
  <c r="J368" i="44"/>
  <c r="K368" i="44"/>
  <c r="I368" i="44"/>
  <c r="J367" i="44"/>
  <c r="K367" i="44"/>
  <c r="I367" i="44"/>
  <c r="J366" i="44"/>
  <c r="K366" i="44"/>
  <c r="I366" i="44"/>
  <c r="J365" i="44"/>
  <c r="K365" i="44"/>
  <c r="I365" i="44"/>
  <c r="J364" i="44"/>
  <c r="K364" i="44"/>
  <c r="I364" i="44"/>
  <c r="J363" i="44"/>
  <c r="K363" i="44"/>
  <c r="I363" i="44"/>
  <c r="J362" i="44"/>
  <c r="K362" i="44"/>
  <c r="I362" i="44"/>
  <c r="J361" i="44"/>
  <c r="K361" i="44"/>
  <c r="I361" i="44"/>
  <c r="J360" i="44"/>
  <c r="K360" i="44"/>
  <c r="I360" i="44"/>
  <c r="J359" i="44"/>
  <c r="K359" i="44"/>
  <c r="I359" i="44"/>
  <c r="J358" i="44"/>
  <c r="K358" i="44"/>
  <c r="I358" i="44"/>
  <c r="J357" i="44"/>
  <c r="K357" i="44"/>
  <c r="I357" i="44"/>
  <c r="J356" i="44"/>
  <c r="K356" i="44"/>
  <c r="I356" i="44"/>
  <c r="J355" i="44"/>
  <c r="K355" i="44"/>
  <c r="I355" i="44"/>
  <c r="J354" i="44"/>
  <c r="K354" i="44"/>
  <c r="I354" i="44"/>
  <c r="J353" i="44"/>
  <c r="K353" i="44"/>
  <c r="I353" i="44"/>
  <c r="J352" i="44"/>
  <c r="K352" i="44"/>
  <c r="I352" i="44"/>
  <c r="J351" i="44"/>
  <c r="K351" i="44"/>
  <c r="I351" i="44"/>
  <c r="J350" i="44"/>
  <c r="K350" i="44"/>
  <c r="I350" i="44"/>
  <c r="J349" i="44"/>
  <c r="K349" i="44"/>
  <c r="I349" i="44"/>
  <c r="J348" i="44"/>
  <c r="K348" i="44"/>
  <c r="I348" i="44"/>
  <c r="J347" i="44"/>
  <c r="K347" i="44"/>
  <c r="I347" i="44"/>
  <c r="J346" i="44"/>
  <c r="K346" i="44"/>
  <c r="I346" i="44"/>
  <c r="J345" i="44"/>
  <c r="K345" i="44"/>
  <c r="I345" i="44"/>
  <c r="J344" i="44"/>
  <c r="K344" i="44"/>
  <c r="I344" i="44"/>
  <c r="J343" i="44"/>
  <c r="K343" i="44"/>
  <c r="I343" i="44"/>
  <c r="J342" i="44"/>
  <c r="K342" i="44"/>
  <c r="I342" i="44"/>
  <c r="J341" i="44"/>
  <c r="K341" i="44"/>
  <c r="I341" i="44"/>
  <c r="J340" i="44"/>
  <c r="K340" i="44"/>
  <c r="I340" i="44"/>
  <c r="J339" i="44"/>
  <c r="K339" i="44"/>
  <c r="I339" i="44"/>
  <c r="J338" i="44"/>
  <c r="K338" i="44"/>
  <c r="I338" i="44"/>
  <c r="J336" i="44"/>
  <c r="K336" i="44"/>
  <c r="I336" i="44"/>
  <c r="J335" i="44"/>
  <c r="K335" i="44"/>
  <c r="I335" i="44"/>
  <c r="J334" i="44"/>
  <c r="K334" i="44"/>
  <c r="I334" i="44"/>
  <c r="J333" i="44"/>
  <c r="K333" i="44"/>
  <c r="I333" i="44"/>
  <c r="J332" i="44"/>
  <c r="K332" i="44"/>
  <c r="I332" i="44"/>
  <c r="J331" i="44"/>
  <c r="K331" i="44"/>
  <c r="I331" i="44"/>
  <c r="J330" i="44"/>
  <c r="K330" i="44"/>
  <c r="I330" i="44"/>
  <c r="J329" i="44"/>
  <c r="K329" i="44"/>
  <c r="I329" i="44"/>
  <c r="J328" i="44"/>
  <c r="K328" i="44"/>
  <c r="I328" i="44"/>
  <c r="J327" i="44"/>
  <c r="K327" i="44"/>
  <c r="I327" i="44"/>
  <c r="J326" i="44"/>
  <c r="K326" i="44"/>
  <c r="I326" i="44"/>
  <c r="J325" i="44"/>
  <c r="K325" i="44"/>
  <c r="I325" i="44"/>
  <c r="J324" i="44"/>
  <c r="K324" i="44"/>
  <c r="I324" i="44"/>
  <c r="J323" i="44"/>
  <c r="K323" i="44"/>
  <c r="I323" i="44"/>
  <c r="J322" i="44"/>
  <c r="K322" i="44"/>
  <c r="I322" i="44"/>
  <c r="J321" i="44"/>
  <c r="K321" i="44"/>
  <c r="I321" i="44"/>
  <c r="J320" i="44"/>
  <c r="K320" i="44"/>
  <c r="I320" i="44"/>
  <c r="J319" i="44"/>
  <c r="K319" i="44"/>
  <c r="I319" i="44"/>
  <c r="J318" i="44"/>
  <c r="K318" i="44"/>
  <c r="I318" i="44"/>
  <c r="J317" i="44"/>
  <c r="K317" i="44"/>
  <c r="I317" i="44"/>
  <c r="J316" i="44"/>
  <c r="K316" i="44"/>
  <c r="I316" i="44"/>
  <c r="J315" i="44"/>
  <c r="K315" i="44"/>
  <c r="I315" i="44"/>
  <c r="J314" i="44"/>
  <c r="K314" i="44"/>
  <c r="I314" i="44"/>
  <c r="J313" i="44"/>
  <c r="K313" i="44"/>
  <c r="I313" i="44"/>
  <c r="J312" i="44"/>
  <c r="K312" i="44"/>
  <c r="I312" i="44"/>
  <c r="J311" i="44"/>
  <c r="K311" i="44"/>
  <c r="I311" i="44"/>
  <c r="J310" i="44"/>
  <c r="K310" i="44"/>
  <c r="I310" i="44"/>
  <c r="J309" i="44"/>
  <c r="K309" i="44"/>
  <c r="I309" i="44"/>
  <c r="J308" i="44"/>
  <c r="K308" i="44"/>
  <c r="I308" i="44"/>
  <c r="J307" i="44"/>
  <c r="K307" i="44"/>
  <c r="I307" i="44"/>
  <c r="J306" i="44"/>
  <c r="K306" i="44"/>
  <c r="I306" i="44"/>
  <c r="J305" i="44"/>
  <c r="K305" i="44"/>
  <c r="I305" i="44"/>
  <c r="J304" i="44"/>
  <c r="K304" i="44"/>
  <c r="I304" i="44"/>
  <c r="J303" i="44"/>
  <c r="K303" i="44"/>
  <c r="I303" i="44"/>
  <c r="J302" i="44"/>
  <c r="K302" i="44"/>
  <c r="I302" i="44"/>
  <c r="J301" i="44"/>
  <c r="K301" i="44"/>
  <c r="I301" i="44"/>
  <c r="J300" i="44"/>
  <c r="K300" i="44"/>
  <c r="I300" i="44"/>
  <c r="J299" i="44"/>
  <c r="K299" i="44"/>
  <c r="I299" i="44"/>
  <c r="J298" i="44"/>
  <c r="K298" i="44"/>
  <c r="I298" i="44"/>
  <c r="J297" i="44"/>
  <c r="K297" i="44"/>
  <c r="I297" i="44"/>
  <c r="J296" i="44"/>
  <c r="K296" i="44"/>
  <c r="I296" i="44"/>
  <c r="J295" i="44"/>
  <c r="K295" i="44"/>
  <c r="I295" i="44"/>
  <c r="J294" i="44"/>
  <c r="K294" i="44"/>
  <c r="I294" i="44"/>
  <c r="J293" i="44"/>
  <c r="K293" i="44"/>
  <c r="I293" i="44"/>
  <c r="J292" i="44"/>
  <c r="K292" i="44"/>
  <c r="I292" i="44"/>
  <c r="J291" i="44"/>
  <c r="K291" i="44"/>
  <c r="I291" i="44"/>
  <c r="J290" i="44"/>
  <c r="K290" i="44"/>
  <c r="I290" i="44"/>
  <c r="J289" i="44"/>
  <c r="K289" i="44"/>
  <c r="I289" i="44"/>
  <c r="J288" i="44"/>
  <c r="K288" i="44"/>
  <c r="I288" i="44"/>
  <c r="J287" i="44"/>
  <c r="K287" i="44"/>
  <c r="I287" i="44"/>
  <c r="J286" i="44"/>
  <c r="K286" i="44"/>
  <c r="I286" i="44"/>
  <c r="J285" i="44"/>
  <c r="K285" i="44"/>
  <c r="I285" i="44"/>
  <c r="J284" i="44"/>
  <c r="K284" i="44"/>
  <c r="I284" i="44"/>
  <c r="J283" i="44"/>
  <c r="K283" i="44"/>
  <c r="I283" i="44"/>
  <c r="J282" i="44"/>
  <c r="K282" i="44"/>
  <c r="I282" i="44"/>
  <c r="J281" i="44"/>
  <c r="K281" i="44"/>
  <c r="I281" i="44"/>
  <c r="J280" i="44"/>
  <c r="K280" i="44"/>
  <c r="I280" i="44"/>
  <c r="J279" i="44"/>
  <c r="K279" i="44"/>
  <c r="I279" i="44"/>
  <c r="J278" i="44"/>
  <c r="K278" i="44"/>
  <c r="I278" i="44"/>
  <c r="J277" i="44"/>
  <c r="K277" i="44"/>
  <c r="I277" i="44"/>
  <c r="J276" i="44"/>
  <c r="K276" i="44"/>
  <c r="I276" i="44"/>
  <c r="J275" i="44"/>
  <c r="K275" i="44"/>
  <c r="I275" i="44"/>
  <c r="J274" i="44"/>
  <c r="K274" i="44"/>
  <c r="I274" i="44"/>
  <c r="J273" i="44"/>
  <c r="K273" i="44"/>
  <c r="I273" i="44"/>
  <c r="J272" i="44"/>
  <c r="K272" i="44"/>
  <c r="I272" i="44"/>
  <c r="J271" i="44"/>
  <c r="K271" i="44"/>
  <c r="I271" i="44"/>
  <c r="J270" i="44"/>
  <c r="K270" i="44"/>
  <c r="I270" i="44"/>
  <c r="J269" i="44"/>
  <c r="K269" i="44"/>
  <c r="I269" i="44"/>
  <c r="J267" i="44"/>
  <c r="K267" i="44"/>
  <c r="I267" i="44"/>
  <c r="J266" i="44"/>
  <c r="K266" i="44"/>
  <c r="I266" i="44"/>
  <c r="J265" i="44"/>
  <c r="K265" i="44"/>
  <c r="I265" i="44"/>
  <c r="J264" i="44"/>
  <c r="K264" i="44"/>
  <c r="I264" i="44"/>
  <c r="J263" i="44"/>
  <c r="K263" i="44"/>
  <c r="I263" i="44"/>
  <c r="J262" i="44"/>
  <c r="K262" i="44"/>
  <c r="I262" i="44"/>
  <c r="J261" i="44"/>
  <c r="K261" i="44"/>
  <c r="I261" i="44"/>
  <c r="J260" i="44"/>
  <c r="K260" i="44"/>
  <c r="I260" i="44"/>
  <c r="J259" i="44"/>
  <c r="K259" i="44"/>
  <c r="I259" i="44"/>
  <c r="J258" i="44"/>
  <c r="K258" i="44"/>
  <c r="I258" i="44"/>
  <c r="J257" i="44"/>
  <c r="K257" i="44"/>
  <c r="I257" i="44"/>
  <c r="J256" i="44"/>
  <c r="K256" i="44"/>
  <c r="I256" i="44"/>
  <c r="J255" i="44"/>
  <c r="K255" i="44"/>
  <c r="I255" i="44"/>
  <c r="J254" i="44"/>
  <c r="K254" i="44"/>
  <c r="I254" i="44"/>
  <c r="J253" i="44"/>
  <c r="K253" i="44"/>
  <c r="I253" i="44"/>
  <c r="J252" i="44"/>
  <c r="K252" i="44"/>
  <c r="I252" i="44"/>
  <c r="J251" i="44"/>
  <c r="K251" i="44"/>
  <c r="I251" i="44"/>
  <c r="J250" i="44"/>
  <c r="K250" i="44"/>
  <c r="I250" i="44"/>
  <c r="J249" i="44"/>
  <c r="K249" i="44"/>
  <c r="I249" i="44"/>
  <c r="J248" i="44"/>
  <c r="K248" i="44"/>
  <c r="I248" i="44"/>
  <c r="J247" i="44"/>
  <c r="K247" i="44"/>
  <c r="I247" i="44"/>
  <c r="J246" i="44"/>
  <c r="K246" i="44"/>
  <c r="I246" i="44"/>
  <c r="J245" i="44"/>
  <c r="K245" i="44"/>
  <c r="I245" i="44"/>
  <c r="J244" i="44"/>
  <c r="K244" i="44"/>
  <c r="I244" i="44"/>
  <c r="J243" i="44"/>
  <c r="K243" i="44"/>
  <c r="I243" i="44"/>
  <c r="J242" i="44"/>
  <c r="K242" i="44"/>
  <c r="I242" i="44"/>
  <c r="J241" i="44"/>
  <c r="K241" i="44"/>
  <c r="I241" i="44"/>
  <c r="J240" i="44"/>
  <c r="K240" i="44"/>
  <c r="I240" i="44"/>
  <c r="J239" i="44"/>
  <c r="K239" i="44"/>
  <c r="I239" i="44"/>
  <c r="J238" i="44"/>
  <c r="K238" i="44"/>
  <c r="I238" i="44"/>
  <c r="J237" i="44"/>
  <c r="K237" i="44"/>
  <c r="I237" i="44"/>
  <c r="J236" i="44"/>
  <c r="K236" i="44"/>
  <c r="I236" i="44"/>
  <c r="J235" i="44"/>
  <c r="K235" i="44"/>
  <c r="I235" i="44"/>
  <c r="J234" i="44"/>
  <c r="K234" i="44"/>
  <c r="I234" i="44"/>
  <c r="J233" i="44"/>
  <c r="K233" i="44"/>
  <c r="I233" i="44"/>
  <c r="J232" i="44"/>
  <c r="K232" i="44"/>
  <c r="I232" i="44"/>
  <c r="J231" i="44"/>
  <c r="K231" i="44"/>
  <c r="I231" i="44"/>
  <c r="J230" i="44"/>
  <c r="K230" i="44"/>
  <c r="I230" i="44"/>
  <c r="J229" i="44"/>
  <c r="K229" i="44"/>
  <c r="I229" i="44"/>
  <c r="J228" i="44"/>
  <c r="K228" i="44"/>
  <c r="I228" i="44"/>
  <c r="J227" i="44"/>
  <c r="K227" i="44"/>
  <c r="I227" i="44"/>
  <c r="J226" i="44"/>
  <c r="K226" i="44"/>
  <c r="I226" i="44"/>
  <c r="J225" i="44"/>
  <c r="K225" i="44"/>
  <c r="I225" i="44"/>
  <c r="J224" i="44"/>
  <c r="K224" i="44"/>
  <c r="I224" i="44"/>
  <c r="G224" i="44"/>
  <c r="J223" i="44"/>
  <c r="K223" i="44"/>
  <c r="I223" i="44"/>
  <c r="J222" i="44"/>
  <c r="K222" i="44"/>
  <c r="I222" i="44"/>
  <c r="J221" i="44"/>
  <c r="K221" i="44"/>
  <c r="I221" i="44"/>
  <c r="J220" i="44"/>
  <c r="K220" i="44"/>
  <c r="I220" i="44"/>
  <c r="J219" i="44"/>
  <c r="K219" i="44"/>
  <c r="I219" i="44"/>
  <c r="J218" i="44"/>
  <c r="K218" i="44"/>
  <c r="I218" i="44"/>
  <c r="J217" i="44"/>
  <c r="K217" i="44"/>
  <c r="I217" i="44"/>
  <c r="J216" i="44"/>
  <c r="K216" i="44"/>
  <c r="I216" i="44"/>
  <c r="J215" i="44"/>
  <c r="K215" i="44"/>
  <c r="I215" i="44"/>
  <c r="J214" i="44"/>
  <c r="K214" i="44"/>
  <c r="I214" i="44"/>
  <c r="J213" i="44"/>
  <c r="K213" i="44"/>
  <c r="I213" i="44"/>
  <c r="J212" i="44"/>
  <c r="K212" i="44"/>
  <c r="I212" i="44"/>
  <c r="J211" i="44"/>
  <c r="K211" i="44"/>
  <c r="I211" i="44"/>
  <c r="J210" i="44"/>
  <c r="K210" i="44"/>
  <c r="I210" i="44"/>
  <c r="J209" i="44"/>
  <c r="K209" i="44"/>
  <c r="I209" i="44"/>
  <c r="J208" i="44"/>
  <c r="K208" i="44"/>
  <c r="I208" i="44"/>
  <c r="J207" i="44"/>
  <c r="K207" i="44"/>
  <c r="I207" i="44"/>
  <c r="J206" i="44"/>
  <c r="K206" i="44"/>
  <c r="I206" i="44"/>
  <c r="J205" i="44"/>
  <c r="K205" i="44"/>
  <c r="I205" i="44"/>
  <c r="J204" i="44"/>
  <c r="K204" i="44"/>
  <c r="I204" i="44"/>
  <c r="J203" i="44"/>
  <c r="K203" i="44"/>
  <c r="I203" i="44"/>
  <c r="J202" i="44"/>
  <c r="K202" i="44"/>
  <c r="I202" i="44"/>
  <c r="J201" i="44"/>
  <c r="K201" i="44"/>
  <c r="I201" i="44"/>
  <c r="J200" i="44"/>
  <c r="K200" i="44"/>
  <c r="I200" i="44"/>
  <c r="J199" i="44"/>
  <c r="K199" i="44"/>
  <c r="I199" i="44"/>
  <c r="J198" i="44"/>
  <c r="K198" i="44"/>
  <c r="I198" i="44"/>
  <c r="J197" i="44"/>
  <c r="K197" i="44"/>
  <c r="I197" i="44"/>
  <c r="J196" i="44"/>
  <c r="K196" i="44"/>
  <c r="I196" i="44"/>
  <c r="J195" i="44"/>
  <c r="K195" i="44"/>
  <c r="I195" i="44"/>
  <c r="J194" i="44"/>
  <c r="K194" i="44"/>
  <c r="I194" i="44"/>
  <c r="G193" i="44"/>
  <c r="I193" i="44"/>
  <c r="I192" i="44"/>
  <c r="G192" i="44"/>
  <c r="J191" i="44"/>
  <c r="K191" i="44"/>
  <c r="I191" i="44"/>
  <c r="J190" i="44"/>
  <c r="K190" i="44"/>
  <c r="I190" i="44"/>
  <c r="G189" i="44"/>
  <c r="I189" i="44"/>
  <c r="G188" i="44"/>
  <c r="I188" i="44"/>
  <c r="J187" i="44"/>
  <c r="K187" i="44"/>
  <c r="I187" i="44"/>
  <c r="G186" i="44"/>
  <c r="J186" i="44"/>
  <c r="K186" i="44"/>
  <c r="G185" i="44"/>
  <c r="J184" i="44"/>
  <c r="K184" i="44"/>
  <c r="I184" i="44"/>
  <c r="J183" i="44"/>
  <c r="I183" i="44"/>
  <c r="G183" i="44"/>
  <c r="J182" i="44"/>
  <c r="K182" i="44"/>
  <c r="I182" i="44"/>
  <c r="J181" i="44"/>
  <c r="K181" i="44"/>
  <c r="I181" i="44"/>
  <c r="J180" i="44"/>
  <c r="K180" i="44"/>
  <c r="I180" i="44"/>
  <c r="J179" i="44"/>
  <c r="K179" i="44"/>
  <c r="I179" i="44"/>
  <c r="J178" i="44"/>
  <c r="K178" i="44"/>
  <c r="I178" i="44"/>
  <c r="J177" i="44"/>
  <c r="K177" i="44"/>
  <c r="I177" i="44"/>
  <c r="J176" i="44"/>
  <c r="K176" i="44"/>
  <c r="I176" i="44"/>
  <c r="J175" i="44"/>
  <c r="K175" i="44"/>
  <c r="I175" i="44"/>
  <c r="J174" i="44"/>
  <c r="K174" i="44"/>
  <c r="I174" i="44"/>
  <c r="J173" i="44"/>
  <c r="K173" i="44"/>
  <c r="I173" i="44"/>
  <c r="J172" i="44"/>
  <c r="K172" i="44"/>
  <c r="I172" i="44"/>
  <c r="J171" i="44"/>
  <c r="K171" i="44"/>
  <c r="I171" i="44"/>
  <c r="J170" i="44"/>
  <c r="K170" i="44"/>
  <c r="I170" i="44"/>
  <c r="J169" i="44"/>
  <c r="K169" i="44"/>
  <c r="I169" i="44"/>
  <c r="J168" i="44"/>
  <c r="K168" i="44"/>
  <c r="I168" i="44"/>
  <c r="J167" i="44"/>
  <c r="K167" i="44"/>
  <c r="I167" i="44"/>
  <c r="J166" i="44"/>
  <c r="K166" i="44"/>
  <c r="I166" i="44"/>
  <c r="J165" i="44"/>
  <c r="K165" i="44"/>
  <c r="I165" i="44"/>
  <c r="J164" i="44"/>
  <c r="K164" i="44"/>
  <c r="I164" i="44"/>
  <c r="J163" i="44"/>
  <c r="K163" i="44"/>
  <c r="I163" i="44"/>
  <c r="J162" i="44"/>
  <c r="K162" i="44"/>
  <c r="I162" i="44"/>
  <c r="J161" i="44"/>
  <c r="K161" i="44"/>
  <c r="I161" i="44"/>
  <c r="J160" i="44"/>
  <c r="K160" i="44"/>
  <c r="I160" i="44"/>
  <c r="J159" i="44"/>
  <c r="K159" i="44"/>
  <c r="I159" i="44"/>
  <c r="J158" i="44"/>
  <c r="K158" i="44"/>
  <c r="I158" i="44"/>
  <c r="J157" i="44"/>
  <c r="K157" i="44"/>
  <c r="I157" i="44"/>
  <c r="J156" i="44"/>
  <c r="K156" i="44"/>
  <c r="I156" i="44"/>
  <c r="J155" i="44"/>
  <c r="K155" i="44"/>
  <c r="I155" i="44"/>
  <c r="J154" i="44"/>
  <c r="K154" i="44"/>
  <c r="I154" i="44"/>
  <c r="J153" i="44"/>
  <c r="K153" i="44"/>
  <c r="I153" i="44"/>
  <c r="J152" i="44"/>
  <c r="K152" i="44"/>
  <c r="I152" i="44"/>
  <c r="J151" i="44"/>
  <c r="K151" i="44"/>
  <c r="I151" i="44"/>
  <c r="J150" i="44"/>
  <c r="K150" i="44"/>
  <c r="I150" i="44"/>
  <c r="J149" i="44"/>
  <c r="K149" i="44"/>
  <c r="I149" i="44"/>
  <c r="J148" i="44"/>
  <c r="K148" i="44"/>
  <c r="I148" i="44"/>
  <c r="J147" i="44"/>
  <c r="K147" i="44"/>
  <c r="I147" i="44"/>
  <c r="J146" i="44"/>
  <c r="K146" i="44"/>
  <c r="I146" i="44"/>
  <c r="J145" i="44"/>
  <c r="K145" i="44"/>
  <c r="I145" i="44"/>
  <c r="J144" i="44"/>
  <c r="K144" i="44"/>
  <c r="I144" i="44"/>
  <c r="J143" i="44"/>
  <c r="K143" i="44"/>
  <c r="I143" i="44"/>
  <c r="J142" i="44"/>
  <c r="K142" i="44"/>
  <c r="I142" i="44"/>
  <c r="J141" i="44"/>
  <c r="K141" i="44"/>
  <c r="I141" i="44"/>
  <c r="J140" i="44"/>
  <c r="K140" i="44"/>
  <c r="I140" i="44"/>
  <c r="J139" i="44"/>
  <c r="K139" i="44"/>
  <c r="I139" i="44"/>
  <c r="J138" i="44"/>
  <c r="K138" i="44"/>
  <c r="I138" i="44"/>
  <c r="J137" i="44"/>
  <c r="K137" i="44"/>
  <c r="I137" i="44"/>
  <c r="J136" i="44"/>
  <c r="K136" i="44"/>
  <c r="I136" i="44"/>
  <c r="J135" i="44"/>
  <c r="K135" i="44"/>
  <c r="I135" i="44"/>
  <c r="J134" i="44"/>
  <c r="K134" i="44"/>
  <c r="I134" i="44"/>
  <c r="J133" i="44"/>
  <c r="K133" i="44"/>
  <c r="I133" i="44"/>
  <c r="J132" i="44"/>
  <c r="K132" i="44"/>
  <c r="I132" i="44"/>
  <c r="J131" i="44"/>
  <c r="K131" i="44"/>
  <c r="I131" i="44"/>
  <c r="J130" i="44"/>
  <c r="K130" i="44"/>
  <c r="I130" i="44"/>
  <c r="J129" i="44"/>
  <c r="K129" i="44"/>
  <c r="I129" i="44"/>
  <c r="J128" i="44"/>
  <c r="K128" i="44"/>
  <c r="I128" i="44"/>
  <c r="J127" i="44"/>
  <c r="K127" i="44"/>
  <c r="I127" i="44"/>
  <c r="J126" i="44"/>
  <c r="K126" i="44"/>
  <c r="I126" i="44"/>
  <c r="J125" i="44"/>
  <c r="K125" i="44"/>
  <c r="I125" i="44"/>
  <c r="K124" i="44"/>
  <c r="I124" i="44"/>
  <c r="J123" i="44"/>
  <c r="K123" i="44"/>
  <c r="I123" i="44"/>
  <c r="J122" i="44"/>
  <c r="K122" i="44"/>
  <c r="I122" i="44"/>
  <c r="J121" i="44"/>
  <c r="K121" i="44"/>
  <c r="I121" i="44"/>
  <c r="J120" i="44"/>
  <c r="K120" i="44"/>
  <c r="I120" i="44"/>
  <c r="J119" i="44"/>
  <c r="K119" i="44"/>
  <c r="I119" i="44"/>
  <c r="J118" i="44"/>
  <c r="K118" i="44"/>
  <c r="I118" i="44"/>
  <c r="J117" i="44"/>
  <c r="K117" i="44"/>
  <c r="I117" i="44"/>
  <c r="J116" i="44"/>
  <c r="K116" i="44"/>
  <c r="I116" i="44"/>
  <c r="J115" i="44"/>
  <c r="K115" i="44"/>
  <c r="I115" i="44"/>
  <c r="J114" i="44"/>
  <c r="K114" i="44"/>
  <c r="I114" i="44"/>
  <c r="J113" i="44"/>
  <c r="K113" i="44"/>
  <c r="I113" i="44"/>
  <c r="J112" i="44"/>
  <c r="K112" i="44"/>
  <c r="I112" i="44"/>
  <c r="J111" i="44"/>
  <c r="K111" i="44"/>
  <c r="I111" i="44"/>
  <c r="J110" i="44"/>
  <c r="K110" i="44"/>
  <c r="I110" i="44"/>
  <c r="J109" i="44"/>
  <c r="K109" i="44"/>
  <c r="I109" i="44"/>
  <c r="J108" i="44"/>
  <c r="K108" i="44"/>
  <c r="I108" i="44"/>
  <c r="J107" i="44"/>
  <c r="K107" i="44"/>
  <c r="I107" i="44"/>
  <c r="J106" i="44"/>
  <c r="K106" i="44"/>
  <c r="I106" i="44"/>
  <c r="J105" i="44"/>
  <c r="K105" i="44"/>
  <c r="I105" i="44"/>
  <c r="J104" i="44"/>
  <c r="K104" i="44"/>
  <c r="I104" i="44"/>
  <c r="J103" i="44"/>
  <c r="K103" i="44"/>
  <c r="I103" i="44"/>
  <c r="J102" i="44"/>
  <c r="K102" i="44"/>
  <c r="I102" i="44"/>
  <c r="J101" i="44"/>
  <c r="K101" i="44"/>
  <c r="I101" i="44"/>
  <c r="J100" i="44"/>
  <c r="K100" i="44"/>
  <c r="I100" i="44"/>
  <c r="J99" i="44"/>
  <c r="K99" i="44"/>
  <c r="I99" i="44"/>
  <c r="J98" i="44"/>
  <c r="K98" i="44"/>
  <c r="I98" i="44"/>
  <c r="J97" i="44"/>
  <c r="K97" i="44"/>
  <c r="I97" i="44"/>
  <c r="J96" i="44"/>
  <c r="K96" i="44"/>
  <c r="I96" i="44"/>
  <c r="J95" i="44"/>
  <c r="K95" i="44"/>
  <c r="I95" i="44"/>
  <c r="J94" i="44"/>
  <c r="K94" i="44"/>
  <c r="I94" i="44"/>
  <c r="J93" i="44"/>
  <c r="K93" i="44"/>
  <c r="I93" i="44"/>
  <c r="J92" i="44"/>
  <c r="K92" i="44"/>
  <c r="I92" i="44"/>
  <c r="J91" i="44"/>
  <c r="K91" i="44"/>
  <c r="I91" i="44"/>
  <c r="J90" i="44"/>
  <c r="K90" i="44"/>
  <c r="I90" i="44"/>
  <c r="J89" i="44"/>
  <c r="K89" i="44"/>
  <c r="I89" i="44"/>
  <c r="J88" i="44"/>
  <c r="K88" i="44"/>
  <c r="I88" i="44"/>
  <c r="J87" i="44"/>
  <c r="K87" i="44"/>
  <c r="I87" i="44"/>
  <c r="J86" i="44"/>
  <c r="K86" i="44"/>
  <c r="I86" i="44"/>
  <c r="J85" i="44"/>
  <c r="K85" i="44"/>
  <c r="I85" i="44"/>
  <c r="J84" i="44"/>
  <c r="K84" i="44"/>
  <c r="I84" i="44"/>
  <c r="J83" i="44"/>
  <c r="K83" i="44"/>
  <c r="I83" i="44"/>
  <c r="J82" i="44"/>
  <c r="K82" i="44"/>
  <c r="I82" i="44"/>
  <c r="J81" i="44"/>
  <c r="K81" i="44"/>
  <c r="I81" i="44"/>
  <c r="J80" i="44"/>
  <c r="K80" i="44"/>
  <c r="I80" i="44"/>
  <c r="J79" i="44"/>
  <c r="K79" i="44"/>
  <c r="I79" i="44"/>
  <c r="J78" i="44"/>
  <c r="K78" i="44"/>
  <c r="I78" i="44"/>
  <c r="J77" i="44"/>
  <c r="K77" i="44"/>
  <c r="I77" i="44"/>
  <c r="J76" i="44"/>
  <c r="K76" i="44"/>
  <c r="I76" i="44"/>
  <c r="J75" i="44"/>
  <c r="K75" i="44"/>
  <c r="I75" i="44"/>
  <c r="J74" i="44"/>
  <c r="K74" i="44"/>
  <c r="I74" i="44"/>
  <c r="J73" i="44"/>
  <c r="K73" i="44"/>
  <c r="I73" i="44"/>
  <c r="J72" i="44"/>
  <c r="K72" i="44"/>
  <c r="I72" i="44"/>
  <c r="J71" i="44"/>
  <c r="K71" i="44"/>
  <c r="I71" i="44"/>
  <c r="J70" i="44"/>
  <c r="K70" i="44"/>
  <c r="I70" i="44"/>
  <c r="J69" i="44"/>
  <c r="K69" i="44"/>
  <c r="I69" i="44"/>
  <c r="J68" i="44"/>
  <c r="K68" i="44"/>
  <c r="I68" i="44"/>
  <c r="J67" i="44"/>
  <c r="K67" i="44"/>
  <c r="I67" i="44"/>
  <c r="J66" i="44"/>
  <c r="K66" i="44"/>
  <c r="I66" i="44"/>
  <c r="J65" i="44"/>
  <c r="K65" i="44"/>
  <c r="I65" i="44"/>
  <c r="J64" i="44"/>
  <c r="K64" i="44"/>
  <c r="I64" i="44"/>
  <c r="J63" i="44"/>
  <c r="K63" i="44"/>
  <c r="I63" i="44"/>
  <c r="J62" i="44"/>
  <c r="K62" i="44"/>
  <c r="I62" i="44"/>
  <c r="J61" i="44"/>
  <c r="K61" i="44"/>
  <c r="I61" i="44"/>
  <c r="J60" i="44"/>
  <c r="K60" i="44"/>
  <c r="I60" i="44"/>
  <c r="J59" i="44"/>
  <c r="K59" i="44"/>
  <c r="I59" i="44"/>
  <c r="J58" i="44"/>
  <c r="K58" i="44"/>
  <c r="I58" i="44"/>
  <c r="J57" i="44"/>
  <c r="K57" i="44"/>
  <c r="I57" i="44"/>
  <c r="J56" i="44"/>
  <c r="K56" i="44"/>
  <c r="I56" i="44"/>
  <c r="J55" i="44"/>
  <c r="K55" i="44"/>
  <c r="I55" i="44"/>
  <c r="J54" i="44"/>
  <c r="K54" i="44"/>
  <c r="I54" i="44"/>
  <c r="J53" i="44"/>
  <c r="K53" i="44"/>
  <c r="I53" i="44"/>
  <c r="J52" i="44"/>
  <c r="K52" i="44"/>
  <c r="I52" i="44"/>
  <c r="J51" i="44"/>
  <c r="K51" i="44"/>
  <c r="I51" i="44"/>
  <c r="J50" i="44"/>
  <c r="K50" i="44"/>
  <c r="I50" i="44"/>
  <c r="J49" i="44"/>
  <c r="K49" i="44"/>
  <c r="I49" i="44"/>
  <c r="J48" i="44"/>
  <c r="K48" i="44"/>
  <c r="I48" i="44"/>
  <c r="J47" i="44"/>
  <c r="K47" i="44"/>
  <c r="I47" i="44"/>
  <c r="J46" i="44"/>
  <c r="K46" i="44"/>
  <c r="I46" i="44"/>
  <c r="J45" i="44"/>
  <c r="K45" i="44"/>
  <c r="I45" i="44"/>
  <c r="J44" i="44"/>
  <c r="K44" i="44"/>
  <c r="I44" i="44"/>
  <c r="J43" i="44"/>
  <c r="K43" i="44"/>
  <c r="I43" i="44"/>
  <c r="J42" i="44"/>
  <c r="K42" i="44"/>
  <c r="I42" i="44"/>
  <c r="J41" i="44"/>
  <c r="K41" i="44"/>
  <c r="I41" i="44"/>
  <c r="J40" i="44"/>
  <c r="K40" i="44"/>
  <c r="I40" i="44"/>
  <c r="J39" i="44"/>
  <c r="K39" i="44"/>
  <c r="I39" i="44"/>
  <c r="J38" i="44"/>
  <c r="K38" i="44"/>
  <c r="I38" i="44"/>
  <c r="J37" i="44"/>
  <c r="K37" i="44"/>
  <c r="I37" i="44"/>
  <c r="J36" i="44"/>
  <c r="K36" i="44"/>
  <c r="I36" i="44"/>
  <c r="J35" i="44"/>
  <c r="K35" i="44"/>
  <c r="I35" i="44"/>
  <c r="J34" i="44"/>
  <c r="K34" i="44"/>
  <c r="I34" i="44"/>
  <c r="J33" i="44"/>
  <c r="K33" i="44"/>
  <c r="I33" i="44"/>
  <c r="J32" i="44"/>
  <c r="K32" i="44"/>
  <c r="I32" i="44"/>
  <c r="J31" i="44"/>
  <c r="K31" i="44"/>
  <c r="I31" i="44"/>
  <c r="J30" i="44"/>
  <c r="K30" i="44"/>
  <c r="I30" i="44"/>
  <c r="J29" i="44"/>
  <c r="K29" i="44"/>
  <c r="I29" i="44"/>
  <c r="J28" i="44"/>
  <c r="K28" i="44"/>
  <c r="I28" i="44"/>
  <c r="J27" i="44"/>
  <c r="K27" i="44"/>
  <c r="I27" i="44"/>
  <c r="J26" i="44"/>
  <c r="K26" i="44"/>
  <c r="I26" i="44"/>
  <c r="J25" i="44"/>
  <c r="K25" i="44"/>
  <c r="I25" i="44"/>
  <c r="J24" i="44"/>
  <c r="K24" i="44"/>
  <c r="I24" i="44"/>
  <c r="J23" i="44"/>
  <c r="K23" i="44"/>
  <c r="I23" i="44"/>
  <c r="J22" i="44"/>
  <c r="K22" i="44"/>
  <c r="I22" i="44"/>
  <c r="J21" i="44"/>
  <c r="K21" i="44"/>
  <c r="I21" i="44"/>
  <c r="J20" i="44"/>
  <c r="K20" i="44"/>
  <c r="I20" i="44"/>
  <c r="J19" i="44"/>
  <c r="K19" i="44"/>
  <c r="I19" i="44"/>
  <c r="J18" i="44"/>
  <c r="K18" i="44"/>
  <c r="I18" i="44"/>
  <c r="J17" i="44"/>
  <c r="K17" i="44"/>
  <c r="I17" i="44"/>
  <c r="J16" i="44"/>
  <c r="K16" i="44"/>
  <c r="I16" i="44"/>
  <c r="J15" i="44"/>
  <c r="K15" i="44"/>
  <c r="I15" i="44"/>
  <c r="J14" i="44"/>
  <c r="K14" i="44"/>
  <c r="I14" i="44"/>
  <c r="G14" i="44"/>
  <c r="J13" i="44"/>
  <c r="K13" i="44"/>
  <c r="I13" i="44"/>
  <c r="J12" i="44"/>
  <c r="K12" i="44"/>
  <c r="I12" i="44"/>
  <c r="J11" i="44"/>
  <c r="K11" i="44"/>
  <c r="I11" i="44"/>
  <c r="J10" i="44"/>
  <c r="K10" i="44"/>
  <c r="I10" i="44"/>
  <c r="J9" i="44"/>
  <c r="K9" i="44"/>
  <c r="I9" i="44"/>
  <c r="J8" i="44"/>
  <c r="K8" i="44"/>
  <c r="I8" i="44"/>
  <c r="J7" i="44"/>
  <c r="K7" i="44"/>
  <c r="I7" i="44"/>
  <c r="J6" i="44"/>
  <c r="K6" i="44"/>
  <c r="I6" i="44"/>
  <c r="J5" i="44"/>
  <c r="K5" i="44"/>
  <c r="I5" i="44"/>
  <c r="J4" i="44"/>
  <c r="K4" i="44"/>
  <c r="I4" i="44"/>
  <c r="J3" i="44"/>
  <c r="K3" i="44"/>
  <c r="I3" i="44"/>
  <c r="M2" i="44"/>
  <c r="I397" i="1"/>
  <c r="J397" i="1"/>
  <c r="K397" i="1" s="1"/>
  <c r="I398" i="1"/>
  <c r="J398" i="1"/>
  <c r="K398" i="1" s="1"/>
  <c r="I399" i="1"/>
  <c r="J399" i="1"/>
  <c r="K399" i="1" s="1"/>
  <c r="J400" i="1"/>
  <c r="I401" i="1"/>
  <c r="J401" i="1"/>
  <c r="K401" i="1" s="1"/>
  <c r="I402" i="1"/>
  <c r="J402" i="1"/>
  <c r="K402" i="1" s="1"/>
  <c r="I403" i="1"/>
  <c r="J403" i="1"/>
  <c r="K403" i="1" s="1"/>
  <c r="I404" i="1"/>
  <c r="J404" i="1"/>
  <c r="K404" i="1" s="1"/>
  <c r="I405" i="1"/>
  <c r="J405" i="1"/>
  <c r="K405" i="1" s="1"/>
  <c r="I406" i="1"/>
  <c r="J406" i="1"/>
  <c r="K406" i="1" s="1"/>
  <c r="I407" i="1"/>
  <c r="J407" i="1"/>
  <c r="K407" i="1" s="1"/>
  <c r="I408" i="1"/>
  <c r="J408" i="1"/>
  <c r="K408" i="1" s="1"/>
  <c r="I409" i="1"/>
  <c r="J409" i="1"/>
  <c r="K409" i="1" s="1"/>
  <c r="I410" i="1"/>
  <c r="J410" i="1"/>
  <c r="K410" i="1" s="1"/>
  <c r="I411" i="1"/>
  <c r="J411" i="1"/>
  <c r="K411" i="1" s="1"/>
  <c r="I412" i="1"/>
  <c r="J412" i="1"/>
  <c r="K412" i="1" s="1"/>
  <c r="N2" i="44"/>
  <c r="J193" i="44"/>
  <c r="K193" i="44"/>
  <c r="O2" i="44"/>
  <c r="K183" i="44"/>
  <c r="I186" i="44"/>
  <c r="J188" i="44"/>
  <c r="K188" i="44"/>
  <c r="I185" i="44"/>
  <c r="J189" i="44"/>
  <c r="K189" i="44"/>
  <c r="J185" i="44"/>
  <c r="K185" i="44"/>
  <c r="J192" i="44"/>
  <c r="K192" i="44"/>
  <c r="I396" i="1"/>
  <c r="J396" i="1"/>
  <c r="K396" i="1" s="1"/>
  <c r="I395" i="1"/>
  <c r="J395" i="1"/>
  <c r="K395" i="1" s="1"/>
  <c r="I394" i="1"/>
  <c r="J394" i="1"/>
  <c r="K394" i="1" s="1"/>
  <c r="J393" i="1"/>
  <c r="K393" i="1" s="1"/>
  <c r="I392" i="1"/>
  <c r="J392" i="1"/>
  <c r="K392" i="1" s="1"/>
  <c r="I391" i="1"/>
  <c r="J391" i="1"/>
  <c r="K391" i="1" s="1"/>
  <c r="I390" i="1"/>
  <c r="J390" i="1"/>
  <c r="K390" i="1" s="1"/>
  <c r="I389" i="1"/>
  <c r="J389" i="1"/>
  <c r="K389" i="1" s="1"/>
  <c r="I388" i="1"/>
  <c r="J388" i="1"/>
  <c r="K388" i="1" s="1"/>
  <c r="I387" i="1"/>
  <c r="J387" i="1"/>
  <c r="K387" i="1" s="1"/>
  <c r="I386" i="1"/>
  <c r="J386" i="1"/>
  <c r="K386" i="1" s="1"/>
  <c r="I385" i="1"/>
  <c r="J385" i="1"/>
  <c r="K385" i="1" s="1"/>
  <c r="J381" i="1"/>
  <c r="K381" i="1" s="1"/>
  <c r="J382" i="1"/>
  <c r="K382" i="1" s="1"/>
  <c r="J383" i="1"/>
  <c r="K383" i="1" s="1"/>
  <c r="J384" i="1"/>
  <c r="K384" i="1" s="1"/>
  <c r="I384" i="1"/>
  <c r="I381" i="1"/>
  <c r="I382" i="1"/>
  <c r="I383" i="1"/>
  <c r="I375" i="1"/>
  <c r="J375" i="1"/>
  <c r="K375" i="1" s="1"/>
  <c r="I376" i="1"/>
  <c r="J376" i="1"/>
  <c r="K376" i="1" s="1"/>
  <c r="I377" i="1"/>
  <c r="J377" i="1"/>
  <c r="K377" i="1" s="1"/>
  <c r="J378" i="1"/>
  <c r="K378" i="1" s="1"/>
  <c r="I379" i="1"/>
  <c r="J379" i="1"/>
  <c r="K379" i="1" s="1"/>
  <c r="I380" i="1"/>
  <c r="J380" i="1"/>
  <c r="K380" i="1" s="1"/>
  <c r="I374" i="1"/>
  <c r="J374" i="1"/>
  <c r="K374" i="1" s="1"/>
  <c r="L121" i="36"/>
  <c r="L122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6" i="36"/>
  <c r="I373" i="1"/>
  <c r="J373" i="1"/>
  <c r="K373" i="1" s="1"/>
  <c r="L79" i="36"/>
  <c r="I372" i="1"/>
  <c r="J372" i="1"/>
  <c r="K372" i="1" s="1"/>
  <c r="I371" i="1"/>
  <c r="J371" i="1"/>
  <c r="K371" i="1" s="1"/>
  <c r="I370" i="1"/>
  <c r="J370" i="1"/>
  <c r="K370" i="1" s="1"/>
  <c r="I369" i="1"/>
  <c r="J369" i="1"/>
  <c r="K369" i="1" s="1"/>
  <c r="I368" i="1"/>
  <c r="J368" i="1"/>
  <c r="K368" i="1" s="1"/>
  <c r="I367" i="1"/>
  <c r="J367" i="1"/>
  <c r="K367" i="1" s="1"/>
  <c r="I366" i="1"/>
  <c r="J366" i="1"/>
  <c r="K366" i="1" s="1"/>
  <c r="I365" i="1"/>
  <c r="J365" i="1"/>
  <c r="K365" i="1" s="1"/>
  <c r="J360" i="1"/>
  <c r="K360" i="1" s="1"/>
  <c r="J361" i="1"/>
  <c r="K361" i="1" s="1"/>
  <c r="J362" i="1"/>
  <c r="K362" i="1" s="1"/>
  <c r="J363" i="1"/>
  <c r="K363" i="1" s="1"/>
  <c r="J364" i="1"/>
  <c r="K364" i="1" s="1"/>
  <c r="I360" i="1"/>
  <c r="I361" i="1"/>
  <c r="I362" i="1"/>
  <c r="I363" i="1"/>
  <c r="I364" i="1"/>
  <c r="I359" i="1"/>
  <c r="J359" i="1"/>
  <c r="K359" i="1" s="1"/>
  <c r="J16" i="36"/>
  <c r="C141" i="36"/>
  <c r="D39" i="36"/>
  <c r="E39" i="36"/>
  <c r="F39" i="36"/>
  <c r="G39" i="36"/>
  <c r="H39" i="36"/>
  <c r="C39" i="36"/>
  <c r="H16" i="36"/>
  <c r="G16" i="36"/>
  <c r="F16" i="36"/>
  <c r="E16" i="36"/>
  <c r="D16" i="36"/>
  <c r="D132" i="36" s="1"/>
  <c r="C16" i="36"/>
  <c r="C132" i="36" s="1"/>
  <c r="K16" i="36"/>
  <c r="I349" i="1"/>
  <c r="J349" i="1"/>
  <c r="K349" i="1" s="1"/>
  <c r="I350" i="1"/>
  <c r="J350" i="1"/>
  <c r="K350" i="1" s="1"/>
  <c r="I351" i="1"/>
  <c r="J351" i="1"/>
  <c r="K351" i="1" s="1"/>
  <c r="I352" i="1"/>
  <c r="J352" i="1"/>
  <c r="K352" i="1" s="1"/>
  <c r="I353" i="1"/>
  <c r="J353" i="1"/>
  <c r="K353" i="1" s="1"/>
  <c r="I354" i="1"/>
  <c r="J354" i="1"/>
  <c r="K354" i="1" s="1"/>
  <c r="I355" i="1"/>
  <c r="J355" i="1"/>
  <c r="K355" i="1" s="1"/>
  <c r="I356" i="1"/>
  <c r="J356" i="1"/>
  <c r="K356" i="1" s="1"/>
  <c r="I357" i="1"/>
  <c r="J357" i="1"/>
  <c r="K357" i="1" s="1"/>
  <c r="I358" i="1"/>
  <c r="J358" i="1"/>
  <c r="K358" i="1" s="1"/>
  <c r="K132" i="36"/>
  <c r="E132" i="36"/>
  <c r="G132" i="36"/>
  <c r="H132" i="36"/>
  <c r="F132" i="36"/>
  <c r="L109" i="36"/>
  <c r="L100" i="36"/>
  <c r="L84" i="36"/>
  <c r="L118" i="36"/>
  <c r="L110" i="36"/>
  <c r="L99" i="36"/>
  <c r="L108" i="36"/>
  <c r="L98" i="36"/>
  <c r="L119" i="36"/>
  <c r="L83" i="36"/>
  <c r="L120" i="36"/>
  <c r="L92" i="36"/>
  <c r="L91" i="36"/>
  <c r="L112" i="36"/>
  <c r="L116" i="36"/>
  <c r="L90" i="36"/>
  <c r="L89" i="36"/>
  <c r="L111" i="36"/>
  <c r="L103" i="36"/>
  <c r="L97" i="36"/>
  <c r="L102" i="36"/>
  <c r="L117" i="36"/>
  <c r="L88" i="36"/>
  <c r="M39" i="36"/>
  <c r="L95" i="36"/>
  <c r="L87" i="36"/>
  <c r="L115" i="36"/>
  <c r="L107" i="36"/>
  <c r="L82" i="36"/>
  <c r="L94" i="36"/>
  <c r="L86" i="36"/>
  <c r="L114" i="36"/>
  <c r="L106" i="36"/>
  <c r="L96" i="36"/>
  <c r="L101" i="36"/>
  <c r="L93" i="36"/>
  <c r="L85" i="36"/>
  <c r="L113" i="36"/>
  <c r="L105" i="36"/>
  <c r="L104" i="36"/>
  <c r="J39" i="36"/>
  <c r="I348" i="1"/>
  <c r="J348" i="1"/>
  <c r="K348" i="1" s="1"/>
  <c r="L39" i="36"/>
  <c r="M16" i="36"/>
  <c r="L16" i="36"/>
  <c r="I347" i="1"/>
  <c r="J347" i="1"/>
  <c r="K347" i="1" s="1"/>
  <c r="I346" i="1"/>
  <c r="J346" i="1"/>
  <c r="K346" i="1" s="1"/>
  <c r="I345" i="1"/>
  <c r="J345" i="1"/>
  <c r="K345" i="1" s="1"/>
  <c r="I344" i="1"/>
  <c r="J344" i="1"/>
  <c r="K344" i="1" s="1"/>
  <c r="I343" i="1"/>
  <c r="J343" i="1"/>
  <c r="K343" i="1" s="1"/>
  <c r="I342" i="1"/>
  <c r="J342" i="1"/>
  <c r="K342" i="1" s="1"/>
  <c r="I341" i="1"/>
  <c r="J341" i="1"/>
  <c r="K341" i="1" s="1"/>
  <c r="I340" i="1"/>
  <c r="J340" i="1"/>
  <c r="K340" i="1" s="1"/>
  <c r="I339" i="1"/>
  <c r="J339" i="1"/>
  <c r="K339" i="1" s="1"/>
  <c r="I338" i="1"/>
  <c r="J338" i="1"/>
  <c r="K338" i="1" s="1"/>
  <c r="I336" i="1"/>
  <c r="J336" i="1"/>
  <c r="K336" i="1" s="1"/>
  <c r="I335" i="1"/>
  <c r="J335" i="1"/>
  <c r="K335" i="1" s="1"/>
  <c r="I334" i="1"/>
  <c r="J334" i="1"/>
  <c r="K334" i="1" s="1"/>
  <c r="I333" i="1"/>
  <c r="J333" i="1"/>
  <c r="K333" i="1" s="1"/>
  <c r="I332" i="1"/>
  <c r="J332" i="1"/>
  <c r="K332" i="1" s="1"/>
  <c r="I331" i="1"/>
  <c r="J331" i="1"/>
  <c r="K331" i="1" s="1"/>
  <c r="I330" i="1"/>
  <c r="J330" i="1"/>
  <c r="K330" i="1" s="1"/>
  <c r="I329" i="1"/>
  <c r="J329" i="1"/>
  <c r="K329" i="1" s="1"/>
  <c r="I328" i="1"/>
  <c r="J328" i="1"/>
  <c r="K328" i="1" s="1"/>
  <c r="I327" i="1"/>
  <c r="J327" i="1"/>
  <c r="K327" i="1" s="1"/>
  <c r="I326" i="1"/>
  <c r="J326" i="1"/>
  <c r="K326" i="1" s="1"/>
  <c r="I325" i="1"/>
  <c r="J325" i="1"/>
  <c r="K325" i="1" s="1"/>
  <c r="I324" i="1"/>
  <c r="J324" i="1"/>
  <c r="K324" i="1" s="1"/>
  <c r="I323" i="1"/>
  <c r="J323" i="1"/>
  <c r="K323" i="1" s="1"/>
  <c r="I322" i="1"/>
  <c r="J322" i="1"/>
  <c r="K322" i="1" s="1"/>
  <c r="I321" i="1"/>
  <c r="J321" i="1"/>
  <c r="K321" i="1" s="1"/>
  <c r="I320" i="1"/>
  <c r="J320" i="1"/>
  <c r="K320" i="1" s="1"/>
  <c r="I319" i="1"/>
  <c r="J319" i="1"/>
  <c r="K319" i="1" s="1"/>
  <c r="I318" i="1"/>
  <c r="J318" i="1"/>
  <c r="K318" i="1" s="1"/>
  <c r="I317" i="1"/>
  <c r="J317" i="1"/>
  <c r="K317" i="1" s="1"/>
  <c r="I316" i="1"/>
  <c r="J316" i="1"/>
  <c r="K316" i="1" s="1"/>
  <c r="I315" i="1"/>
  <c r="J315" i="1"/>
  <c r="K315" i="1" s="1"/>
  <c r="I314" i="1"/>
  <c r="J314" i="1"/>
  <c r="K314" i="1" s="1"/>
  <c r="I313" i="1"/>
  <c r="J313" i="1"/>
  <c r="K313" i="1" s="1"/>
  <c r="I312" i="1"/>
  <c r="J312" i="1"/>
  <c r="K312" i="1" s="1"/>
  <c r="I311" i="1"/>
  <c r="J311" i="1"/>
  <c r="K311" i="1" s="1"/>
  <c r="I310" i="1"/>
  <c r="J310" i="1"/>
  <c r="K310" i="1" s="1"/>
  <c r="I309" i="1"/>
  <c r="J309" i="1"/>
  <c r="K309" i="1" s="1"/>
  <c r="I308" i="1"/>
  <c r="J308" i="1"/>
  <c r="K308" i="1" s="1"/>
  <c r="I307" i="1"/>
  <c r="J307" i="1"/>
  <c r="K307" i="1" s="1"/>
  <c r="I306" i="1"/>
  <c r="J306" i="1"/>
  <c r="K306" i="1" s="1"/>
  <c r="I305" i="1"/>
  <c r="J305" i="1"/>
  <c r="K305" i="1" s="1"/>
  <c r="I304" i="1"/>
  <c r="J304" i="1"/>
  <c r="K304" i="1" s="1"/>
  <c r="I303" i="1"/>
  <c r="J303" i="1"/>
  <c r="K303" i="1" s="1"/>
  <c r="I302" i="1"/>
  <c r="J302" i="1"/>
  <c r="K302" i="1" s="1"/>
  <c r="J300" i="1"/>
  <c r="K300" i="1" s="1"/>
  <c r="J301" i="1"/>
  <c r="K301" i="1" s="1"/>
  <c r="I300" i="1"/>
  <c r="I301" i="1"/>
  <c r="I299" i="1"/>
  <c r="J299" i="1"/>
  <c r="K299" i="1" s="1"/>
  <c r="I298" i="1"/>
  <c r="J298" i="1"/>
  <c r="K298" i="1" s="1"/>
  <c r="I297" i="1"/>
  <c r="J297" i="1"/>
  <c r="K297" i="1" s="1"/>
  <c r="I296" i="1"/>
  <c r="J296" i="1"/>
  <c r="K296" i="1" s="1"/>
  <c r="I295" i="1"/>
  <c r="J295" i="1"/>
  <c r="K295" i="1" s="1"/>
  <c r="I294" i="1"/>
  <c r="J294" i="1"/>
  <c r="K294" i="1" s="1"/>
  <c r="I293" i="1"/>
  <c r="J293" i="1"/>
  <c r="K293" i="1" s="1"/>
  <c r="I292" i="1"/>
  <c r="J292" i="1"/>
  <c r="K292" i="1" s="1"/>
  <c r="I291" i="1"/>
  <c r="J291" i="1"/>
  <c r="K291" i="1" s="1"/>
  <c r="I290" i="1"/>
  <c r="J290" i="1"/>
  <c r="K290" i="1" s="1"/>
  <c r="I289" i="1"/>
  <c r="J289" i="1"/>
  <c r="K289" i="1" s="1"/>
  <c r="I288" i="1"/>
  <c r="J288" i="1"/>
  <c r="K288" i="1" s="1"/>
  <c r="I287" i="1"/>
  <c r="J287" i="1"/>
  <c r="K287" i="1" s="1"/>
  <c r="I286" i="1"/>
  <c r="J286" i="1"/>
  <c r="K286" i="1" s="1"/>
  <c r="I285" i="1"/>
  <c r="J285" i="1"/>
  <c r="K285" i="1" s="1"/>
  <c r="I284" i="1"/>
  <c r="J284" i="1"/>
  <c r="K284" i="1" s="1"/>
  <c r="I283" i="1"/>
  <c r="J283" i="1"/>
  <c r="K283" i="1" s="1"/>
  <c r="I282" i="1"/>
  <c r="J282" i="1"/>
  <c r="K282" i="1" s="1"/>
  <c r="I281" i="1"/>
  <c r="J281" i="1"/>
  <c r="K281" i="1" s="1"/>
  <c r="I280" i="1"/>
  <c r="J280" i="1"/>
  <c r="K280" i="1" s="1"/>
  <c r="I279" i="1"/>
  <c r="J279" i="1"/>
  <c r="K279" i="1" s="1"/>
  <c r="I278" i="1"/>
  <c r="J278" i="1"/>
  <c r="K278" i="1" s="1"/>
  <c r="I277" i="1"/>
  <c r="J277" i="1"/>
  <c r="K277" i="1" s="1"/>
  <c r="I276" i="1"/>
  <c r="J276" i="1"/>
  <c r="K276" i="1" s="1"/>
  <c r="I275" i="1"/>
  <c r="J275" i="1"/>
  <c r="K275" i="1" s="1"/>
  <c r="I274" i="1"/>
  <c r="J274" i="1"/>
  <c r="K274" i="1" s="1"/>
  <c r="I273" i="1"/>
  <c r="J273" i="1"/>
  <c r="K273" i="1" s="1"/>
  <c r="I272" i="1"/>
  <c r="J272" i="1"/>
  <c r="K272" i="1" s="1"/>
  <c r="I271" i="1"/>
  <c r="J271" i="1"/>
  <c r="K271" i="1" s="1"/>
  <c r="I270" i="1"/>
  <c r="J270" i="1"/>
  <c r="K270" i="1" s="1"/>
  <c r="I269" i="1"/>
  <c r="J269" i="1"/>
  <c r="K269" i="1" s="1"/>
  <c r="I267" i="1"/>
  <c r="J267" i="1"/>
  <c r="K267" i="1" s="1"/>
  <c r="I266" i="1"/>
  <c r="J266" i="1"/>
  <c r="K266" i="1" s="1"/>
  <c r="I265" i="1"/>
  <c r="J265" i="1"/>
  <c r="K265" i="1" s="1"/>
  <c r="I264" i="1"/>
  <c r="J264" i="1"/>
  <c r="K264" i="1" s="1"/>
  <c r="I263" i="1"/>
  <c r="J263" i="1"/>
  <c r="K263" i="1" s="1"/>
  <c r="I236" i="1"/>
  <c r="J236" i="1"/>
  <c r="K236" i="1" s="1"/>
  <c r="I234" i="1"/>
  <c r="J234" i="1"/>
  <c r="K234" i="1" s="1"/>
  <c r="I232" i="1"/>
  <c r="J232" i="1"/>
  <c r="K232" i="1" s="1"/>
  <c r="I230" i="1"/>
  <c r="J230" i="1"/>
  <c r="K230" i="1" s="1"/>
  <c r="I228" i="1"/>
  <c r="J228" i="1"/>
  <c r="K228" i="1" s="1"/>
  <c r="G224" i="1"/>
  <c r="J224" i="1" s="1"/>
  <c r="K224" i="1" s="1"/>
  <c r="I262" i="1"/>
  <c r="J262" i="1"/>
  <c r="K262" i="1" s="1"/>
  <c r="I261" i="1"/>
  <c r="J261" i="1"/>
  <c r="K261" i="1" s="1"/>
  <c r="I260" i="1"/>
  <c r="J260" i="1"/>
  <c r="K260" i="1" s="1"/>
  <c r="I259" i="1"/>
  <c r="J259" i="1"/>
  <c r="K259" i="1" s="1"/>
  <c r="I258" i="1"/>
  <c r="J258" i="1"/>
  <c r="K258" i="1" s="1"/>
  <c r="I257" i="1"/>
  <c r="J257" i="1"/>
  <c r="K257" i="1" s="1"/>
  <c r="I256" i="1"/>
  <c r="J256" i="1"/>
  <c r="K256" i="1" s="1"/>
  <c r="I255" i="1"/>
  <c r="J255" i="1"/>
  <c r="K255" i="1" s="1"/>
  <c r="I254" i="1"/>
  <c r="J254" i="1"/>
  <c r="K254" i="1" s="1"/>
  <c r="I253" i="1"/>
  <c r="J253" i="1"/>
  <c r="K253" i="1" s="1"/>
  <c r="I252" i="1"/>
  <c r="J252" i="1"/>
  <c r="K252" i="1" s="1"/>
  <c r="I251" i="1"/>
  <c r="J251" i="1"/>
  <c r="K251" i="1" s="1"/>
  <c r="I250" i="1"/>
  <c r="J250" i="1"/>
  <c r="K250" i="1" s="1"/>
  <c r="I249" i="1"/>
  <c r="J249" i="1"/>
  <c r="K249" i="1" s="1"/>
  <c r="I248" i="1"/>
  <c r="J248" i="1"/>
  <c r="K248" i="1" s="1"/>
  <c r="I247" i="1"/>
  <c r="J247" i="1"/>
  <c r="K247" i="1" s="1"/>
  <c r="I246" i="1"/>
  <c r="J246" i="1"/>
  <c r="K246" i="1" s="1"/>
  <c r="I245" i="1"/>
  <c r="J245" i="1"/>
  <c r="K245" i="1" s="1"/>
  <c r="I244" i="1"/>
  <c r="J244" i="1"/>
  <c r="K244" i="1" s="1"/>
  <c r="I243" i="1"/>
  <c r="J243" i="1"/>
  <c r="K243" i="1" s="1"/>
  <c r="I242" i="1"/>
  <c r="J242" i="1"/>
  <c r="K242" i="1" s="1"/>
  <c r="I241" i="1"/>
  <c r="J241" i="1"/>
  <c r="K241" i="1" s="1"/>
  <c r="I240" i="1"/>
  <c r="J240" i="1"/>
  <c r="K240" i="1" s="1"/>
  <c r="I239" i="1"/>
  <c r="J239" i="1"/>
  <c r="K239" i="1" s="1"/>
  <c r="I238" i="1"/>
  <c r="J238" i="1"/>
  <c r="K238" i="1" s="1"/>
  <c r="I237" i="1"/>
  <c r="J237" i="1"/>
  <c r="K237" i="1" s="1"/>
  <c r="I235" i="1"/>
  <c r="J235" i="1"/>
  <c r="K235" i="1" s="1"/>
  <c r="I233" i="1"/>
  <c r="J233" i="1"/>
  <c r="K233" i="1" s="1"/>
  <c r="I231" i="1"/>
  <c r="J231" i="1"/>
  <c r="K231" i="1" s="1"/>
  <c r="I229" i="1"/>
  <c r="J229" i="1"/>
  <c r="K229" i="1" s="1"/>
  <c r="I227" i="1"/>
  <c r="J227" i="1"/>
  <c r="K227" i="1" s="1"/>
  <c r="I226" i="1"/>
  <c r="J226" i="1"/>
  <c r="K226" i="1" s="1"/>
  <c r="I225" i="1"/>
  <c r="J225" i="1"/>
  <c r="K225" i="1" s="1"/>
  <c r="I223" i="1"/>
  <c r="J223" i="1"/>
  <c r="K223" i="1" s="1"/>
  <c r="I222" i="1"/>
  <c r="J222" i="1"/>
  <c r="K222" i="1" s="1"/>
  <c r="I221" i="1"/>
  <c r="J221" i="1"/>
  <c r="K221" i="1" s="1"/>
  <c r="I220" i="1"/>
  <c r="J220" i="1"/>
  <c r="K220" i="1" s="1"/>
  <c r="I219" i="1"/>
  <c r="J219" i="1"/>
  <c r="K219" i="1" s="1"/>
  <c r="I218" i="1"/>
  <c r="J218" i="1"/>
  <c r="K218" i="1" s="1"/>
  <c r="I217" i="1"/>
  <c r="J217" i="1"/>
  <c r="K217" i="1" s="1"/>
  <c r="I216" i="1"/>
  <c r="J216" i="1"/>
  <c r="K216" i="1" s="1"/>
  <c r="I215" i="1"/>
  <c r="J215" i="1"/>
  <c r="K215" i="1" s="1"/>
  <c r="I214" i="1"/>
  <c r="J214" i="1"/>
  <c r="K214" i="1" s="1"/>
  <c r="I213" i="1"/>
  <c r="J213" i="1"/>
  <c r="K213" i="1" s="1"/>
  <c r="I212" i="1"/>
  <c r="J212" i="1"/>
  <c r="K212" i="1" s="1"/>
  <c r="I211" i="1"/>
  <c r="J211" i="1"/>
  <c r="K211" i="1" s="1"/>
  <c r="I210" i="1"/>
  <c r="J210" i="1"/>
  <c r="K210" i="1" s="1"/>
  <c r="I209" i="1"/>
  <c r="J209" i="1"/>
  <c r="K209" i="1" s="1"/>
  <c r="I208" i="1"/>
  <c r="J208" i="1"/>
  <c r="K208" i="1" s="1"/>
  <c r="I207" i="1"/>
  <c r="J207" i="1"/>
  <c r="K207" i="1" s="1"/>
  <c r="I206" i="1"/>
  <c r="J206" i="1"/>
  <c r="K206" i="1" s="1"/>
  <c r="I205" i="1"/>
  <c r="J205" i="1"/>
  <c r="K205" i="1" s="1"/>
  <c r="I204" i="1"/>
  <c r="J204" i="1"/>
  <c r="K204" i="1" s="1"/>
  <c r="I203" i="1"/>
  <c r="J203" i="1"/>
  <c r="K203" i="1" s="1"/>
  <c r="I202" i="1"/>
  <c r="J202" i="1"/>
  <c r="K202" i="1" s="1"/>
  <c r="I201" i="1"/>
  <c r="J201" i="1"/>
  <c r="K201" i="1" s="1"/>
  <c r="I200" i="1"/>
  <c r="J200" i="1"/>
  <c r="K200" i="1" s="1"/>
  <c r="I199" i="1"/>
  <c r="J199" i="1"/>
  <c r="K199" i="1" s="1"/>
  <c r="I198" i="1"/>
  <c r="J198" i="1"/>
  <c r="K198" i="1" s="1"/>
  <c r="I197" i="1"/>
  <c r="J197" i="1"/>
  <c r="K197" i="1" s="1"/>
  <c r="F85" i="18"/>
  <c r="F84" i="18"/>
  <c r="F82" i="18"/>
  <c r="F80" i="18"/>
  <c r="F79" i="18"/>
  <c r="F78" i="18"/>
  <c r="F77" i="18"/>
  <c r="F76" i="18"/>
  <c r="F74" i="18"/>
  <c r="F73" i="18"/>
  <c r="F72" i="18"/>
  <c r="F71" i="18"/>
  <c r="F70" i="18"/>
  <c r="F69" i="18"/>
  <c r="F68" i="18"/>
  <c r="F67" i="18"/>
  <c r="F66" i="18"/>
  <c r="F65" i="18"/>
  <c r="F64" i="18"/>
  <c r="F61" i="18"/>
  <c r="F60" i="18"/>
  <c r="F59" i="18"/>
  <c r="F58" i="18"/>
  <c r="F56" i="18"/>
  <c r="F55" i="18"/>
  <c r="F53" i="18"/>
  <c r="F52" i="18"/>
  <c r="F51" i="18"/>
  <c r="F50" i="18"/>
  <c r="F49" i="18"/>
  <c r="F48" i="18"/>
  <c r="F47" i="18"/>
  <c r="F46" i="18"/>
  <c r="F45" i="18"/>
  <c r="F43" i="18"/>
  <c r="F42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5" i="18"/>
  <c r="F24" i="18"/>
  <c r="F23" i="18"/>
  <c r="F22" i="18"/>
  <c r="F20" i="18"/>
  <c r="F19" i="18"/>
  <c r="F18" i="18"/>
  <c r="F17" i="18"/>
  <c r="F16" i="18"/>
  <c r="F15" i="18"/>
  <c r="F13" i="18"/>
  <c r="F12" i="18"/>
  <c r="F11" i="18"/>
  <c r="F10" i="18"/>
  <c r="F9" i="18"/>
  <c r="F8" i="18"/>
  <c r="F7" i="18"/>
  <c r="F6" i="18"/>
  <c r="F5" i="18"/>
  <c r="E41" i="18"/>
  <c r="F41" i="18" s="1"/>
  <c r="E83" i="18"/>
  <c r="F83" i="18" s="1"/>
  <c r="E14" i="18"/>
  <c r="F14" i="18" s="1"/>
  <c r="E21" i="18"/>
  <c r="F21" i="18" s="1"/>
  <c r="F190" i="22"/>
  <c r="I190" i="22"/>
  <c r="J190" i="22"/>
  <c r="I189" i="22"/>
  <c r="J189" i="22"/>
  <c r="H189" i="22"/>
  <c r="I188" i="22"/>
  <c r="J188" i="22"/>
  <c r="H188" i="22"/>
  <c r="F187" i="22"/>
  <c r="F186" i="22"/>
  <c r="H186" i="22"/>
  <c r="I185" i="22"/>
  <c r="J185" i="22"/>
  <c r="H185" i="22"/>
  <c r="I184" i="22"/>
  <c r="J184" i="22"/>
  <c r="H184" i="22"/>
  <c r="F183" i="22"/>
  <c r="I183" i="22"/>
  <c r="J183" i="22"/>
  <c r="F182" i="22"/>
  <c r="I182" i="22"/>
  <c r="I181" i="22"/>
  <c r="J181" i="22"/>
  <c r="H181" i="22"/>
  <c r="F180" i="22"/>
  <c r="H179" i="22"/>
  <c r="F179" i="22"/>
  <c r="I179" i="22"/>
  <c r="J179" i="22"/>
  <c r="I178" i="22"/>
  <c r="J178" i="22"/>
  <c r="H178" i="22"/>
  <c r="F177" i="22"/>
  <c r="H177" i="22"/>
  <c r="I176" i="22"/>
  <c r="J176" i="22"/>
  <c r="H176" i="22"/>
  <c r="I175" i="22"/>
  <c r="J175" i="22"/>
  <c r="H175" i="22"/>
  <c r="I174" i="22"/>
  <c r="J174" i="22"/>
  <c r="H174" i="22"/>
  <c r="I173" i="22"/>
  <c r="J173" i="22"/>
  <c r="H173" i="22"/>
  <c r="I172" i="22"/>
  <c r="J172" i="22"/>
  <c r="H172" i="22"/>
  <c r="I171" i="22"/>
  <c r="J171" i="22"/>
  <c r="H171" i="22"/>
  <c r="I170" i="22"/>
  <c r="J170" i="22"/>
  <c r="H170" i="22"/>
  <c r="I169" i="22"/>
  <c r="J169" i="22"/>
  <c r="H169" i="22"/>
  <c r="I168" i="22"/>
  <c r="J168" i="22"/>
  <c r="H168" i="22"/>
  <c r="I167" i="22"/>
  <c r="J167" i="22"/>
  <c r="H167" i="22"/>
  <c r="I166" i="22"/>
  <c r="J166" i="22"/>
  <c r="H166" i="22"/>
  <c r="I165" i="22"/>
  <c r="J165" i="22"/>
  <c r="H165" i="22"/>
  <c r="I164" i="22"/>
  <c r="J164" i="22"/>
  <c r="H164" i="22"/>
  <c r="I163" i="22"/>
  <c r="J163" i="22"/>
  <c r="H163" i="22"/>
  <c r="I162" i="22"/>
  <c r="J162" i="22"/>
  <c r="H162" i="22"/>
  <c r="I161" i="22"/>
  <c r="J161" i="22"/>
  <c r="H161" i="22"/>
  <c r="I160" i="22"/>
  <c r="J160" i="22"/>
  <c r="H160" i="22"/>
  <c r="I159" i="22"/>
  <c r="J159" i="22"/>
  <c r="H159" i="22"/>
  <c r="I158" i="22"/>
  <c r="J158" i="22"/>
  <c r="H158" i="22"/>
  <c r="I157" i="22"/>
  <c r="J157" i="22"/>
  <c r="H157" i="22"/>
  <c r="I156" i="22"/>
  <c r="J156" i="22"/>
  <c r="H156" i="22"/>
  <c r="I155" i="22"/>
  <c r="J155" i="22"/>
  <c r="H155" i="22"/>
  <c r="I154" i="22"/>
  <c r="J154" i="22"/>
  <c r="H154" i="22"/>
  <c r="I153" i="22"/>
  <c r="J153" i="22"/>
  <c r="H153" i="22"/>
  <c r="I152" i="22"/>
  <c r="J152" i="22"/>
  <c r="H152" i="22"/>
  <c r="I151" i="22"/>
  <c r="J151" i="22"/>
  <c r="H151" i="22"/>
  <c r="I150" i="22"/>
  <c r="J150" i="22"/>
  <c r="H150" i="22"/>
  <c r="I149" i="22"/>
  <c r="J149" i="22"/>
  <c r="H149" i="22"/>
  <c r="I148" i="22"/>
  <c r="J148" i="22"/>
  <c r="H148" i="22"/>
  <c r="I147" i="22"/>
  <c r="J147" i="22"/>
  <c r="H147" i="22"/>
  <c r="I146" i="22"/>
  <c r="J146" i="22"/>
  <c r="H146" i="22"/>
  <c r="I145" i="22"/>
  <c r="J145" i="22"/>
  <c r="H145" i="22"/>
  <c r="I144" i="22"/>
  <c r="J144" i="22"/>
  <c r="H144" i="22"/>
  <c r="I143" i="22"/>
  <c r="J143" i="22"/>
  <c r="H143" i="22"/>
  <c r="I142" i="22"/>
  <c r="J142" i="22"/>
  <c r="H142" i="22"/>
  <c r="I141" i="22"/>
  <c r="J141" i="22"/>
  <c r="H141" i="22"/>
  <c r="I140" i="22"/>
  <c r="J140" i="22"/>
  <c r="H140" i="22"/>
  <c r="I139" i="22"/>
  <c r="J139" i="22"/>
  <c r="H139" i="22"/>
  <c r="I138" i="22"/>
  <c r="J138" i="22"/>
  <c r="H138" i="22"/>
  <c r="I137" i="22"/>
  <c r="J137" i="22"/>
  <c r="H137" i="22"/>
  <c r="I136" i="22"/>
  <c r="J136" i="22"/>
  <c r="H136" i="22"/>
  <c r="I135" i="22"/>
  <c r="J135" i="22"/>
  <c r="H135" i="22"/>
  <c r="I134" i="22"/>
  <c r="J134" i="22"/>
  <c r="H134" i="22"/>
  <c r="I133" i="22"/>
  <c r="J133" i="22"/>
  <c r="H133" i="22"/>
  <c r="I132" i="22"/>
  <c r="J132" i="22"/>
  <c r="H132" i="22"/>
  <c r="I131" i="22"/>
  <c r="J131" i="22"/>
  <c r="H131" i="22"/>
  <c r="I130" i="22"/>
  <c r="J130" i="22"/>
  <c r="H130" i="22"/>
  <c r="I129" i="22"/>
  <c r="J129" i="22"/>
  <c r="H129" i="22"/>
  <c r="I128" i="22"/>
  <c r="J128" i="22"/>
  <c r="H128" i="22"/>
  <c r="I127" i="22"/>
  <c r="J127" i="22"/>
  <c r="H127" i="22"/>
  <c r="I126" i="22"/>
  <c r="J126" i="22"/>
  <c r="H126" i="22"/>
  <c r="I125" i="22"/>
  <c r="J125" i="22"/>
  <c r="H125" i="22"/>
  <c r="I124" i="22"/>
  <c r="J124" i="22"/>
  <c r="H124" i="22"/>
  <c r="I123" i="22"/>
  <c r="J123" i="22"/>
  <c r="H123" i="22"/>
  <c r="I122" i="22"/>
  <c r="J122" i="22"/>
  <c r="H122" i="22"/>
  <c r="I121" i="22"/>
  <c r="J121" i="22"/>
  <c r="H121" i="22"/>
  <c r="I120" i="22"/>
  <c r="J120" i="22"/>
  <c r="H120" i="22"/>
  <c r="J119" i="22"/>
  <c r="H119" i="22"/>
  <c r="I118" i="22"/>
  <c r="J118" i="22"/>
  <c r="H118" i="22"/>
  <c r="I117" i="22"/>
  <c r="J117" i="22"/>
  <c r="H117" i="22"/>
  <c r="I116" i="22"/>
  <c r="J116" i="22"/>
  <c r="H116" i="22"/>
  <c r="I115" i="22"/>
  <c r="J115" i="22"/>
  <c r="H115" i="22"/>
  <c r="I114" i="22"/>
  <c r="J114" i="22"/>
  <c r="H114" i="22"/>
  <c r="I113" i="22"/>
  <c r="J113" i="22"/>
  <c r="H113" i="22"/>
  <c r="I112" i="22"/>
  <c r="J112" i="22"/>
  <c r="H112" i="22"/>
  <c r="I111" i="22"/>
  <c r="J111" i="22"/>
  <c r="H111" i="22"/>
  <c r="I110" i="22"/>
  <c r="J110" i="22"/>
  <c r="H110" i="22"/>
  <c r="I109" i="22"/>
  <c r="J109" i="22"/>
  <c r="H109" i="22"/>
  <c r="I108" i="22"/>
  <c r="J108" i="22"/>
  <c r="H108" i="22"/>
  <c r="I107" i="22"/>
  <c r="J107" i="22"/>
  <c r="H107" i="22"/>
  <c r="I106" i="22"/>
  <c r="J106" i="22"/>
  <c r="H106" i="22"/>
  <c r="I105" i="22"/>
  <c r="J105" i="22"/>
  <c r="H105" i="22"/>
  <c r="I104" i="22"/>
  <c r="J104" i="22"/>
  <c r="H104" i="22"/>
  <c r="I103" i="22"/>
  <c r="J103" i="22"/>
  <c r="H103" i="22"/>
  <c r="I102" i="22"/>
  <c r="J102" i="22"/>
  <c r="H102" i="22"/>
  <c r="I101" i="22"/>
  <c r="J101" i="22"/>
  <c r="H101" i="22"/>
  <c r="I100" i="22"/>
  <c r="J100" i="22"/>
  <c r="H100" i="22"/>
  <c r="I99" i="22"/>
  <c r="J99" i="22"/>
  <c r="H99" i="22"/>
  <c r="I98" i="22"/>
  <c r="J98" i="22"/>
  <c r="H98" i="22"/>
  <c r="I97" i="22"/>
  <c r="J97" i="22"/>
  <c r="H97" i="22"/>
  <c r="I96" i="22"/>
  <c r="J96" i="22"/>
  <c r="H96" i="22"/>
  <c r="I95" i="22"/>
  <c r="J95" i="22"/>
  <c r="H95" i="22"/>
  <c r="I94" i="22"/>
  <c r="J94" i="22"/>
  <c r="H94" i="22"/>
  <c r="I93" i="22"/>
  <c r="J93" i="22"/>
  <c r="H93" i="22"/>
  <c r="I92" i="22"/>
  <c r="J92" i="22"/>
  <c r="H92" i="22"/>
  <c r="I91" i="22"/>
  <c r="J91" i="22"/>
  <c r="H91" i="22"/>
  <c r="I90" i="22"/>
  <c r="J90" i="22"/>
  <c r="H90" i="22"/>
  <c r="I89" i="22"/>
  <c r="J89" i="22"/>
  <c r="H89" i="22"/>
  <c r="I88" i="22"/>
  <c r="J88" i="22"/>
  <c r="H88" i="22"/>
  <c r="I87" i="22"/>
  <c r="J87" i="22"/>
  <c r="H87" i="22"/>
  <c r="I86" i="22"/>
  <c r="J86" i="22"/>
  <c r="H86" i="22"/>
  <c r="I85" i="22"/>
  <c r="J85" i="22"/>
  <c r="H85" i="22"/>
  <c r="I84" i="22"/>
  <c r="J84" i="22"/>
  <c r="H84" i="22"/>
  <c r="I83" i="22"/>
  <c r="J83" i="22"/>
  <c r="H83" i="22"/>
  <c r="I82" i="22"/>
  <c r="J82" i="22"/>
  <c r="H82" i="22"/>
  <c r="I81" i="22"/>
  <c r="J81" i="22"/>
  <c r="H81" i="22"/>
  <c r="I80" i="22"/>
  <c r="J80" i="22"/>
  <c r="H80" i="22"/>
  <c r="I79" i="22"/>
  <c r="J79" i="22"/>
  <c r="H79" i="22"/>
  <c r="I78" i="22"/>
  <c r="J78" i="22"/>
  <c r="H78" i="22"/>
  <c r="I77" i="22"/>
  <c r="J77" i="22"/>
  <c r="H77" i="22"/>
  <c r="I76" i="22"/>
  <c r="J76" i="22"/>
  <c r="H76" i="22"/>
  <c r="I75" i="22"/>
  <c r="J75" i="22"/>
  <c r="H75" i="22"/>
  <c r="I74" i="22"/>
  <c r="J74" i="22"/>
  <c r="H74" i="22"/>
  <c r="I73" i="22"/>
  <c r="J73" i="22"/>
  <c r="H73" i="22"/>
  <c r="I72" i="22"/>
  <c r="J72" i="22"/>
  <c r="H72" i="22"/>
  <c r="I71" i="22"/>
  <c r="J71" i="22"/>
  <c r="H71" i="22"/>
  <c r="I70" i="22"/>
  <c r="J70" i="22"/>
  <c r="H70" i="22"/>
  <c r="I69" i="22"/>
  <c r="J69" i="22"/>
  <c r="H69" i="22"/>
  <c r="I68" i="22"/>
  <c r="J68" i="22"/>
  <c r="H68" i="22"/>
  <c r="I67" i="22"/>
  <c r="J67" i="22"/>
  <c r="H67" i="22"/>
  <c r="I66" i="22"/>
  <c r="J66" i="22"/>
  <c r="H66" i="22"/>
  <c r="I65" i="22"/>
  <c r="J65" i="22"/>
  <c r="H65" i="22"/>
  <c r="I64" i="22"/>
  <c r="J64" i="22"/>
  <c r="H64" i="22"/>
  <c r="I63" i="22"/>
  <c r="J63" i="22"/>
  <c r="H63" i="22"/>
  <c r="I62" i="22"/>
  <c r="J62" i="22"/>
  <c r="H62" i="22"/>
  <c r="I61" i="22"/>
  <c r="J61" i="22"/>
  <c r="H61" i="22"/>
  <c r="I60" i="22"/>
  <c r="J60" i="22"/>
  <c r="H60" i="22"/>
  <c r="I59" i="22"/>
  <c r="J59" i="22"/>
  <c r="H59" i="22"/>
  <c r="I58" i="22"/>
  <c r="J58" i="22"/>
  <c r="H58" i="22"/>
  <c r="I57" i="22"/>
  <c r="J57" i="22"/>
  <c r="H57" i="22"/>
  <c r="I56" i="22"/>
  <c r="J56" i="22"/>
  <c r="H56" i="22"/>
  <c r="I55" i="22"/>
  <c r="J55" i="22"/>
  <c r="H55" i="22"/>
  <c r="I54" i="22"/>
  <c r="J54" i="22"/>
  <c r="H54" i="22"/>
  <c r="I53" i="22"/>
  <c r="J53" i="22"/>
  <c r="H53" i="22"/>
  <c r="I52" i="22"/>
  <c r="J52" i="22"/>
  <c r="H52" i="22"/>
  <c r="I51" i="22"/>
  <c r="J51" i="22"/>
  <c r="H51" i="22"/>
  <c r="I50" i="22"/>
  <c r="J50" i="22"/>
  <c r="H50" i="22"/>
  <c r="I49" i="22"/>
  <c r="J49" i="22"/>
  <c r="H49" i="22"/>
  <c r="I48" i="22"/>
  <c r="J48" i="22"/>
  <c r="H48" i="22"/>
  <c r="I47" i="22"/>
  <c r="J47" i="22"/>
  <c r="H47" i="22"/>
  <c r="I46" i="22"/>
  <c r="J46" i="22"/>
  <c r="H46" i="22"/>
  <c r="I45" i="22"/>
  <c r="J45" i="22"/>
  <c r="H45" i="22"/>
  <c r="I44" i="22"/>
  <c r="J44" i="22"/>
  <c r="H44" i="22"/>
  <c r="I43" i="22"/>
  <c r="J43" i="22"/>
  <c r="H43" i="22"/>
  <c r="I42" i="22"/>
  <c r="J42" i="22"/>
  <c r="H42" i="22"/>
  <c r="I41" i="22"/>
  <c r="J41" i="22"/>
  <c r="H41" i="22"/>
  <c r="I40" i="22"/>
  <c r="J40" i="22"/>
  <c r="H40" i="22"/>
  <c r="I39" i="22"/>
  <c r="J39" i="22"/>
  <c r="H39" i="22"/>
  <c r="I38" i="22"/>
  <c r="J38" i="22"/>
  <c r="H38" i="22"/>
  <c r="I37" i="22"/>
  <c r="J37" i="22"/>
  <c r="H37" i="22"/>
  <c r="I36" i="22"/>
  <c r="J36" i="22"/>
  <c r="H36" i="22"/>
  <c r="I35" i="22"/>
  <c r="J35" i="22"/>
  <c r="H35" i="22"/>
  <c r="I34" i="22"/>
  <c r="J34" i="22"/>
  <c r="H34" i="22"/>
  <c r="I33" i="22"/>
  <c r="J33" i="22"/>
  <c r="H33" i="22"/>
  <c r="I32" i="22"/>
  <c r="J32" i="22"/>
  <c r="H32" i="22"/>
  <c r="I31" i="22"/>
  <c r="J31" i="22"/>
  <c r="H31" i="22"/>
  <c r="I30" i="22"/>
  <c r="J30" i="22"/>
  <c r="H30" i="22"/>
  <c r="I29" i="22"/>
  <c r="J29" i="22"/>
  <c r="H29" i="22"/>
  <c r="I28" i="22"/>
  <c r="J28" i="22"/>
  <c r="H28" i="22"/>
  <c r="I27" i="22"/>
  <c r="J27" i="22"/>
  <c r="H27" i="22"/>
  <c r="I26" i="22"/>
  <c r="J26" i="22"/>
  <c r="H26" i="22"/>
  <c r="I25" i="22"/>
  <c r="J25" i="22"/>
  <c r="H25" i="22"/>
  <c r="I24" i="22"/>
  <c r="J24" i="22"/>
  <c r="H24" i="22"/>
  <c r="I23" i="22"/>
  <c r="J23" i="22"/>
  <c r="H23" i="22"/>
  <c r="I22" i="22"/>
  <c r="J22" i="22"/>
  <c r="H22" i="22"/>
  <c r="I21" i="22"/>
  <c r="J21" i="22"/>
  <c r="H21" i="22"/>
  <c r="I20" i="22"/>
  <c r="J20" i="22"/>
  <c r="H20" i="22"/>
  <c r="I19" i="22"/>
  <c r="J19" i="22"/>
  <c r="H19" i="22"/>
  <c r="I18" i="22"/>
  <c r="J18" i="22"/>
  <c r="H18" i="22"/>
  <c r="I17" i="22"/>
  <c r="J17" i="22"/>
  <c r="H17" i="22"/>
  <c r="I16" i="22"/>
  <c r="J16" i="22"/>
  <c r="H16" i="22"/>
  <c r="I15" i="22"/>
  <c r="J15" i="22"/>
  <c r="H15" i="22"/>
  <c r="I14" i="22"/>
  <c r="J14" i="22"/>
  <c r="H14" i="22"/>
  <c r="F13" i="22"/>
  <c r="I12" i="22"/>
  <c r="J12" i="22"/>
  <c r="H12" i="22"/>
  <c r="I11" i="22"/>
  <c r="J11" i="22"/>
  <c r="H11" i="22"/>
  <c r="I10" i="22"/>
  <c r="J10" i="22"/>
  <c r="H10" i="22"/>
  <c r="I9" i="22"/>
  <c r="J9" i="22"/>
  <c r="H9" i="22"/>
  <c r="I8" i="22"/>
  <c r="J8" i="22"/>
  <c r="H8" i="22"/>
  <c r="I7" i="22"/>
  <c r="J7" i="22"/>
  <c r="H7" i="22"/>
  <c r="I6" i="22"/>
  <c r="J6" i="22"/>
  <c r="H6" i="22"/>
  <c r="I5" i="22"/>
  <c r="J5" i="22"/>
  <c r="H5" i="22"/>
  <c r="I4" i="22"/>
  <c r="J4" i="22"/>
  <c r="H4" i="22"/>
  <c r="I3" i="22"/>
  <c r="J3" i="22"/>
  <c r="H3" i="22"/>
  <c r="I2" i="22"/>
  <c r="J2" i="22"/>
  <c r="H2" i="22"/>
  <c r="L1" i="22"/>
  <c r="M1" i="22"/>
  <c r="I186" i="22"/>
  <c r="J186" i="22"/>
  <c r="H183" i="22"/>
  <c r="H190" i="22"/>
  <c r="I177" i="22"/>
  <c r="J177" i="22"/>
  <c r="N1" i="22"/>
  <c r="H180" i="22"/>
  <c r="I180" i="22"/>
  <c r="J180" i="22"/>
  <c r="J182" i="22"/>
  <c r="H13" i="22"/>
  <c r="I187" i="22"/>
  <c r="J187" i="22"/>
  <c r="H182" i="22"/>
  <c r="H187" i="22"/>
  <c r="I13" i="22"/>
  <c r="J13" i="22"/>
  <c r="G193" i="1"/>
  <c r="E44" i="18"/>
  <c r="F44" i="18" s="1"/>
  <c r="G192" i="1"/>
  <c r="J192" i="1" s="1"/>
  <c r="K192" i="1" s="1"/>
  <c r="G189" i="1"/>
  <c r="E54" i="18" s="1"/>
  <c r="F54" i="18" s="1"/>
  <c r="G188" i="1"/>
  <c r="E57" i="18" s="1"/>
  <c r="F57" i="18" s="1"/>
  <c r="G186" i="1"/>
  <c r="E26" i="18" s="1"/>
  <c r="F26" i="18" s="1"/>
  <c r="G185" i="1"/>
  <c r="G183" i="1"/>
  <c r="E63" i="18"/>
  <c r="F63" i="18" s="1"/>
  <c r="E78" i="18"/>
  <c r="F97" i="18"/>
  <c r="F94" i="18"/>
  <c r="D98" i="18"/>
  <c r="C98" i="18"/>
  <c r="E62" i="18"/>
  <c r="F62" i="18" s="1"/>
  <c r="D87" i="18"/>
  <c r="C87" i="18"/>
  <c r="J196" i="1"/>
  <c r="K196" i="1" s="1"/>
  <c r="I196" i="1"/>
  <c r="J195" i="1"/>
  <c r="K195" i="1" s="1"/>
  <c r="I195" i="1"/>
  <c r="J194" i="1"/>
  <c r="K194" i="1" s="1"/>
  <c r="I194" i="1"/>
  <c r="J193" i="1"/>
  <c r="K193" i="1" s="1"/>
  <c r="I193" i="1"/>
  <c r="J191" i="1"/>
  <c r="K191" i="1" s="1"/>
  <c r="I191" i="1"/>
  <c r="J190" i="1"/>
  <c r="K190" i="1" s="1"/>
  <c r="I190" i="1"/>
  <c r="J187" i="1"/>
  <c r="K187" i="1" s="1"/>
  <c r="I187" i="1"/>
  <c r="J184" i="1"/>
  <c r="K184" i="1" s="1"/>
  <c r="I184" i="1"/>
  <c r="J183" i="1"/>
  <c r="K183" i="1" s="1"/>
  <c r="I183" i="1"/>
  <c r="J182" i="1"/>
  <c r="K182" i="1" s="1"/>
  <c r="I182" i="1"/>
  <c r="J181" i="1"/>
  <c r="K181" i="1" s="1"/>
  <c r="I181" i="1"/>
  <c r="J180" i="1"/>
  <c r="K180" i="1" s="1"/>
  <c r="I180" i="1"/>
  <c r="J179" i="1"/>
  <c r="K179" i="1" s="1"/>
  <c r="I179" i="1"/>
  <c r="J178" i="1"/>
  <c r="K178" i="1" s="1"/>
  <c r="I178" i="1"/>
  <c r="J177" i="1"/>
  <c r="K177" i="1" s="1"/>
  <c r="I177" i="1"/>
  <c r="J176" i="1"/>
  <c r="K176" i="1" s="1"/>
  <c r="I176" i="1"/>
  <c r="J175" i="1"/>
  <c r="K175" i="1" s="1"/>
  <c r="I175" i="1"/>
  <c r="J174" i="1"/>
  <c r="K174" i="1" s="1"/>
  <c r="I174" i="1"/>
  <c r="J173" i="1"/>
  <c r="K173" i="1" s="1"/>
  <c r="I173" i="1"/>
  <c r="J172" i="1"/>
  <c r="K172" i="1" s="1"/>
  <c r="I172" i="1"/>
  <c r="J171" i="1"/>
  <c r="K171" i="1" s="1"/>
  <c r="I171" i="1"/>
  <c r="J170" i="1"/>
  <c r="K170" i="1" s="1"/>
  <c r="I170" i="1"/>
  <c r="J169" i="1"/>
  <c r="K169" i="1" s="1"/>
  <c r="I169" i="1"/>
  <c r="J168" i="1"/>
  <c r="K168" i="1" s="1"/>
  <c r="I168" i="1"/>
  <c r="J167" i="1"/>
  <c r="K167" i="1" s="1"/>
  <c r="I167" i="1"/>
  <c r="J166" i="1"/>
  <c r="K166" i="1" s="1"/>
  <c r="I166" i="1"/>
  <c r="J165" i="1"/>
  <c r="K165" i="1" s="1"/>
  <c r="I165" i="1"/>
  <c r="J164" i="1"/>
  <c r="K164" i="1" s="1"/>
  <c r="I164" i="1"/>
  <c r="J163" i="1"/>
  <c r="K163" i="1" s="1"/>
  <c r="I163" i="1"/>
  <c r="J162" i="1"/>
  <c r="K162" i="1" s="1"/>
  <c r="I162" i="1"/>
  <c r="J161" i="1"/>
  <c r="K161" i="1" s="1"/>
  <c r="I161" i="1"/>
  <c r="J160" i="1"/>
  <c r="K160" i="1" s="1"/>
  <c r="I160" i="1"/>
  <c r="J159" i="1"/>
  <c r="K159" i="1" s="1"/>
  <c r="I159" i="1"/>
  <c r="J158" i="1"/>
  <c r="K158" i="1" s="1"/>
  <c r="I158" i="1"/>
  <c r="J157" i="1"/>
  <c r="K157" i="1" s="1"/>
  <c r="I157" i="1"/>
  <c r="J156" i="1"/>
  <c r="K156" i="1" s="1"/>
  <c r="I156" i="1"/>
  <c r="J155" i="1"/>
  <c r="K155" i="1" s="1"/>
  <c r="I155" i="1"/>
  <c r="J154" i="1"/>
  <c r="K154" i="1" s="1"/>
  <c r="I154" i="1"/>
  <c r="J153" i="1"/>
  <c r="K153" i="1" s="1"/>
  <c r="I153" i="1"/>
  <c r="J152" i="1"/>
  <c r="K152" i="1" s="1"/>
  <c r="I152" i="1"/>
  <c r="J151" i="1"/>
  <c r="K151" i="1" s="1"/>
  <c r="I151" i="1"/>
  <c r="J150" i="1"/>
  <c r="K150" i="1" s="1"/>
  <c r="I150" i="1"/>
  <c r="J149" i="1"/>
  <c r="K149" i="1" s="1"/>
  <c r="I149" i="1"/>
  <c r="J148" i="1"/>
  <c r="K148" i="1" s="1"/>
  <c r="I148" i="1"/>
  <c r="J147" i="1"/>
  <c r="K147" i="1" s="1"/>
  <c r="I147" i="1"/>
  <c r="J146" i="1"/>
  <c r="K146" i="1" s="1"/>
  <c r="I146" i="1"/>
  <c r="J145" i="1"/>
  <c r="K145" i="1" s="1"/>
  <c r="I145" i="1"/>
  <c r="J144" i="1"/>
  <c r="K144" i="1" s="1"/>
  <c r="I144" i="1"/>
  <c r="J143" i="1"/>
  <c r="K143" i="1" s="1"/>
  <c r="I143" i="1"/>
  <c r="J142" i="1"/>
  <c r="K142" i="1" s="1"/>
  <c r="I142" i="1"/>
  <c r="J138" i="1"/>
  <c r="K138" i="1" s="1"/>
  <c r="I138" i="1"/>
  <c r="J137" i="1"/>
  <c r="K137" i="1" s="1"/>
  <c r="I137" i="1"/>
  <c r="J136" i="1"/>
  <c r="K136" i="1" s="1"/>
  <c r="I136" i="1"/>
  <c r="J135" i="1"/>
  <c r="K135" i="1" s="1"/>
  <c r="I135" i="1"/>
  <c r="J134" i="1"/>
  <c r="K134" i="1" s="1"/>
  <c r="I134" i="1"/>
  <c r="J133" i="1"/>
  <c r="K133" i="1" s="1"/>
  <c r="I133" i="1"/>
  <c r="J132" i="1"/>
  <c r="K132" i="1" s="1"/>
  <c r="I132" i="1"/>
  <c r="J131" i="1"/>
  <c r="K131" i="1" s="1"/>
  <c r="I131" i="1"/>
  <c r="J130" i="1"/>
  <c r="K130" i="1" s="1"/>
  <c r="I130" i="1"/>
  <c r="J129" i="1"/>
  <c r="K129" i="1" s="1"/>
  <c r="I129" i="1"/>
  <c r="J128" i="1"/>
  <c r="K128" i="1" s="1"/>
  <c r="I128" i="1"/>
  <c r="J127" i="1"/>
  <c r="K127" i="1" s="1"/>
  <c r="I127" i="1"/>
  <c r="J126" i="1"/>
  <c r="K126" i="1" s="1"/>
  <c r="I126" i="1"/>
  <c r="J125" i="1"/>
  <c r="K125" i="1" s="1"/>
  <c r="I125" i="1"/>
  <c r="K124" i="1"/>
  <c r="I124" i="1"/>
  <c r="J123" i="1"/>
  <c r="K123" i="1" s="1"/>
  <c r="I123" i="1"/>
  <c r="J122" i="1"/>
  <c r="K122" i="1" s="1"/>
  <c r="I122" i="1"/>
  <c r="J121" i="1"/>
  <c r="K121" i="1" s="1"/>
  <c r="I121" i="1"/>
  <c r="J120" i="1"/>
  <c r="K120" i="1" s="1"/>
  <c r="I120" i="1"/>
  <c r="J119" i="1"/>
  <c r="K119" i="1" s="1"/>
  <c r="I119" i="1"/>
  <c r="J118" i="1"/>
  <c r="K118" i="1" s="1"/>
  <c r="I118" i="1"/>
  <c r="J117" i="1"/>
  <c r="K117" i="1" s="1"/>
  <c r="I117" i="1"/>
  <c r="J116" i="1"/>
  <c r="K116" i="1" s="1"/>
  <c r="I116" i="1"/>
  <c r="J115" i="1"/>
  <c r="K115" i="1" s="1"/>
  <c r="I115" i="1"/>
  <c r="J114" i="1"/>
  <c r="K114" i="1" s="1"/>
  <c r="I114" i="1"/>
  <c r="J113" i="1"/>
  <c r="K113" i="1" s="1"/>
  <c r="I113" i="1"/>
  <c r="J112" i="1"/>
  <c r="K112" i="1" s="1"/>
  <c r="I112" i="1"/>
  <c r="J111" i="1"/>
  <c r="K111" i="1" s="1"/>
  <c r="I111" i="1"/>
  <c r="J107" i="1"/>
  <c r="K107" i="1" s="1"/>
  <c r="I107" i="1"/>
  <c r="J106" i="1"/>
  <c r="K106" i="1" s="1"/>
  <c r="I106" i="1"/>
  <c r="J105" i="1"/>
  <c r="K105" i="1" s="1"/>
  <c r="I105" i="1"/>
  <c r="J104" i="1"/>
  <c r="K104" i="1" s="1"/>
  <c r="I104" i="1"/>
  <c r="J103" i="1"/>
  <c r="K103" i="1" s="1"/>
  <c r="I103" i="1"/>
  <c r="J102" i="1"/>
  <c r="K102" i="1" s="1"/>
  <c r="I102" i="1"/>
  <c r="J101" i="1"/>
  <c r="K101" i="1" s="1"/>
  <c r="I101" i="1"/>
  <c r="J100" i="1"/>
  <c r="K100" i="1" s="1"/>
  <c r="I100" i="1"/>
  <c r="J99" i="1"/>
  <c r="K99" i="1" s="1"/>
  <c r="I99" i="1"/>
  <c r="J98" i="1"/>
  <c r="K98" i="1" s="1"/>
  <c r="I98" i="1"/>
  <c r="I25" i="1"/>
  <c r="J25" i="1"/>
  <c r="K25" i="1" s="1"/>
  <c r="I74" i="1"/>
  <c r="J74" i="1"/>
  <c r="K74" i="1" s="1"/>
  <c r="J141" i="1"/>
  <c r="K141" i="1" s="1"/>
  <c r="I141" i="1"/>
  <c r="J140" i="1"/>
  <c r="K140" i="1" s="1"/>
  <c r="I140" i="1"/>
  <c r="J139" i="1"/>
  <c r="K139" i="1" s="1"/>
  <c r="I139" i="1"/>
  <c r="J110" i="1"/>
  <c r="K110" i="1" s="1"/>
  <c r="I110" i="1"/>
  <c r="J109" i="1"/>
  <c r="K109" i="1" s="1"/>
  <c r="I109" i="1"/>
  <c r="J108" i="1"/>
  <c r="K108" i="1" s="1"/>
  <c r="I108" i="1"/>
  <c r="J97" i="1"/>
  <c r="K97" i="1" s="1"/>
  <c r="I97" i="1"/>
  <c r="J96" i="1"/>
  <c r="K96" i="1" s="1"/>
  <c r="I96" i="1"/>
  <c r="J95" i="1"/>
  <c r="K95" i="1" s="1"/>
  <c r="I95" i="1"/>
  <c r="J94" i="1"/>
  <c r="K94" i="1" s="1"/>
  <c r="I94" i="1"/>
  <c r="J93" i="1"/>
  <c r="K93" i="1" s="1"/>
  <c r="I93" i="1"/>
  <c r="J92" i="1"/>
  <c r="K92" i="1" s="1"/>
  <c r="I92" i="1"/>
  <c r="J91" i="1"/>
  <c r="K91" i="1" s="1"/>
  <c r="I91" i="1"/>
  <c r="J90" i="1"/>
  <c r="K90" i="1" s="1"/>
  <c r="I90" i="1"/>
  <c r="J87" i="1"/>
  <c r="K87" i="1" s="1"/>
  <c r="I87" i="1"/>
  <c r="J86" i="1"/>
  <c r="K86" i="1" s="1"/>
  <c r="I86" i="1"/>
  <c r="J85" i="1"/>
  <c r="K85" i="1" s="1"/>
  <c r="I85" i="1"/>
  <c r="J84" i="1"/>
  <c r="K84" i="1" s="1"/>
  <c r="I84" i="1"/>
  <c r="J83" i="1"/>
  <c r="K83" i="1" s="1"/>
  <c r="I83" i="1"/>
  <c r="J82" i="1"/>
  <c r="K82" i="1" s="1"/>
  <c r="I82" i="1"/>
  <c r="J81" i="1"/>
  <c r="K81" i="1" s="1"/>
  <c r="I81" i="1"/>
  <c r="J21" i="2"/>
  <c r="K21" i="2"/>
  <c r="I21" i="2"/>
  <c r="J20" i="2"/>
  <c r="K20" i="2"/>
  <c r="I20" i="2"/>
  <c r="J19" i="2"/>
  <c r="K19" i="2"/>
  <c r="I19" i="2"/>
  <c r="J18" i="2"/>
  <c r="K18" i="2"/>
  <c r="I18" i="2"/>
  <c r="J17" i="2"/>
  <c r="K17" i="2"/>
  <c r="I17" i="2"/>
  <c r="J16" i="2"/>
  <c r="K16" i="2"/>
  <c r="I16" i="2"/>
  <c r="J15" i="2"/>
  <c r="K15" i="2"/>
  <c r="I15" i="2"/>
  <c r="J14" i="2"/>
  <c r="K14" i="2"/>
  <c r="I14" i="2"/>
  <c r="J13" i="2"/>
  <c r="K13" i="2"/>
  <c r="I13" i="2"/>
  <c r="J12" i="2"/>
  <c r="K12" i="2"/>
  <c r="I12" i="2"/>
  <c r="J11" i="2"/>
  <c r="K11" i="2"/>
  <c r="I11" i="2"/>
  <c r="J10" i="2"/>
  <c r="K10" i="2"/>
  <c r="I10" i="2"/>
  <c r="J9" i="2"/>
  <c r="K9" i="2"/>
  <c r="I9" i="2"/>
  <c r="J8" i="2"/>
  <c r="K8" i="2"/>
  <c r="I8" i="2"/>
  <c r="J7" i="2"/>
  <c r="K7" i="2"/>
  <c r="I7" i="2"/>
  <c r="J6" i="2"/>
  <c r="K6" i="2"/>
  <c r="I6" i="2"/>
  <c r="J5" i="2"/>
  <c r="K5" i="2"/>
  <c r="I5" i="2"/>
  <c r="J4" i="2"/>
  <c r="K4" i="2"/>
  <c r="I4" i="2"/>
  <c r="J80" i="1"/>
  <c r="K80" i="1" s="1"/>
  <c r="I80" i="1"/>
  <c r="J79" i="1"/>
  <c r="K79" i="1" s="1"/>
  <c r="I79" i="1"/>
  <c r="J78" i="1"/>
  <c r="K78" i="1" s="1"/>
  <c r="I78" i="1"/>
  <c r="J77" i="1"/>
  <c r="K77" i="1" s="1"/>
  <c r="I77" i="1"/>
  <c r="J76" i="1"/>
  <c r="K76" i="1" s="1"/>
  <c r="I76" i="1"/>
  <c r="J75" i="1"/>
  <c r="K75" i="1" s="1"/>
  <c r="I75" i="1"/>
  <c r="J73" i="1"/>
  <c r="K73" i="1" s="1"/>
  <c r="I73" i="1"/>
  <c r="J72" i="1"/>
  <c r="K72" i="1" s="1"/>
  <c r="I72" i="1"/>
  <c r="J71" i="1"/>
  <c r="K71" i="1" s="1"/>
  <c r="I71" i="1"/>
  <c r="J70" i="1"/>
  <c r="K70" i="1" s="1"/>
  <c r="I70" i="1"/>
  <c r="J69" i="1"/>
  <c r="K69" i="1" s="1"/>
  <c r="I69" i="1"/>
  <c r="J68" i="1"/>
  <c r="K68" i="1" s="1"/>
  <c r="I68" i="1"/>
  <c r="J67" i="1"/>
  <c r="K67" i="1" s="1"/>
  <c r="I67" i="1"/>
  <c r="J66" i="1"/>
  <c r="K66" i="1" s="1"/>
  <c r="I66" i="1"/>
  <c r="J65" i="1"/>
  <c r="K65" i="1" s="1"/>
  <c r="I65" i="1"/>
  <c r="J64" i="1"/>
  <c r="K64" i="1" s="1"/>
  <c r="I64" i="1"/>
  <c r="J63" i="1"/>
  <c r="K63" i="1" s="1"/>
  <c r="I63" i="1"/>
  <c r="J62" i="1"/>
  <c r="K62" i="1" s="1"/>
  <c r="I62" i="1"/>
  <c r="J61" i="1"/>
  <c r="K61" i="1" s="1"/>
  <c r="I61" i="1"/>
  <c r="J58" i="1"/>
  <c r="K58" i="1" s="1"/>
  <c r="I58" i="1"/>
  <c r="J57" i="1"/>
  <c r="K57" i="1" s="1"/>
  <c r="I57" i="1"/>
  <c r="J56" i="1"/>
  <c r="K56" i="1" s="1"/>
  <c r="I56" i="1"/>
  <c r="J55" i="1"/>
  <c r="K55" i="1" s="1"/>
  <c r="I55" i="1"/>
  <c r="J54" i="1"/>
  <c r="K54" i="1" s="1"/>
  <c r="I54" i="1"/>
  <c r="J51" i="1"/>
  <c r="K51" i="1" s="1"/>
  <c r="I51" i="1"/>
  <c r="J50" i="1"/>
  <c r="K50" i="1" s="1"/>
  <c r="I50" i="1"/>
  <c r="J49" i="1"/>
  <c r="K49" i="1" s="1"/>
  <c r="I49" i="1"/>
  <c r="J48" i="1"/>
  <c r="K48" i="1" s="1"/>
  <c r="I48" i="1"/>
  <c r="J47" i="1"/>
  <c r="K47" i="1" s="1"/>
  <c r="I47" i="1"/>
  <c r="J46" i="1"/>
  <c r="K46" i="1" s="1"/>
  <c r="I46" i="1"/>
  <c r="J45" i="1"/>
  <c r="K45" i="1" s="1"/>
  <c r="I45" i="1"/>
  <c r="J44" i="1"/>
  <c r="K44" i="1" s="1"/>
  <c r="I44" i="1"/>
  <c r="J43" i="1"/>
  <c r="K43" i="1" s="1"/>
  <c r="I43" i="1"/>
  <c r="J3" i="2"/>
  <c r="K3" i="2"/>
  <c r="I3" i="2"/>
  <c r="I34" i="1"/>
  <c r="J34" i="1"/>
  <c r="K34" i="1" s="1"/>
  <c r="I35" i="1"/>
  <c r="J35" i="1"/>
  <c r="K35" i="1" s="1"/>
  <c r="I36" i="1"/>
  <c r="J36" i="1"/>
  <c r="K36" i="1" s="1"/>
  <c r="I37" i="1"/>
  <c r="J37" i="1"/>
  <c r="K37" i="1" s="1"/>
  <c r="I38" i="1"/>
  <c r="J38" i="1"/>
  <c r="K38" i="1" s="1"/>
  <c r="I39" i="1"/>
  <c r="J39" i="1"/>
  <c r="K39" i="1" s="1"/>
  <c r="I40" i="1"/>
  <c r="J40" i="1"/>
  <c r="K40" i="1" s="1"/>
  <c r="I41" i="1"/>
  <c r="J41" i="1"/>
  <c r="K41" i="1" s="1"/>
  <c r="I42" i="1"/>
  <c r="J42" i="1"/>
  <c r="K42" i="1" s="1"/>
  <c r="I52" i="1"/>
  <c r="J52" i="1"/>
  <c r="K52" i="1" s="1"/>
  <c r="I53" i="1"/>
  <c r="J53" i="1"/>
  <c r="K53" i="1" s="1"/>
  <c r="I59" i="1"/>
  <c r="J59" i="1"/>
  <c r="K59" i="1" s="1"/>
  <c r="I60" i="1"/>
  <c r="J60" i="1"/>
  <c r="K60" i="1" s="1"/>
  <c r="I88" i="1"/>
  <c r="J88" i="1"/>
  <c r="K88" i="1" s="1"/>
  <c r="I27" i="1"/>
  <c r="J27" i="1"/>
  <c r="K27" i="1" s="1"/>
  <c r="G14" i="1"/>
  <c r="J89" i="1"/>
  <c r="K89" i="1" s="1"/>
  <c r="I89" i="1"/>
  <c r="J33" i="1"/>
  <c r="K33" i="1" s="1"/>
  <c r="I33" i="1"/>
  <c r="J32" i="1"/>
  <c r="K32" i="1" s="1"/>
  <c r="I32" i="1"/>
  <c r="J31" i="1"/>
  <c r="K31" i="1" s="1"/>
  <c r="I31" i="1"/>
  <c r="J30" i="1"/>
  <c r="K30" i="1" s="1"/>
  <c r="I30" i="1"/>
  <c r="J29" i="1"/>
  <c r="K29" i="1" s="1"/>
  <c r="I29" i="1"/>
  <c r="J28" i="1"/>
  <c r="K28" i="1" s="1"/>
  <c r="I28" i="1"/>
  <c r="J26" i="1"/>
  <c r="K26" i="1" s="1"/>
  <c r="I26" i="1"/>
  <c r="J24" i="1"/>
  <c r="K24" i="1" s="1"/>
  <c r="I24" i="1"/>
  <c r="J23" i="1"/>
  <c r="K23" i="1" s="1"/>
  <c r="I23" i="1"/>
  <c r="J22" i="1"/>
  <c r="K22" i="1" s="1"/>
  <c r="I22" i="1"/>
  <c r="J21" i="1"/>
  <c r="K21" i="1" s="1"/>
  <c r="I21" i="1"/>
  <c r="J20" i="1"/>
  <c r="K20" i="1" s="1"/>
  <c r="I20" i="1"/>
  <c r="J19" i="1"/>
  <c r="K19" i="1" s="1"/>
  <c r="I19" i="1"/>
  <c r="J18" i="1"/>
  <c r="K18" i="1" s="1"/>
  <c r="I18" i="1"/>
  <c r="J17" i="1"/>
  <c r="K17" i="1" s="1"/>
  <c r="I17" i="1"/>
  <c r="J16" i="1"/>
  <c r="K16" i="1" s="1"/>
  <c r="I16" i="1"/>
  <c r="J12" i="1"/>
  <c r="K12" i="1" s="1"/>
  <c r="I12" i="1"/>
  <c r="J15" i="1"/>
  <c r="K15" i="1" s="1"/>
  <c r="I15" i="1"/>
  <c r="J13" i="1"/>
  <c r="K13" i="1" s="1"/>
  <c r="I13" i="1"/>
  <c r="I22" i="2"/>
  <c r="J22" i="2"/>
  <c r="J23" i="2"/>
  <c r="I23" i="2"/>
  <c r="N2" i="2"/>
  <c r="K22" i="2"/>
  <c r="K23" i="2"/>
  <c r="I11" i="1"/>
  <c r="J11" i="1"/>
  <c r="K11" i="1" s="1"/>
  <c r="I3" i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I4" i="1"/>
  <c r="I5" i="1"/>
  <c r="I6" i="1"/>
  <c r="I7" i="1"/>
  <c r="I8" i="1"/>
  <c r="I9" i="1"/>
  <c r="I10" i="1"/>
  <c r="J3" i="1"/>
  <c r="K3" i="1" s="1"/>
  <c r="M2" i="1"/>
  <c r="J132" i="36"/>
  <c r="N79" i="36"/>
  <c r="L131" i="36"/>
  <c r="M131" i="36"/>
  <c r="N131" i="36"/>
  <c r="M132" i="36"/>
  <c r="N39" i="36"/>
  <c r="N16" i="36"/>
  <c r="L132" i="36"/>
  <c r="N2" i="1"/>
  <c r="J189" i="1" l="1"/>
  <c r="K189" i="1" s="1"/>
  <c r="I186" i="1"/>
  <c r="I189" i="1"/>
  <c r="J186" i="1"/>
  <c r="K186" i="1" s="1"/>
  <c r="E75" i="18"/>
  <c r="F75" i="18" s="1"/>
  <c r="I188" i="1"/>
  <c r="J188" i="1"/>
  <c r="K188" i="1" s="1"/>
  <c r="O2" i="1"/>
  <c r="E95" i="18"/>
  <c r="E96" i="18"/>
  <c r="F96" i="18" s="1"/>
  <c r="I224" i="1"/>
  <c r="I14" i="1"/>
  <c r="J14" i="1"/>
  <c r="K14" i="1" s="1"/>
  <c r="I192" i="1"/>
  <c r="E81" i="18"/>
  <c r="F81" i="18" s="1"/>
  <c r="I185" i="1"/>
  <c r="J185" i="1"/>
  <c r="K185" i="1" s="1"/>
  <c r="F87" i="18" l="1"/>
  <c r="E98" i="18"/>
  <c r="F95" i="18"/>
  <c r="F98" i="18" s="1"/>
  <c r="E87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REA Advertising</author>
  </authors>
  <commentList>
    <comment ref="B10" authorId="0" shapeId="0" xr:uid="{16C0890B-C65E-4D96-B3C7-7BF7FBDF92AE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25/01/2024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25/01/2024</t>
        </r>
      </text>
    </comment>
    <comment ref="B19" authorId="0" shapeId="0" xr:uid="{AE7EBBF5-350E-4406-B120-96452B3B45CF}">
      <text>
        <r>
          <rPr>
            <b/>
            <sz val="9"/>
            <color indexed="81"/>
            <rFont val="Tahoma"/>
            <family val="2"/>
          </rPr>
          <t>Proforma - 12/01/2024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 - 25/01/2024</t>
        </r>
      </text>
    </comment>
    <comment ref="B25" authorId="0" shapeId="0" xr:uid="{57873342-AA80-43B7-9974-C6C48F5DFD47}">
      <text>
        <r>
          <rPr>
            <b/>
            <sz val="9"/>
            <color indexed="81"/>
            <rFont val="Tahoma"/>
            <family val="2"/>
          </rPr>
          <t>AED 340.24</t>
        </r>
        <r>
          <rPr>
            <sz val="9"/>
            <color indexed="81"/>
            <rFont val="Tahoma"/>
            <family val="2"/>
          </rPr>
          <t xml:space="preserve"> added for Pop up Banner 
( For the Bank charges and the Certificate charges ) </t>
        </r>
      </text>
    </comment>
    <comment ref="B26" authorId="0" shapeId="0" xr:uid="{D3049738-AB86-4EA6-911F-6042F0CABA01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received on </t>
        </r>
        <r>
          <rPr>
            <b/>
            <sz val="9"/>
            <color indexed="81"/>
            <rFont val="Tahoma"/>
            <family val="2"/>
          </rPr>
          <t>30/01/2024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 xml:space="preserve">30/01/2024
</t>
        </r>
      </text>
    </comment>
    <comment ref="B27" authorId="0" shapeId="0" xr:uid="{078FA323-1DAB-4E68-9E83-3066D3FB2B07}">
      <text>
        <r>
          <rPr>
            <sz val="9"/>
            <color indexed="81"/>
            <rFont val="Tahoma"/>
            <family val="2"/>
          </rPr>
          <t xml:space="preserve">Received mail on </t>
        </r>
        <r>
          <rPr>
            <b/>
            <sz val="9"/>
            <color indexed="81"/>
            <rFont val="Tahoma"/>
            <family val="2"/>
          </rPr>
          <t>03/02/2024</t>
        </r>
        <r>
          <rPr>
            <sz val="9"/>
            <color indexed="81"/>
            <rFont val="Tahoma"/>
            <family val="2"/>
          </rPr>
          <t xml:space="preserve"> mentioned the LPO Number. 
Based on that issued Tax Invoice.
</t>
        </r>
        <r>
          <rPr>
            <b/>
            <sz val="9"/>
            <color indexed="81"/>
            <rFont val="Tahoma"/>
            <family val="2"/>
          </rPr>
          <t>Invoice date : 03/02/2024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Not changed report date.</t>
        </r>
      </text>
    </comment>
    <comment ref="B50" authorId="0" shapeId="0" xr:uid="{C1538CDB-0A9F-423C-A86E-D0037890B46C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 xml:space="preserve">26/01/2024
Tax Invoice - 14/02/2024
</t>
        </r>
        <r>
          <rPr>
            <sz val="9"/>
            <color indexed="81"/>
            <rFont val="Tahoma"/>
            <family val="2"/>
          </rPr>
          <t>Already taken month of January accounts. 
Not changed the report date.</t>
        </r>
      </text>
    </comment>
    <comment ref="B51" authorId="0" shapeId="0" xr:uid="{A6A1A437-B9A3-476F-8CB7-F0910D037370}">
      <text>
        <r>
          <rPr>
            <b/>
            <sz val="9"/>
            <color indexed="81"/>
            <rFont val="Tahoma"/>
            <family val="2"/>
          </rPr>
          <t>Dummy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26/01/2024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Tahoma"/>
            <family val="2"/>
          </rPr>
          <t>22/02/2024</t>
        </r>
        <r>
          <rPr>
            <sz val="9"/>
            <color indexed="81"/>
            <rFont val="Tahoma"/>
            <family val="2"/>
          </rPr>
          <t xml:space="preserve">
Already taken month of January accounts. 
Not changed the report date.</t>
        </r>
      </text>
    </comment>
    <comment ref="B58" authorId="0" shapeId="0" xr:uid="{C9604237-4F60-4925-9DB8-3B13FF76AE97}">
      <text>
        <r>
          <rPr>
            <sz val="9"/>
            <color indexed="81"/>
            <rFont val="Tahoma"/>
            <family val="2"/>
          </rPr>
          <t>Received</t>
        </r>
        <r>
          <rPr>
            <b/>
            <sz val="9"/>
            <color indexed="81"/>
            <rFont val="Tahoma"/>
            <family val="2"/>
          </rPr>
          <t xml:space="preserve"> LPO</t>
        </r>
        <r>
          <rPr>
            <sz val="9"/>
            <color indexed="81"/>
            <rFont val="Tahoma"/>
            <family val="2"/>
          </rPr>
          <t xml:space="preserve"> on</t>
        </r>
        <r>
          <rPr>
            <b/>
            <sz val="9"/>
            <color indexed="81"/>
            <rFont val="Tahoma"/>
            <family val="2"/>
          </rPr>
          <t xml:space="preserve"> 05/02/2024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 </t>
        </r>
        <r>
          <rPr>
            <b/>
            <sz val="9"/>
            <color indexed="81"/>
            <rFont val="Tahoma"/>
            <family val="2"/>
          </rPr>
          <t>05/02/2024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</t>
        </r>
        <r>
          <rPr>
            <b/>
            <sz val="9"/>
            <color indexed="81"/>
            <rFont val="Tahoma"/>
            <family val="2"/>
          </rPr>
          <t>Not changed</t>
        </r>
        <r>
          <rPr>
            <sz val="9"/>
            <color indexed="81"/>
            <rFont val="Tahoma"/>
            <family val="2"/>
          </rPr>
          <t xml:space="preserve"> the </t>
        </r>
        <r>
          <rPr>
            <b/>
            <sz val="9"/>
            <color indexed="81"/>
            <rFont val="Tahoma"/>
            <family val="2"/>
          </rPr>
          <t xml:space="preserve">report date.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5" authorId="0" shapeId="0" xr:uid="{CB51216C-D6BD-4808-8BDB-CEBE58C4984A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mail received on </t>
        </r>
        <r>
          <rPr>
            <b/>
            <sz val="9"/>
            <color indexed="81"/>
            <rFont val="Tahoma"/>
            <family val="2"/>
          </rPr>
          <t>08/02/2024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</t>
        </r>
        <r>
          <rPr>
            <b/>
            <sz val="9"/>
            <color indexed="81"/>
            <rFont val="Tahoma"/>
            <family val="2"/>
          </rPr>
          <t xml:space="preserve"> 08/02/2024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Not changed the report date. </t>
        </r>
      </text>
    </comment>
    <comment ref="B76" authorId="0" shapeId="0" xr:uid="{EEB9DADC-4498-4484-A226-276CB1F011F5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>Invoice</t>
        </r>
        <r>
          <rPr>
            <b/>
            <sz val="9"/>
            <color indexed="81"/>
            <rFont val="Tahoma"/>
            <family val="2"/>
          </rPr>
          <t xml:space="preserve"> - 31/01/2024
Tax Invoice - 05/03/2024
Already taken month of January accounts.
</t>
        </r>
        <r>
          <rPr>
            <sz val="9"/>
            <color indexed="81"/>
            <rFont val="Tahoma"/>
            <family val="2"/>
          </rPr>
          <t xml:space="preserve">Not changed report date. </t>
        </r>
      </text>
    </comment>
    <comment ref="B93" authorId="0" shapeId="0" xr:uid="{3A097553-B74D-4E68-A5FE-28A947839798}">
      <text>
        <r>
          <rPr>
            <sz val="9"/>
            <color indexed="81"/>
            <rFont val="Tahoma"/>
            <family val="2"/>
          </rPr>
          <t xml:space="preserve">Instructions given by Maam Reena reduced the unit cost </t>
        </r>
        <r>
          <rPr>
            <b/>
            <sz val="9"/>
            <color indexed="81"/>
            <rFont val="Tahoma"/>
            <family val="2"/>
          </rPr>
          <t>AED 8.35</t>
        </r>
        <r>
          <rPr>
            <sz val="9"/>
            <color indexed="81"/>
            <rFont val="Tahoma"/>
            <family val="2"/>
          </rPr>
          <t xml:space="preserve"> to </t>
        </r>
        <r>
          <rPr>
            <b/>
            <sz val="9"/>
            <color indexed="81"/>
            <rFont val="Tahoma"/>
            <family val="2"/>
          </rPr>
          <t>AED 6.25</t>
        </r>
        <r>
          <rPr>
            <sz val="9"/>
            <color indexed="81"/>
            <rFont val="Tahoma"/>
            <family val="2"/>
          </rPr>
          <t xml:space="preserve">
Previous invoice amount - AED 17,368
</t>
        </r>
        <r>
          <rPr>
            <b/>
            <sz val="9"/>
            <color indexed="81"/>
            <rFont val="Tahoma"/>
            <family val="2"/>
          </rPr>
          <t>Reduced</t>
        </r>
        <r>
          <rPr>
            <sz val="9"/>
            <color indexed="81"/>
            <rFont val="Tahoma"/>
            <family val="2"/>
          </rPr>
          <t xml:space="preserve"> AED </t>
        </r>
        <r>
          <rPr>
            <b/>
            <sz val="9"/>
            <color indexed="81"/>
            <rFont val="Tahoma"/>
            <family val="2"/>
          </rPr>
          <t>4,368</t>
        </r>
        <r>
          <rPr>
            <sz val="9"/>
            <color indexed="81"/>
            <rFont val="Tahoma"/>
            <family val="2"/>
          </rPr>
          <t xml:space="preserve"> from the Invoice Sub Total </t>
        </r>
      </text>
    </comment>
    <comment ref="B95" authorId="0" shapeId="0" xr:uid="{202580C1-E9E5-428D-87D6-131B47C659FF}">
      <text>
        <r>
          <rPr>
            <sz val="9"/>
            <color indexed="81"/>
            <rFont val="Tahoma"/>
            <family val="2"/>
          </rPr>
          <t xml:space="preserve">Instructions given by Maam Reena reduced the unit cost </t>
        </r>
        <r>
          <rPr>
            <b/>
            <sz val="9"/>
            <color indexed="81"/>
            <rFont val="Tahoma"/>
            <family val="2"/>
          </rPr>
          <t>AED 225</t>
        </r>
        <r>
          <rPr>
            <sz val="9"/>
            <color indexed="81"/>
            <rFont val="Tahoma"/>
            <family val="2"/>
          </rPr>
          <t xml:space="preserve"> to </t>
        </r>
        <r>
          <rPr>
            <b/>
            <sz val="9"/>
            <color indexed="81"/>
            <rFont val="Tahoma"/>
            <family val="2"/>
          </rPr>
          <t xml:space="preserve">AED 125 </t>
        </r>
        <r>
          <rPr>
            <sz val="9"/>
            <color indexed="81"/>
            <rFont val="Tahoma"/>
            <family val="2"/>
          </rPr>
          <t xml:space="preserve">(Prop - Outstanding)
Previous invoice amount - AED 695
</t>
        </r>
        <r>
          <rPr>
            <b/>
            <sz val="9"/>
            <color indexed="81"/>
            <rFont val="Tahoma"/>
            <family val="2"/>
          </rPr>
          <t>Reduced AED 100</t>
        </r>
        <r>
          <rPr>
            <sz val="9"/>
            <color indexed="81"/>
            <rFont val="Tahoma"/>
            <family val="2"/>
          </rPr>
          <t xml:space="preserve"> from the Invoice Sub Total </t>
        </r>
      </text>
    </comment>
    <comment ref="B107" authorId="0" shapeId="0" xr:uid="{FB06ED43-7169-4DDC-AF93-C4791D4683DC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21/02/2024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Tax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04/03/2024</t>
        </r>
        <r>
          <rPr>
            <sz val="9"/>
            <color indexed="81"/>
            <rFont val="Tahoma"/>
            <family val="2"/>
          </rPr>
          <t xml:space="preserve">
Already taken month of</t>
        </r>
        <r>
          <rPr>
            <b/>
            <sz val="9"/>
            <color indexed="81"/>
            <rFont val="Tahoma"/>
            <family val="2"/>
          </rPr>
          <t xml:space="preserve"> February </t>
        </r>
        <r>
          <rPr>
            <sz val="9"/>
            <color indexed="81"/>
            <rFont val="Tahoma"/>
            <family val="2"/>
          </rPr>
          <t xml:space="preserve">accounts.
Not changed report date. </t>
        </r>
      </text>
    </comment>
    <comment ref="B112" authorId="0" shapeId="0" xr:uid="{D58F7E93-32B1-41AB-A226-1D95204A3C32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06/03/2024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Invoice </t>
        </r>
        <r>
          <rPr>
            <sz val="9"/>
            <color indexed="81"/>
            <rFont val="Tahoma"/>
            <family val="2"/>
          </rPr>
          <t xml:space="preserve">dated - </t>
        </r>
        <r>
          <rPr>
            <b/>
            <sz val="9"/>
            <color indexed="81"/>
            <rFont val="Tahoma"/>
            <family val="2"/>
          </rPr>
          <t>07/03/2024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the report date. 
</t>
        </r>
      </text>
    </comment>
    <comment ref="B116" authorId="0" shapeId="0" xr:uid="{EC6575C1-E7CF-4069-86E5-042514599E8F}">
      <text>
        <r>
          <rPr>
            <sz val="9"/>
            <color indexed="81"/>
            <rFont val="Tahoma"/>
            <family val="2"/>
          </rPr>
          <t xml:space="preserve">Dummy Invoice - 23 Feb 24
taken as part of Feb 24 accounts
Actual Invoice Date 16 March 24
</t>
        </r>
      </text>
    </comment>
    <comment ref="B117" authorId="0" shapeId="0" xr:uid="{5ABFB71B-CBFA-4EA0-A248-1A7B353A9561}">
      <text>
        <r>
          <rPr>
            <sz val="9"/>
            <color indexed="81"/>
            <rFont val="Tahoma"/>
            <family val="2"/>
          </rPr>
          <t xml:space="preserve">Dummy Invoice 
Pending LPO
</t>
        </r>
      </text>
    </comment>
    <comment ref="B118" authorId="0" shapeId="0" xr:uid="{B3F12E6E-08BF-49AF-92BF-33B310BF4215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04/03/2024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 </t>
        </r>
        <r>
          <rPr>
            <b/>
            <sz val="9"/>
            <color indexed="81"/>
            <rFont val="Tahoma"/>
            <family val="2"/>
          </rPr>
          <t>08/03/2024</t>
        </r>
        <r>
          <rPr>
            <sz val="9"/>
            <color indexed="81"/>
            <rFont val="Tahoma"/>
            <family val="2"/>
          </rPr>
          <t xml:space="preserve">
Already taken month of</t>
        </r>
        <r>
          <rPr>
            <b/>
            <sz val="9"/>
            <color indexed="81"/>
            <rFont val="Tahoma"/>
            <family val="2"/>
          </rPr>
          <t xml:space="preserve"> February </t>
        </r>
        <r>
          <rPr>
            <sz val="9"/>
            <color indexed="81"/>
            <rFont val="Tahoma"/>
            <family val="2"/>
          </rPr>
          <t xml:space="preserve">accounts. 
Not changed the report date. 
</t>
        </r>
      </text>
    </comment>
    <comment ref="B121" authorId="0" shapeId="0" xr:uid="{C7EC11B9-42EB-4953-B48E-11CB6E5A27AB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27/02/2024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06/03/2024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B122" authorId="0" shapeId="0" xr:uid="{1E3D11DE-C498-40F0-B103-E44CC21B3DAC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27/02/2024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07/03/2024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B123" authorId="0" shapeId="0" xr:uid="{28DCA79D-CC85-4CC5-8579-05DF1374A730}">
      <text>
        <r>
          <rPr>
            <b/>
            <sz val="9"/>
            <color indexed="81"/>
            <rFont val="Tahoma"/>
            <family val="2"/>
          </rPr>
          <t xml:space="preserve">LPO </t>
        </r>
        <r>
          <rPr>
            <sz val="9"/>
            <color indexed="81"/>
            <rFont val="Tahoma"/>
            <family val="2"/>
          </rPr>
          <t>dated</t>
        </r>
        <r>
          <rPr>
            <b/>
            <sz val="9"/>
            <color indexed="81"/>
            <rFont val="Tahoma"/>
            <family val="2"/>
          </rPr>
          <t xml:space="preserve"> 07/03/2024
Invoice </t>
        </r>
        <r>
          <rPr>
            <sz val="9"/>
            <color indexed="81"/>
            <rFont val="Tahoma"/>
            <family val="2"/>
          </rPr>
          <t>dated</t>
        </r>
        <r>
          <rPr>
            <b/>
            <sz val="9"/>
            <color indexed="81"/>
            <rFont val="Tahoma"/>
            <family val="2"/>
          </rPr>
          <t xml:space="preserve"> - 07/03/2024
</t>
        </r>
        <r>
          <rPr>
            <sz val="9"/>
            <color indexed="81"/>
            <rFont val="Tahoma"/>
            <family val="2"/>
          </rPr>
          <t xml:space="preserve">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the report date. </t>
        </r>
      </text>
    </comment>
    <comment ref="B124" authorId="0" shapeId="0" xr:uid="{71978769-6C7B-4E95-9026-B9C52CEA3255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report date. </t>
        </r>
      </text>
    </comment>
    <comment ref="B125" authorId="0" shapeId="0" xr:uid="{FAB0ADCE-6AD2-4428-8C65-BBC9B4FF15F0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B126" authorId="0" shapeId="0" xr:uid="{817ACE26-15B5-4389-AF47-9B3B0950A2E0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</t>
        </r>
        <r>
          <rPr>
            <b/>
            <sz val="9"/>
            <color indexed="81"/>
            <rFont val="Tahoma"/>
            <family val="2"/>
          </rPr>
          <t xml:space="preserve"> 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report date.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REA Advertising</author>
    <author>tc={2C2959DF-14C4-4774-B5CF-FE00C587A7D5}</author>
    <author>tc={4195E5C9-E6AB-405E-BEED-3FB7BAC28ABF}</author>
    <author>tc={51840483-C41B-49BA-9520-E59F78EF3440}</author>
    <author>tc={3A2A6E9D-98E0-447B-A856-83F3B6145078}</author>
    <author>tc={17C4EF5E-239C-41E6-864D-FF7C22892865}</author>
    <author>tc={3DADA4CB-22BD-4F2B-9A23-08F0FB40006E}</author>
    <author>tc={8D3A0C05-EFD6-4006-8227-C68FDA615B81}</author>
    <author>tc={1C45DD0C-A271-4E81-93BA-FFC9E269FFA9}</author>
    <author>tc={9EA34A16-5E71-4D65-A3B4-E616128B8AD5}</author>
    <author>tc={3B7A4948-93B5-4598-AFDF-7396E60437F8}</author>
    <author>tc={D4E14EAF-03A5-4FA4-8318-E660D3C82131}</author>
    <author>tc={08D44E89-EC9A-47EF-B519-CCF14779A3CE}</author>
    <author>tc={0AC1370A-DE70-405D-BA83-7C7670F5317B}</author>
    <author>tc={8396357C-076E-4D4C-AE8D-1191720569AE}</author>
    <author>tc={C01988D5-3F8F-485C-A1C0-73776CDA50AB}</author>
    <author>tc={95B37179-3A0E-4EC1-AA50-4D3AD1403483}</author>
    <author>tc={64BBC93D-D6E6-4F97-97C2-D018DA985A4D}</author>
    <author>tc={247A71CC-994F-4D04-82C2-7591B6BB1C85}</author>
    <author>tc={CC33CC97-5412-4582-81F3-86AFE4DE5989}</author>
  </authors>
  <commentList>
    <comment ref="C11" authorId="0" shapeId="0" xr:uid="{46A6FD55-6633-43A2-BFD8-CE750BD55D02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25/01/2024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25/01/2024</t>
        </r>
      </text>
    </comment>
    <comment ref="C20" authorId="0" shapeId="0" xr:uid="{550D6F74-2986-41E7-8D68-81BCDA04B45D}">
      <text>
        <r>
          <rPr>
            <b/>
            <sz val="9"/>
            <color indexed="81"/>
            <rFont val="Tahoma"/>
            <family val="2"/>
          </rPr>
          <t>Proforma - 12/01/2024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 - 25/01/2024</t>
        </r>
      </text>
    </comment>
    <comment ref="C25" authorId="0" shapeId="0" xr:uid="{A93DCE85-D2A7-4835-8CB9-0BAB09143925}">
      <text>
        <r>
          <rPr>
            <sz val="9"/>
            <color indexed="81"/>
            <rFont val="Tahoma"/>
            <family val="2"/>
          </rPr>
          <t>Received</t>
        </r>
        <r>
          <rPr>
            <b/>
            <sz val="9"/>
            <color indexed="81"/>
            <rFont val="Tahoma"/>
            <family val="2"/>
          </rPr>
          <t xml:space="preserve"> LPO</t>
        </r>
        <r>
          <rPr>
            <sz val="9"/>
            <color indexed="81"/>
            <rFont val="Tahoma"/>
            <family val="2"/>
          </rPr>
          <t xml:space="preserve"> under </t>
        </r>
        <r>
          <rPr>
            <b/>
            <sz val="9"/>
            <color indexed="81"/>
            <rFont val="Tahoma"/>
            <family val="2"/>
          </rPr>
          <t xml:space="preserve">REA - Inspiration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</t>
        </r>
        <r>
          <rPr>
            <sz val="9"/>
            <color indexed="81"/>
            <rFont val="Tahoma"/>
            <family val="2"/>
          </rPr>
          <t xml:space="preserve"> issued under</t>
        </r>
        <r>
          <rPr>
            <b/>
            <sz val="9"/>
            <color indexed="81"/>
            <rFont val="Tahoma"/>
            <family val="2"/>
          </rPr>
          <t xml:space="preserve"> REA Inspiration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New Invoice</t>
        </r>
        <r>
          <rPr>
            <sz val="9"/>
            <color indexed="81"/>
            <rFont val="Tahoma"/>
            <family val="2"/>
          </rPr>
          <t xml:space="preserve"> No. </t>
        </r>
        <r>
          <rPr>
            <b/>
            <sz val="9"/>
            <color indexed="81"/>
            <rFont val="Tahoma"/>
            <family val="2"/>
          </rPr>
          <t xml:space="preserve">24-0002
24-0023 - VOID </t>
        </r>
      </text>
    </comment>
    <comment ref="C27" authorId="0" shapeId="0" xr:uid="{1F173149-44E1-4410-92B6-7DF74F8B219A}">
      <text>
        <r>
          <rPr>
            <b/>
            <sz val="9"/>
            <color indexed="81"/>
            <rFont val="Tahoma"/>
            <family val="2"/>
          </rPr>
          <t>AED 340.24</t>
        </r>
        <r>
          <rPr>
            <sz val="9"/>
            <color indexed="81"/>
            <rFont val="Tahoma"/>
            <family val="2"/>
          </rPr>
          <t xml:space="preserve"> added for Pop up Banner 
( For the Bank charges and the Certificate charges ) </t>
        </r>
      </text>
    </comment>
    <comment ref="C28" authorId="0" shapeId="0" xr:uid="{875DD9C3-9174-451F-A6A3-B6EF3C81099A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received on </t>
        </r>
        <r>
          <rPr>
            <b/>
            <sz val="9"/>
            <color indexed="81"/>
            <rFont val="Tahoma"/>
            <family val="2"/>
          </rPr>
          <t>30/01/2024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 xml:space="preserve">30/01/2024
</t>
        </r>
      </text>
    </comment>
    <comment ref="C29" authorId="0" shapeId="0" xr:uid="{673A1FB8-4495-4076-BBB4-413BFB41B623}">
      <text>
        <r>
          <rPr>
            <sz val="9"/>
            <color indexed="81"/>
            <rFont val="Tahoma"/>
            <family val="2"/>
          </rPr>
          <t xml:space="preserve">Received mail on </t>
        </r>
        <r>
          <rPr>
            <b/>
            <sz val="9"/>
            <color indexed="81"/>
            <rFont val="Tahoma"/>
            <family val="2"/>
          </rPr>
          <t>03/02/2024</t>
        </r>
        <r>
          <rPr>
            <sz val="9"/>
            <color indexed="81"/>
            <rFont val="Tahoma"/>
            <family val="2"/>
          </rPr>
          <t xml:space="preserve"> mentioned the LPO Number. 
Based on that issued Tax Invoice.
</t>
        </r>
        <r>
          <rPr>
            <b/>
            <sz val="9"/>
            <color indexed="81"/>
            <rFont val="Tahoma"/>
            <family val="2"/>
          </rPr>
          <t>Invoice date : 03/02/2024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Not changed report date.</t>
        </r>
      </text>
    </comment>
    <comment ref="C52" authorId="0" shapeId="0" xr:uid="{8EDCBA02-8102-4A50-9D28-E878EF3DF824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 xml:space="preserve">26/01/2024
Tax Invoice - 14/02/2024
</t>
        </r>
        <r>
          <rPr>
            <sz val="9"/>
            <color indexed="81"/>
            <rFont val="Tahoma"/>
            <family val="2"/>
          </rPr>
          <t>Already taken month of January accounts. 
Not changed the report date.</t>
        </r>
      </text>
    </comment>
    <comment ref="C53" authorId="0" shapeId="0" xr:uid="{79024C94-826E-4803-908E-BEB25AC95DB7}">
      <text>
        <r>
          <rPr>
            <b/>
            <sz val="9"/>
            <color indexed="81"/>
            <rFont val="Tahoma"/>
            <family val="2"/>
          </rPr>
          <t>Dummy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26/01/2024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Tahoma"/>
            <family val="2"/>
          </rPr>
          <t>22/02/2024</t>
        </r>
        <r>
          <rPr>
            <sz val="9"/>
            <color indexed="81"/>
            <rFont val="Tahoma"/>
            <family val="2"/>
          </rPr>
          <t xml:space="preserve">
Already taken month of January accounts. 
Not changed the report date.</t>
        </r>
      </text>
    </comment>
    <comment ref="C60" authorId="0" shapeId="0" xr:uid="{5E9F25F0-E385-4DFA-B832-A2EA8A2CF9C1}">
      <text>
        <r>
          <rPr>
            <sz val="9"/>
            <color indexed="81"/>
            <rFont val="Tahoma"/>
            <family val="2"/>
          </rPr>
          <t>Received</t>
        </r>
        <r>
          <rPr>
            <b/>
            <sz val="9"/>
            <color indexed="81"/>
            <rFont val="Tahoma"/>
            <family val="2"/>
          </rPr>
          <t xml:space="preserve"> LPO</t>
        </r>
        <r>
          <rPr>
            <sz val="9"/>
            <color indexed="81"/>
            <rFont val="Tahoma"/>
            <family val="2"/>
          </rPr>
          <t xml:space="preserve"> on</t>
        </r>
        <r>
          <rPr>
            <b/>
            <sz val="9"/>
            <color indexed="81"/>
            <rFont val="Tahoma"/>
            <family val="2"/>
          </rPr>
          <t xml:space="preserve"> 05/02/2024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 </t>
        </r>
        <r>
          <rPr>
            <b/>
            <sz val="9"/>
            <color indexed="81"/>
            <rFont val="Tahoma"/>
            <family val="2"/>
          </rPr>
          <t>05/02/2024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</t>
        </r>
        <r>
          <rPr>
            <b/>
            <sz val="9"/>
            <color indexed="81"/>
            <rFont val="Tahoma"/>
            <family val="2"/>
          </rPr>
          <t>Not changed</t>
        </r>
        <r>
          <rPr>
            <sz val="9"/>
            <color indexed="81"/>
            <rFont val="Tahoma"/>
            <family val="2"/>
          </rPr>
          <t xml:space="preserve"> the </t>
        </r>
        <r>
          <rPr>
            <b/>
            <sz val="9"/>
            <color indexed="81"/>
            <rFont val="Tahoma"/>
            <family val="2"/>
          </rPr>
          <t xml:space="preserve">report date.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" authorId="0" shapeId="0" xr:uid="{59BD6CE9-5E97-4B28-A7CB-1E8B253374F5}">
      <text>
        <r>
          <rPr>
            <sz val="9"/>
            <color indexed="81"/>
            <rFont val="Tahoma"/>
            <family val="2"/>
          </rPr>
          <t xml:space="preserve">Production cancelled
</t>
        </r>
        <r>
          <rPr>
            <b/>
            <sz val="9"/>
            <color indexed="81"/>
            <rFont val="Tahoma"/>
            <family val="2"/>
          </rPr>
          <t xml:space="preserve">Void </t>
        </r>
        <r>
          <rPr>
            <sz val="9"/>
            <color indexed="81"/>
            <rFont val="Tahoma"/>
            <family val="2"/>
          </rPr>
          <t xml:space="preserve">- AED 5,000/-
</t>
        </r>
      </text>
    </comment>
    <comment ref="C78" authorId="0" shapeId="0" xr:uid="{634E30F7-A360-4E3A-B7F4-02CDD5D09D9D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mail received on </t>
        </r>
        <r>
          <rPr>
            <b/>
            <sz val="9"/>
            <color indexed="81"/>
            <rFont val="Tahoma"/>
            <family val="2"/>
          </rPr>
          <t>08/02/2024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</t>
        </r>
        <r>
          <rPr>
            <b/>
            <sz val="9"/>
            <color indexed="81"/>
            <rFont val="Tahoma"/>
            <family val="2"/>
          </rPr>
          <t xml:space="preserve"> 08/02/2024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Not changed the report date. </t>
        </r>
      </text>
    </comment>
    <comment ref="C79" authorId="0" shapeId="0" xr:uid="{BE6EB366-FA53-4CD0-AB3A-D7BB8502FCC5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>Invoice</t>
        </r>
        <r>
          <rPr>
            <b/>
            <sz val="9"/>
            <color indexed="81"/>
            <rFont val="Tahoma"/>
            <family val="2"/>
          </rPr>
          <t xml:space="preserve"> - 31/01/2024
Tax Invoice - 05/03/2024
Already taken month of January accounts.
</t>
        </r>
        <r>
          <rPr>
            <sz val="9"/>
            <color indexed="81"/>
            <rFont val="Tahoma"/>
            <family val="2"/>
          </rPr>
          <t xml:space="preserve">Not changed report date. </t>
        </r>
      </text>
    </comment>
    <comment ref="C96" authorId="0" shapeId="0" xr:uid="{E2ACBA82-19A0-40A1-BA5F-31396FBF2F86}">
      <text>
        <r>
          <rPr>
            <sz val="9"/>
            <color indexed="81"/>
            <rFont val="Tahoma"/>
            <family val="2"/>
          </rPr>
          <t xml:space="preserve">Instructions given by Maam Reena reduced the unit cost </t>
        </r>
        <r>
          <rPr>
            <b/>
            <sz val="9"/>
            <color indexed="81"/>
            <rFont val="Tahoma"/>
            <family val="2"/>
          </rPr>
          <t>AED 8.35</t>
        </r>
        <r>
          <rPr>
            <sz val="9"/>
            <color indexed="81"/>
            <rFont val="Tahoma"/>
            <family val="2"/>
          </rPr>
          <t xml:space="preserve"> to </t>
        </r>
        <r>
          <rPr>
            <b/>
            <sz val="9"/>
            <color indexed="81"/>
            <rFont val="Tahoma"/>
            <family val="2"/>
          </rPr>
          <t>AED 6.25</t>
        </r>
        <r>
          <rPr>
            <sz val="9"/>
            <color indexed="81"/>
            <rFont val="Tahoma"/>
            <family val="2"/>
          </rPr>
          <t xml:space="preserve">
Previous invoice amount - AED 17,368
</t>
        </r>
        <r>
          <rPr>
            <b/>
            <sz val="9"/>
            <color indexed="81"/>
            <rFont val="Tahoma"/>
            <family val="2"/>
          </rPr>
          <t>Reduced</t>
        </r>
        <r>
          <rPr>
            <sz val="9"/>
            <color indexed="81"/>
            <rFont val="Tahoma"/>
            <family val="2"/>
          </rPr>
          <t xml:space="preserve"> AED </t>
        </r>
        <r>
          <rPr>
            <b/>
            <sz val="9"/>
            <color indexed="81"/>
            <rFont val="Tahoma"/>
            <family val="2"/>
          </rPr>
          <t>4,368</t>
        </r>
        <r>
          <rPr>
            <sz val="9"/>
            <color indexed="81"/>
            <rFont val="Tahoma"/>
            <family val="2"/>
          </rPr>
          <t xml:space="preserve"> from the Invoice Sub Total </t>
        </r>
      </text>
    </comment>
    <comment ref="C98" authorId="0" shapeId="0" xr:uid="{F44904B1-EC49-4E90-86C6-F70C215EC172}">
      <text>
        <r>
          <rPr>
            <sz val="9"/>
            <color indexed="81"/>
            <rFont val="Tahoma"/>
            <family val="2"/>
          </rPr>
          <t xml:space="preserve">Instructions given by Maam Reena reduced the unit cost </t>
        </r>
        <r>
          <rPr>
            <b/>
            <sz val="9"/>
            <color indexed="81"/>
            <rFont val="Tahoma"/>
            <family val="2"/>
          </rPr>
          <t>AED 225</t>
        </r>
        <r>
          <rPr>
            <sz val="9"/>
            <color indexed="81"/>
            <rFont val="Tahoma"/>
            <family val="2"/>
          </rPr>
          <t xml:space="preserve"> to </t>
        </r>
        <r>
          <rPr>
            <b/>
            <sz val="9"/>
            <color indexed="81"/>
            <rFont val="Tahoma"/>
            <family val="2"/>
          </rPr>
          <t xml:space="preserve">AED 125 </t>
        </r>
        <r>
          <rPr>
            <sz val="9"/>
            <color indexed="81"/>
            <rFont val="Tahoma"/>
            <family val="2"/>
          </rPr>
          <t xml:space="preserve">(Prop - Outstanding)
Previous invoice amount - AED 695
</t>
        </r>
        <r>
          <rPr>
            <b/>
            <sz val="9"/>
            <color indexed="81"/>
            <rFont val="Tahoma"/>
            <family val="2"/>
          </rPr>
          <t>Reduced AED 100</t>
        </r>
        <r>
          <rPr>
            <sz val="9"/>
            <color indexed="81"/>
            <rFont val="Tahoma"/>
            <family val="2"/>
          </rPr>
          <t xml:space="preserve"> from the Invoice Sub Total </t>
        </r>
      </text>
    </comment>
    <comment ref="C110" authorId="0" shapeId="0" xr:uid="{86405A29-025E-4EBC-AA44-82CFB9E396AA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21/02/2024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Tax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04/03/2024</t>
        </r>
        <r>
          <rPr>
            <sz val="9"/>
            <color indexed="81"/>
            <rFont val="Tahoma"/>
            <family val="2"/>
          </rPr>
          <t xml:space="preserve">
Already taken month of</t>
        </r>
        <r>
          <rPr>
            <b/>
            <sz val="9"/>
            <color indexed="81"/>
            <rFont val="Tahoma"/>
            <family val="2"/>
          </rPr>
          <t xml:space="preserve"> February </t>
        </r>
        <r>
          <rPr>
            <sz val="9"/>
            <color indexed="81"/>
            <rFont val="Tahoma"/>
            <family val="2"/>
          </rPr>
          <t xml:space="preserve">accounts.
Not changed report date. </t>
        </r>
      </text>
    </comment>
    <comment ref="C115" authorId="0" shapeId="0" xr:uid="{2816337B-E5C5-4025-84A3-D7F9C050EABF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06/03/2024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Invoice </t>
        </r>
        <r>
          <rPr>
            <sz val="9"/>
            <color indexed="81"/>
            <rFont val="Tahoma"/>
            <family val="2"/>
          </rPr>
          <t xml:space="preserve">dated - </t>
        </r>
        <r>
          <rPr>
            <b/>
            <sz val="9"/>
            <color indexed="81"/>
            <rFont val="Tahoma"/>
            <family val="2"/>
          </rPr>
          <t>07/03/2024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the report date. 
</t>
        </r>
      </text>
    </comment>
    <comment ref="C119" authorId="0" shapeId="0" xr:uid="{67469312-9AAC-4FFE-82DA-6AE59E0C1937}">
      <text>
        <r>
          <rPr>
            <sz val="9"/>
            <color indexed="81"/>
            <rFont val="Tahoma"/>
            <family val="2"/>
          </rPr>
          <t xml:space="preserve">Issued this Invoice under </t>
        </r>
        <r>
          <rPr>
            <b/>
            <sz val="9"/>
            <color indexed="81"/>
            <rFont val="Tahoma"/>
            <family val="2"/>
          </rPr>
          <t>REA Inspiration (24-0004)</t>
        </r>
        <r>
          <rPr>
            <sz val="9"/>
            <color indexed="81"/>
            <rFont val="Tahoma"/>
            <family val="2"/>
          </rPr>
          <t xml:space="preserve"> 
on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Void</t>
        </r>
        <r>
          <rPr>
            <sz val="9"/>
            <color indexed="81"/>
            <rFont val="Tahoma"/>
            <family val="2"/>
          </rPr>
          <t xml:space="preserve"> Invoice No. </t>
        </r>
        <r>
          <rPr>
            <b/>
            <sz val="9"/>
            <color indexed="81"/>
            <rFont val="Tahoma"/>
            <family val="2"/>
          </rPr>
          <t>24-0117</t>
        </r>
      </text>
    </comment>
    <comment ref="C120" authorId="0" shapeId="0" xr:uid="{36EC9416-E1B1-4937-A924-61752B8AA77E}">
      <text>
        <r>
          <rPr>
            <sz val="9"/>
            <color indexed="81"/>
            <rFont val="Tahoma"/>
            <family val="2"/>
          </rPr>
          <t xml:space="preserve">Dummy Invoice - 23 Feb 24
taken as part of Feb 24 accounts
Actual Invoice Date 16 March 24
</t>
        </r>
      </text>
    </comment>
    <comment ref="C121" authorId="0" shapeId="0" xr:uid="{8F522E83-750A-41AE-B752-CDA356C4F040}">
      <text>
        <r>
          <rPr>
            <sz val="9"/>
            <color indexed="81"/>
            <rFont val="Tahoma"/>
            <family val="2"/>
          </rPr>
          <t xml:space="preserve">Dummy Invoice 
Pending LPO
</t>
        </r>
      </text>
    </comment>
    <comment ref="C122" authorId="0" shapeId="0" xr:uid="{669DEE63-22B1-458E-9255-41BE90C7282E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04/03/2024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 </t>
        </r>
        <r>
          <rPr>
            <b/>
            <sz val="9"/>
            <color indexed="81"/>
            <rFont val="Tahoma"/>
            <family val="2"/>
          </rPr>
          <t>08/03/2024</t>
        </r>
        <r>
          <rPr>
            <sz val="9"/>
            <color indexed="81"/>
            <rFont val="Tahoma"/>
            <family val="2"/>
          </rPr>
          <t xml:space="preserve">
Already taken month of</t>
        </r>
        <r>
          <rPr>
            <b/>
            <sz val="9"/>
            <color indexed="81"/>
            <rFont val="Tahoma"/>
            <family val="2"/>
          </rPr>
          <t xml:space="preserve"> February </t>
        </r>
        <r>
          <rPr>
            <sz val="9"/>
            <color indexed="81"/>
            <rFont val="Tahoma"/>
            <family val="2"/>
          </rPr>
          <t xml:space="preserve">accounts. 
Not changed the report date. 
</t>
        </r>
      </text>
    </comment>
    <comment ref="C123" authorId="0" shapeId="0" xr:uid="{4E3B36A6-E95C-468E-AE50-A38F6FAE82D8}">
      <text>
        <r>
          <rPr>
            <sz val="9"/>
            <color indexed="81"/>
            <rFont val="Tahoma"/>
            <family val="2"/>
          </rPr>
          <t xml:space="preserve">Issued this Invoice under </t>
        </r>
        <r>
          <rPr>
            <b/>
            <sz val="9"/>
            <color indexed="81"/>
            <rFont val="Tahoma"/>
            <family val="2"/>
          </rPr>
          <t xml:space="preserve">REA Inspiration (24-0003)
</t>
        </r>
        <r>
          <rPr>
            <sz val="9"/>
            <color indexed="81"/>
            <rFont val="Tahoma"/>
            <family val="2"/>
          </rPr>
          <t xml:space="preserve">on </t>
        </r>
        <r>
          <rPr>
            <b/>
            <sz val="9"/>
            <color indexed="81"/>
            <rFont val="Tahoma"/>
            <family val="2"/>
          </rPr>
          <t xml:space="preserve">26/02/2024
Void </t>
        </r>
        <r>
          <rPr>
            <sz val="9"/>
            <color indexed="81"/>
            <rFont val="Tahoma"/>
            <family val="2"/>
          </rPr>
          <t>Invoice No.</t>
        </r>
        <r>
          <rPr>
            <b/>
            <sz val="9"/>
            <color indexed="81"/>
            <rFont val="Tahoma"/>
            <family val="2"/>
          </rPr>
          <t xml:space="preserve"> 24-0121
</t>
        </r>
      </text>
    </comment>
    <comment ref="C125" authorId="0" shapeId="0" xr:uid="{69509FC2-39BC-494E-9DC4-5A157A043109}">
      <text>
        <r>
          <rPr>
            <b/>
            <sz val="9"/>
            <color indexed="81"/>
            <rFont val="Tahoma"/>
            <family val="2"/>
          </rPr>
          <t xml:space="preserve">Issued </t>
        </r>
        <r>
          <rPr>
            <sz val="9"/>
            <color indexed="81"/>
            <rFont val="Tahoma"/>
            <family val="2"/>
          </rPr>
          <t>Invoice No.</t>
        </r>
        <r>
          <rPr>
            <b/>
            <sz val="9"/>
            <color indexed="81"/>
            <rFont val="Tahoma"/>
            <family val="2"/>
          </rPr>
          <t xml:space="preserve"> 24-0125</t>
        </r>
        <r>
          <rPr>
            <sz val="9"/>
            <color indexed="81"/>
            <rFont val="Tahoma"/>
            <family val="2"/>
          </rPr>
          <t xml:space="preserve"> for the same 
</t>
        </r>
        <r>
          <rPr>
            <b/>
            <sz val="9"/>
            <color indexed="81"/>
            <rFont val="Tahoma"/>
            <family val="2"/>
          </rPr>
          <t xml:space="preserve">24-0123 - VOID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7" authorId="0" shapeId="0" xr:uid="{71D4E49F-B639-42A6-A144-F33FE92326ED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27/02/2024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06/03/2024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C128" authorId="0" shapeId="0" xr:uid="{EC46A8D7-2F8F-4A96-A4D4-9A67E2F62965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27/02/2024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07/03/2024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C129" authorId="0" shapeId="0" xr:uid="{9488D491-BCAC-4538-A6CA-BD3EF3EAF757}">
      <text>
        <r>
          <rPr>
            <b/>
            <sz val="9"/>
            <color indexed="81"/>
            <rFont val="Tahoma"/>
            <family val="2"/>
          </rPr>
          <t xml:space="preserve">LPO </t>
        </r>
        <r>
          <rPr>
            <sz val="9"/>
            <color indexed="81"/>
            <rFont val="Tahoma"/>
            <family val="2"/>
          </rPr>
          <t>dated</t>
        </r>
        <r>
          <rPr>
            <b/>
            <sz val="9"/>
            <color indexed="81"/>
            <rFont val="Tahoma"/>
            <family val="2"/>
          </rPr>
          <t xml:space="preserve"> 07/03/2024
Invoice </t>
        </r>
        <r>
          <rPr>
            <sz val="9"/>
            <color indexed="81"/>
            <rFont val="Tahoma"/>
            <family val="2"/>
          </rPr>
          <t>dated</t>
        </r>
        <r>
          <rPr>
            <b/>
            <sz val="9"/>
            <color indexed="81"/>
            <rFont val="Tahoma"/>
            <family val="2"/>
          </rPr>
          <t xml:space="preserve"> - 07/03/2024
</t>
        </r>
        <r>
          <rPr>
            <sz val="9"/>
            <color indexed="81"/>
            <rFont val="Tahoma"/>
            <family val="2"/>
          </rPr>
          <t xml:space="preserve">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the report date. </t>
        </r>
      </text>
    </comment>
    <comment ref="C130" authorId="0" shapeId="0" xr:uid="{46825F45-F063-4971-8510-70BE7F393895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report date. </t>
        </r>
      </text>
    </comment>
    <comment ref="C131" authorId="0" shapeId="0" xr:uid="{258210B6-353D-43D9-BF3B-1524B7016B51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C132" authorId="0" shapeId="0" xr:uid="{A08E7F7C-0692-478B-9C5A-B2ED2365BEA1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</t>
        </r>
        <r>
          <rPr>
            <b/>
            <sz val="9"/>
            <color indexed="81"/>
            <rFont val="Tahoma"/>
            <family val="2"/>
          </rPr>
          <t xml:space="preserve"> 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report date. 
</t>
        </r>
      </text>
    </comment>
    <comment ref="C141" authorId="1" shapeId="0" xr:uid="{2C2959DF-14C4-4774-B5CF-FE00C587A7D5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DATE 28/06/2024</t>
      </text>
    </comment>
    <comment ref="C142" authorId="2" shapeId="0" xr:uid="{4195E5C9-E6AB-405E-BEED-3FB7BAC28A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28/06/2024
</t>
      </text>
    </comment>
    <comment ref="C143" authorId="3" shapeId="0" xr:uid="{51840483-C41B-49BA-9520-E59F78EF34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28/06/2024
</t>
      </text>
    </comment>
    <comment ref="D202" authorId="0" shapeId="0" xr:uid="{988DE607-D220-4011-8329-9AD3D6CA3971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Original invoice date is March (Excel file is dated 02.04.2024)</t>
        </r>
      </text>
    </comment>
    <comment ref="C224" authorId="0" shapeId="0" xr:uid="{2F5C4ACC-3099-44FB-BBDB-B596DBEC2E3F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LPO received in May but Invoice accounted for in April</t>
        </r>
      </text>
    </comment>
    <comment ref="C225" authorId="0" shapeId="0" xr:uid="{408F36DB-4490-4255-A026-CDC896EAC446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VOID as received 1 LPO from TRANE AUH for both TRANE and MTA business cards</t>
        </r>
      </text>
    </comment>
    <comment ref="C226" authorId="0" shapeId="0" xr:uid="{8D6C6BA1-F12A-4129-8113-40105F2485B0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LPO received in May, Invoice raised in May</t>
        </r>
      </text>
    </comment>
    <comment ref="C268" authorId="4" shapeId="0" xr:uid="{3A2A6E9D-98E0-447B-A856-83F3B6145078}">
      <text>
        <t>[Threaded comment]
Your version of Excel allows you to read this threaded comment; however, any edits to it will get removed if the file is opened in a newer version of Excel. Learn more: https://go.microsoft.com/fwlink/?linkid=870924
Comment:
    VOID</t>
      </text>
    </comment>
    <comment ref="D277" authorId="5" shapeId="0" xr:uid="{17C4EF5E-239C-41E6-864D-FF7C228928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is 14/06/2024
</t>
      </text>
    </comment>
    <comment ref="B298" authorId="6" shapeId="0" xr:uid="{3DADA4CB-22BD-4F2B-9A23-08F0FB40006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</t>
      </text>
    </comment>
    <comment ref="D309" authorId="7" shapeId="0" xr:uid="{8D3A0C05-EFD6-4006-8227-C68FDA615B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proforma 09/06/2024
</t>
      </text>
    </comment>
    <comment ref="D331" authorId="0" shapeId="0" xr:uid="{C8AD4E24-7A10-4D91-87AC-E11C33A681A6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Invoice date is 28/06/2024
</t>
        </r>
      </text>
    </comment>
    <comment ref="D332" authorId="8" shapeId="0" xr:uid="{1C45DD0C-A271-4E81-93BA-FFC9E269FF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is 14/06/2024
</t>
      </text>
    </comment>
    <comment ref="D336" authorId="9" shapeId="0" xr:uid="{9EA34A16-5E71-4D65-A3B4-E616128B8A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LOP 10/06/2024
</t>
      </text>
    </comment>
    <comment ref="D337" authorId="10" shapeId="0" xr:uid="{3B7A4948-93B5-4598-AFDF-7396E60437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24-0352
</t>
      </text>
    </comment>
    <comment ref="D338" authorId="11" shapeId="0" xr:uid="{D4E14EAF-03A5-4FA4-8318-E660D3C821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LOP 10/06/2024
</t>
      </text>
    </comment>
    <comment ref="D339" authorId="12" shapeId="0" xr:uid="{08D44E89-EC9A-47EF-B519-CCF14779A3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LOP 05/06/2024
</t>
      </text>
    </comment>
    <comment ref="D394" authorId="13" shapeId="0" xr:uid="{0AC1370A-DE70-405D-BA83-7C7670F531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dated 11/07/2024
</t>
      </text>
    </comment>
    <comment ref="C400" authorId="14" shapeId="0" xr:uid="{8396357C-076E-4D4C-AE8D-1191720569AE}">
      <text>
        <t>[Threaded comment]
Your version of Excel allows you to read this threaded comment; however, any edits to it will get removed if the file is opened in a newer version of Excel. Learn more: https://go.microsoft.com/fwlink/?linkid=870924
Comment:
    VOID. NO CONFIRMATION</t>
      </text>
    </comment>
    <comment ref="D426" authorId="15" shapeId="0" xr:uid="{C01988D5-3F8F-485C-A1C0-73776CDA50AB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invoice for 12/07/2024</t>
      </text>
    </comment>
    <comment ref="D429" authorId="16" shapeId="0" xr:uid="{95B37179-3A0E-4EC1-AA50-4D3AD14034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for the date 19/07/2024
</t>
      </text>
    </comment>
    <comment ref="D431" authorId="17" shapeId="0" xr:uid="{64BBC93D-D6E6-4F97-97C2-D018DA985A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for 26/07/2024
</t>
      </text>
    </comment>
    <comment ref="D436" authorId="18" shapeId="0" xr:uid="{247A71CC-994F-4D04-82C2-7591B6BB1C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for the date 22/07/2024
</t>
      </text>
    </comment>
    <comment ref="D438" authorId="19" shapeId="0" xr:uid="{CC33CC97-5412-4582-81F3-86AFE4DE59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for 26/07/2024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REA Advertising</author>
    <author>tc={B503230A-B65F-471D-848F-DBA8D63828D8}</author>
    <author>tc={69806124-33C6-490F-92E7-29C860C956FE}</author>
    <author>tc={77326E0C-830D-4B9A-8CD3-6B7738391391}</author>
    <author>tc={7DBDF101-CF2F-4999-AC7D-F42735CDF10D}</author>
    <author>tc={03DB0B48-82F8-4D2C-9981-4D0C46F60E13}</author>
    <author>tc={F0CC6E9A-CF63-4761-BE85-4CB7C9093B20}</author>
    <author>tc={7301EFAD-17BB-4B19-B96A-CBB0EF2E8BC2}</author>
    <author>tc={231A3565-D384-4D15-9749-38FE103A2E43}</author>
    <author>tc={DAC84130-4854-44D2-AC0C-1C4CEAFABC80}</author>
    <author>tc={B2D1DD44-E137-49EB-84BD-DB9C3CA25E4A}</author>
    <author>tc={E46FABDE-2B80-49C6-8A25-168C1A872A42}</author>
    <author>tc={58D367CA-80FB-4B15-B762-3268F0789F6B}</author>
  </authors>
  <commentList>
    <comment ref="C11" authorId="0" shapeId="0" xr:uid="{54563675-63B6-4F81-A86D-ADD269DE76F4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25/01/2024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25/01/2024</t>
        </r>
      </text>
    </comment>
    <comment ref="C20" authorId="0" shapeId="0" xr:uid="{4827DB60-C089-4F07-B73D-32E0C319E8E0}">
      <text>
        <r>
          <rPr>
            <b/>
            <sz val="9"/>
            <color indexed="81"/>
            <rFont val="Tahoma"/>
            <family val="2"/>
          </rPr>
          <t>Proforma - 12/01/2024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 - 25/01/2024</t>
        </r>
      </text>
    </comment>
    <comment ref="C25" authorId="0" shapeId="0" xr:uid="{F3DA207D-9EEE-48ED-8C37-AF021AC569DE}">
      <text>
        <r>
          <rPr>
            <sz val="9"/>
            <color indexed="81"/>
            <rFont val="Tahoma"/>
            <family val="2"/>
          </rPr>
          <t>Received</t>
        </r>
        <r>
          <rPr>
            <b/>
            <sz val="9"/>
            <color indexed="81"/>
            <rFont val="Tahoma"/>
            <family val="2"/>
          </rPr>
          <t xml:space="preserve"> LPO</t>
        </r>
        <r>
          <rPr>
            <sz val="9"/>
            <color indexed="81"/>
            <rFont val="Tahoma"/>
            <family val="2"/>
          </rPr>
          <t xml:space="preserve"> under </t>
        </r>
        <r>
          <rPr>
            <b/>
            <sz val="9"/>
            <color indexed="81"/>
            <rFont val="Tahoma"/>
            <family val="2"/>
          </rPr>
          <t xml:space="preserve">REA - Inspiration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</t>
        </r>
        <r>
          <rPr>
            <sz val="9"/>
            <color indexed="81"/>
            <rFont val="Tahoma"/>
            <family val="2"/>
          </rPr>
          <t xml:space="preserve"> issued under</t>
        </r>
        <r>
          <rPr>
            <b/>
            <sz val="9"/>
            <color indexed="81"/>
            <rFont val="Tahoma"/>
            <family val="2"/>
          </rPr>
          <t xml:space="preserve"> REA Inspiration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New Invoice</t>
        </r>
        <r>
          <rPr>
            <sz val="9"/>
            <color indexed="81"/>
            <rFont val="Tahoma"/>
            <family val="2"/>
          </rPr>
          <t xml:space="preserve"> No. </t>
        </r>
        <r>
          <rPr>
            <b/>
            <sz val="9"/>
            <color indexed="81"/>
            <rFont val="Tahoma"/>
            <family val="2"/>
          </rPr>
          <t xml:space="preserve">24-0002
24-0023 - VOID </t>
        </r>
      </text>
    </comment>
    <comment ref="C27" authorId="0" shapeId="0" xr:uid="{9610C13A-73F8-4E6A-B7DD-879B997B6C57}">
      <text>
        <r>
          <rPr>
            <b/>
            <sz val="9"/>
            <color indexed="81"/>
            <rFont val="Tahoma"/>
            <family val="2"/>
          </rPr>
          <t>AED 340.24</t>
        </r>
        <r>
          <rPr>
            <sz val="9"/>
            <color indexed="81"/>
            <rFont val="Tahoma"/>
            <family val="2"/>
          </rPr>
          <t xml:space="preserve"> added for Pop up Banner 
( For the Bank charges and the Certificate charges ) </t>
        </r>
      </text>
    </comment>
    <comment ref="C28" authorId="0" shapeId="0" xr:uid="{C6556C92-4B39-4A2C-9570-D87723DCF459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received on </t>
        </r>
        <r>
          <rPr>
            <b/>
            <sz val="9"/>
            <color indexed="81"/>
            <rFont val="Tahoma"/>
            <family val="2"/>
          </rPr>
          <t>30/01/2024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 xml:space="preserve">30/01/2024
</t>
        </r>
      </text>
    </comment>
    <comment ref="C29" authorId="0" shapeId="0" xr:uid="{CB8B9716-8DF6-471C-82B1-B5F53C5A762F}">
      <text>
        <r>
          <rPr>
            <sz val="9"/>
            <color indexed="81"/>
            <rFont val="Tahoma"/>
            <family val="2"/>
          </rPr>
          <t xml:space="preserve">Received mail on </t>
        </r>
        <r>
          <rPr>
            <b/>
            <sz val="9"/>
            <color indexed="81"/>
            <rFont val="Tahoma"/>
            <family val="2"/>
          </rPr>
          <t>03/02/2024</t>
        </r>
        <r>
          <rPr>
            <sz val="9"/>
            <color indexed="81"/>
            <rFont val="Tahoma"/>
            <family val="2"/>
          </rPr>
          <t xml:space="preserve"> mentioned the LPO Number. 
Based on that issued Tax Invoice.
</t>
        </r>
        <r>
          <rPr>
            <b/>
            <sz val="9"/>
            <color indexed="81"/>
            <rFont val="Tahoma"/>
            <family val="2"/>
          </rPr>
          <t>Invoice date : 03/02/2024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Not changed report date.</t>
        </r>
      </text>
    </comment>
    <comment ref="C52" authorId="0" shapeId="0" xr:uid="{7FE93A47-4501-45F6-B35A-A5312AE429D7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 xml:space="preserve">26/01/2024
Tax Invoice - 14/02/2024
</t>
        </r>
        <r>
          <rPr>
            <sz val="9"/>
            <color indexed="81"/>
            <rFont val="Tahoma"/>
            <family val="2"/>
          </rPr>
          <t>Already taken month of January accounts. 
Not changed the report date.</t>
        </r>
      </text>
    </comment>
    <comment ref="C53" authorId="0" shapeId="0" xr:uid="{F455ABBD-F152-47E8-ABE1-EBA61924B1BA}">
      <text>
        <r>
          <rPr>
            <b/>
            <sz val="9"/>
            <color indexed="81"/>
            <rFont val="Tahoma"/>
            <family val="2"/>
          </rPr>
          <t>Dummy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26/01/2024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Tahoma"/>
            <family val="2"/>
          </rPr>
          <t>22/02/2024</t>
        </r>
        <r>
          <rPr>
            <sz val="9"/>
            <color indexed="81"/>
            <rFont val="Tahoma"/>
            <family val="2"/>
          </rPr>
          <t xml:space="preserve">
Already taken month of January accounts. 
Not changed the report date.</t>
        </r>
      </text>
    </comment>
    <comment ref="C60" authorId="0" shapeId="0" xr:uid="{147707DF-11EC-4D27-8F43-DFA18FD7231B}">
      <text>
        <r>
          <rPr>
            <sz val="9"/>
            <color indexed="81"/>
            <rFont val="Tahoma"/>
            <family val="2"/>
          </rPr>
          <t>Received</t>
        </r>
        <r>
          <rPr>
            <b/>
            <sz val="9"/>
            <color indexed="81"/>
            <rFont val="Tahoma"/>
            <family val="2"/>
          </rPr>
          <t xml:space="preserve"> LPO</t>
        </r>
        <r>
          <rPr>
            <sz val="9"/>
            <color indexed="81"/>
            <rFont val="Tahoma"/>
            <family val="2"/>
          </rPr>
          <t xml:space="preserve"> on</t>
        </r>
        <r>
          <rPr>
            <b/>
            <sz val="9"/>
            <color indexed="81"/>
            <rFont val="Tahoma"/>
            <family val="2"/>
          </rPr>
          <t xml:space="preserve"> 05/02/2024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 </t>
        </r>
        <r>
          <rPr>
            <b/>
            <sz val="9"/>
            <color indexed="81"/>
            <rFont val="Tahoma"/>
            <family val="2"/>
          </rPr>
          <t>05/02/2024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</t>
        </r>
        <r>
          <rPr>
            <b/>
            <sz val="9"/>
            <color indexed="81"/>
            <rFont val="Tahoma"/>
            <family val="2"/>
          </rPr>
          <t>Not changed</t>
        </r>
        <r>
          <rPr>
            <sz val="9"/>
            <color indexed="81"/>
            <rFont val="Tahoma"/>
            <family val="2"/>
          </rPr>
          <t xml:space="preserve"> the </t>
        </r>
        <r>
          <rPr>
            <b/>
            <sz val="9"/>
            <color indexed="81"/>
            <rFont val="Tahoma"/>
            <family val="2"/>
          </rPr>
          <t xml:space="preserve">report date.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" authorId="0" shapeId="0" xr:uid="{13826C79-C866-44AD-AE83-75F25B797525}">
      <text>
        <r>
          <rPr>
            <sz val="9"/>
            <color indexed="81"/>
            <rFont val="Tahoma"/>
            <family val="2"/>
          </rPr>
          <t xml:space="preserve">Production cancelled
</t>
        </r>
        <r>
          <rPr>
            <b/>
            <sz val="9"/>
            <color indexed="81"/>
            <rFont val="Tahoma"/>
            <family val="2"/>
          </rPr>
          <t xml:space="preserve">Void </t>
        </r>
        <r>
          <rPr>
            <sz val="9"/>
            <color indexed="81"/>
            <rFont val="Tahoma"/>
            <family val="2"/>
          </rPr>
          <t xml:space="preserve">- AED 5,000/-
</t>
        </r>
      </text>
    </comment>
    <comment ref="C78" authorId="0" shapeId="0" xr:uid="{02460460-B30F-4FF4-8C2E-8166BDB2EEA1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mail received on </t>
        </r>
        <r>
          <rPr>
            <b/>
            <sz val="9"/>
            <color indexed="81"/>
            <rFont val="Tahoma"/>
            <family val="2"/>
          </rPr>
          <t>08/02/2024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</t>
        </r>
        <r>
          <rPr>
            <b/>
            <sz val="9"/>
            <color indexed="81"/>
            <rFont val="Tahoma"/>
            <family val="2"/>
          </rPr>
          <t xml:space="preserve"> 08/02/2024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Not changed the report date. </t>
        </r>
      </text>
    </comment>
    <comment ref="C79" authorId="0" shapeId="0" xr:uid="{B866BAA1-C53D-4456-BE0D-54B32B108587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>Invoice</t>
        </r>
        <r>
          <rPr>
            <b/>
            <sz val="9"/>
            <color indexed="81"/>
            <rFont val="Tahoma"/>
            <family val="2"/>
          </rPr>
          <t xml:space="preserve"> - 31/01/2024
Tax Invoice - 05/03/2024
Already taken month of January accounts.
</t>
        </r>
        <r>
          <rPr>
            <sz val="9"/>
            <color indexed="81"/>
            <rFont val="Tahoma"/>
            <family val="2"/>
          </rPr>
          <t xml:space="preserve">Not changed report date. </t>
        </r>
      </text>
    </comment>
    <comment ref="C96" authorId="0" shapeId="0" xr:uid="{FF55BAB9-8B2D-4776-ACB9-B4D93E0775BA}">
      <text>
        <r>
          <rPr>
            <sz val="9"/>
            <color indexed="81"/>
            <rFont val="Tahoma"/>
            <family val="2"/>
          </rPr>
          <t xml:space="preserve">Instructions given by Maam Reena reduced the unit cost </t>
        </r>
        <r>
          <rPr>
            <b/>
            <sz val="9"/>
            <color indexed="81"/>
            <rFont val="Tahoma"/>
            <family val="2"/>
          </rPr>
          <t>AED 8.35</t>
        </r>
        <r>
          <rPr>
            <sz val="9"/>
            <color indexed="81"/>
            <rFont val="Tahoma"/>
            <family val="2"/>
          </rPr>
          <t xml:space="preserve"> to </t>
        </r>
        <r>
          <rPr>
            <b/>
            <sz val="9"/>
            <color indexed="81"/>
            <rFont val="Tahoma"/>
            <family val="2"/>
          </rPr>
          <t>AED 6.25</t>
        </r>
        <r>
          <rPr>
            <sz val="9"/>
            <color indexed="81"/>
            <rFont val="Tahoma"/>
            <family val="2"/>
          </rPr>
          <t xml:space="preserve">
Previous invoice amount - AED 17,368
</t>
        </r>
        <r>
          <rPr>
            <b/>
            <sz val="9"/>
            <color indexed="81"/>
            <rFont val="Tahoma"/>
            <family val="2"/>
          </rPr>
          <t>Reduced</t>
        </r>
        <r>
          <rPr>
            <sz val="9"/>
            <color indexed="81"/>
            <rFont val="Tahoma"/>
            <family val="2"/>
          </rPr>
          <t xml:space="preserve"> AED </t>
        </r>
        <r>
          <rPr>
            <b/>
            <sz val="9"/>
            <color indexed="81"/>
            <rFont val="Tahoma"/>
            <family val="2"/>
          </rPr>
          <t>4,368</t>
        </r>
        <r>
          <rPr>
            <sz val="9"/>
            <color indexed="81"/>
            <rFont val="Tahoma"/>
            <family val="2"/>
          </rPr>
          <t xml:space="preserve"> from the Invoice Sub Total </t>
        </r>
      </text>
    </comment>
    <comment ref="C98" authorId="0" shapeId="0" xr:uid="{8CEB7CC2-9348-4634-BB4F-FD130AD04761}">
      <text>
        <r>
          <rPr>
            <sz val="9"/>
            <color indexed="81"/>
            <rFont val="Tahoma"/>
            <family val="2"/>
          </rPr>
          <t xml:space="preserve">Instructions given by Maam Reena reduced the unit cost </t>
        </r>
        <r>
          <rPr>
            <b/>
            <sz val="9"/>
            <color indexed="81"/>
            <rFont val="Tahoma"/>
            <family val="2"/>
          </rPr>
          <t>AED 225</t>
        </r>
        <r>
          <rPr>
            <sz val="9"/>
            <color indexed="81"/>
            <rFont val="Tahoma"/>
            <family val="2"/>
          </rPr>
          <t xml:space="preserve"> to </t>
        </r>
        <r>
          <rPr>
            <b/>
            <sz val="9"/>
            <color indexed="81"/>
            <rFont val="Tahoma"/>
            <family val="2"/>
          </rPr>
          <t xml:space="preserve">AED 125 </t>
        </r>
        <r>
          <rPr>
            <sz val="9"/>
            <color indexed="81"/>
            <rFont val="Tahoma"/>
            <family val="2"/>
          </rPr>
          <t xml:space="preserve">(Prop - Outstanding)
Previous invoice amount - AED 695
</t>
        </r>
        <r>
          <rPr>
            <b/>
            <sz val="9"/>
            <color indexed="81"/>
            <rFont val="Tahoma"/>
            <family val="2"/>
          </rPr>
          <t>Reduced AED 100</t>
        </r>
        <r>
          <rPr>
            <sz val="9"/>
            <color indexed="81"/>
            <rFont val="Tahoma"/>
            <family val="2"/>
          </rPr>
          <t xml:space="preserve"> from the Invoice Sub Total </t>
        </r>
      </text>
    </comment>
    <comment ref="C110" authorId="0" shapeId="0" xr:uid="{FFF027BE-4B7C-4C14-9075-F51E287D8FA5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21/02/2024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Tax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04/03/2024</t>
        </r>
        <r>
          <rPr>
            <sz val="9"/>
            <color indexed="81"/>
            <rFont val="Tahoma"/>
            <family val="2"/>
          </rPr>
          <t xml:space="preserve">
Already taken month of</t>
        </r>
        <r>
          <rPr>
            <b/>
            <sz val="9"/>
            <color indexed="81"/>
            <rFont val="Tahoma"/>
            <family val="2"/>
          </rPr>
          <t xml:space="preserve"> February </t>
        </r>
        <r>
          <rPr>
            <sz val="9"/>
            <color indexed="81"/>
            <rFont val="Tahoma"/>
            <family val="2"/>
          </rPr>
          <t xml:space="preserve">accounts.
Not changed report date. </t>
        </r>
      </text>
    </comment>
    <comment ref="C115" authorId="0" shapeId="0" xr:uid="{DC7553CE-D712-4ADB-9121-88B7C3A88422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06/03/2024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Invoice </t>
        </r>
        <r>
          <rPr>
            <sz val="9"/>
            <color indexed="81"/>
            <rFont val="Tahoma"/>
            <family val="2"/>
          </rPr>
          <t xml:space="preserve">dated - </t>
        </r>
        <r>
          <rPr>
            <b/>
            <sz val="9"/>
            <color indexed="81"/>
            <rFont val="Tahoma"/>
            <family val="2"/>
          </rPr>
          <t>07/03/2024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the report date. 
</t>
        </r>
      </text>
    </comment>
    <comment ref="C119" authorId="0" shapeId="0" xr:uid="{73D0FDC7-A346-470F-BABD-7D56554308D3}">
      <text>
        <r>
          <rPr>
            <sz val="9"/>
            <color indexed="81"/>
            <rFont val="Tahoma"/>
            <family val="2"/>
          </rPr>
          <t xml:space="preserve">Issued this Invoice under </t>
        </r>
        <r>
          <rPr>
            <b/>
            <sz val="9"/>
            <color indexed="81"/>
            <rFont val="Tahoma"/>
            <family val="2"/>
          </rPr>
          <t>REA Inspiration (24-0004)</t>
        </r>
        <r>
          <rPr>
            <sz val="9"/>
            <color indexed="81"/>
            <rFont val="Tahoma"/>
            <family val="2"/>
          </rPr>
          <t xml:space="preserve"> 
on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Void</t>
        </r>
        <r>
          <rPr>
            <sz val="9"/>
            <color indexed="81"/>
            <rFont val="Tahoma"/>
            <family val="2"/>
          </rPr>
          <t xml:space="preserve"> Invoice No. </t>
        </r>
        <r>
          <rPr>
            <b/>
            <sz val="9"/>
            <color indexed="81"/>
            <rFont val="Tahoma"/>
            <family val="2"/>
          </rPr>
          <t>24-0117</t>
        </r>
      </text>
    </comment>
    <comment ref="C120" authorId="0" shapeId="0" xr:uid="{F32E782C-AB24-4867-84C5-20DA38C28D04}">
      <text>
        <r>
          <rPr>
            <sz val="9"/>
            <color indexed="81"/>
            <rFont val="Tahoma"/>
            <family val="2"/>
          </rPr>
          <t xml:space="preserve">Dummy Invoice - 23 Feb 24
taken as part of Feb 24 accounts
Actual Invoice Date 16 March 24
</t>
        </r>
      </text>
    </comment>
    <comment ref="C121" authorId="0" shapeId="0" xr:uid="{E4E0714B-2A11-409C-97F3-C057E7E5DD83}">
      <text>
        <r>
          <rPr>
            <sz val="9"/>
            <color indexed="81"/>
            <rFont val="Tahoma"/>
            <family val="2"/>
          </rPr>
          <t xml:space="preserve">Dummy Invoice 
Pending LPO
</t>
        </r>
      </text>
    </comment>
    <comment ref="C122" authorId="0" shapeId="0" xr:uid="{BC276723-857A-4E7B-AD91-63C450DD6CCA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04/03/2024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 </t>
        </r>
        <r>
          <rPr>
            <b/>
            <sz val="9"/>
            <color indexed="81"/>
            <rFont val="Tahoma"/>
            <family val="2"/>
          </rPr>
          <t>08/03/2024</t>
        </r>
        <r>
          <rPr>
            <sz val="9"/>
            <color indexed="81"/>
            <rFont val="Tahoma"/>
            <family val="2"/>
          </rPr>
          <t xml:space="preserve">
Already taken month of</t>
        </r>
        <r>
          <rPr>
            <b/>
            <sz val="9"/>
            <color indexed="81"/>
            <rFont val="Tahoma"/>
            <family val="2"/>
          </rPr>
          <t xml:space="preserve"> February </t>
        </r>
        <r>
          <rPr>
            <sz val="9"/>
            <color indexed="81"/>
            <rFont val="Tahoma"/>
            <family val="2"/>
          </rPr>
          <t xml:space="preserve">accounts. 
Not changed the report date. 
</t>
        </r>
      </text>
    </comment>
    <comment ref="C123" authorId="0" shapeId="0" xr:uid="{7BC38AC3-D48C-4011-9EB4-A09BDB34DB3A}">
      <text>
        <r>
          <rPr>
            <sz val="9"/>
            <color indexed="81"/>
            <rFont val="Tahoma"/>
            <family val="2"/>
          </rPr>
          <t xml:space="preserve">Issued this Invoice under </t>
        </r>
        <r>
          <rPr>
            <b/>
            <sz val="9"/>
            <color indexed="81"/>
            <rFont val="Tahoma"/>
            <family val="2"/>
          </rPr>
          <t xml:space="preserve">REA Inspiration (24-0003)
</t>
        </r>
        <r>
          <rPr>
            <sz val="9"/>
            <color indexed="81"/>
            <rFont val="Tahoma"/>
            <family val="2"/>
          </rPr>
          <t xml:space="preserve">on </t>
        </r>
        <r>
          <rPr>
            <b/>
            <sz val="9"/>
            <color indexed="81"/>
            <rFont val="Tahoma"/>
            <family val="2"/>
          </rPr>
          <t xml:space="preserve">26/02/2024
Void </t>
        </r>
        <r>
          <rPr>
            <sz val="9"/>
            <color indexed="81"/>
            <rFont val="Tahoma"/>
            <family val="2"/>
          </rPr>
          <t>Invoice No.</t>
        </r>
        <r>
          <rPr>
            <b/>
            <sz val="9"/>
            <color indexed="81"/>
            <rFont val="Tahoma"/>
            <family val="2"/>
          </rPr>
          <t xml:space="preserve"> 24-0121
</t>
        </r>
      </text>
    </comment>
    <comment ref="C125" authorId="0" shapeId="0" xr:uid="{6752AB48-F82A-4747-8841-D8A7750F4208}">
      <text>
        <r>
          <rPr>
            <b/>
            <sz val="9"/>
            <color indexed="81"/>
            <rFont val="Tahoma"/>
            <family val="2"/>
          </rPr>
          <t xml:space="preserve">Issued </t>
        </r>
        <r>
          <rPr>
            <sz val="9"/>
            <color indexed="81"/>
            <rFont val="Tahoma"/>
            <family val="2"/>
          </rPr>
          <t>Invoice No.</t>
        </r>
        <r>
          <rPr>
            <b/>
            <sz val="9"/>
            <color indexed="81"/>
            <rFont val="Tahoma"/>
            <family val="2"/>
          </rPr>
          <t xml:space="preserve"> 24-0125</t>
        </r>
        <r>
          <rPr>
            <sz val="9"/>
            <color indexed="81"/>
            <rFont val="Tahoma"/>
            <family val="2"/>
          </rPr>
          <t xml:space="preserve"> for the same 
</t>
        </r>
        <r>
          <rPr>
            <b/>
            <sz val="9"/>
            <color indexed="81"/>
            <rFont val="Tahoma"/>
            <family val="2"/>
          </rPr>
          <t xml:space="preserve">24-0123 - VOID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7" authorId="0" shapeId="0" xr:uid="{8335CC7A-9797-45FC-AF28-B22C8C43B5DB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27/02/2024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06/03/2024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C128" authorId="0" shapeId="0" xr:uid="{8C1AA29F-5C49-4C7C-9078-7AABEA28A3B9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27/02/2024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07/03/2024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C129" authorId="0" shapeId="0" xr:uid="{00DDCE63-A7C6-4169-B1A5-657D2B81E0BC}">
      <text>
        <r>
          <rPr>
            <b/>
            <sz val="9"/>
            <color indexed="81"/>
            <rFont val="Tahoma"/>
            <family val="2"/>
          </rPr>
          <t xml:space="preserve">LPO </t>
        </r>
        <r>
          <rPr>
            <sz val="9"/>
            <color indexed="81"/>
            <rFont val="Tahoma"/>
            <family val="2"/>
          </rPr>
          <t>dated</t>
        </r>
        <r>
          <rPr>
            <b/>
            <sz val="9"/>
            <color indexed="81"/>
            <rFont val="Tahoma"/>
            <family val="2"/>
          </rPr>
          <t xml:space="preserve"> 07/03/2024
Invoice </t>
        </r>
        <r>
          <rPr>
            <sz val="9"/>
            <color indexed="81"/>
            <rFont val="Tahoma"/>
            <family val="2"/>
          </rPr>
          <t>dated</t>
        </r>
        <r>
          <rPr>
            <b/>
            <sz val="9"/>
            <color indexed="81"/>
            <rFont val="Tahoma"/>
            <family val="2"/>
          </rPr>
          <t xml:space="preserve"> - 07/03/2024
</t>
        </r>
        <r>
          <rPr>
            <sz val="9"/>
            <color indexed="81"/>
            <rFont val="Tahoma"/>
            <family val="2"/>
          </rPr>
          <t xml:space="preserve">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the report date. </t>
        </r>
      </text>
    </comment>
    <comment ref="C130" authorId="0" shapeId="0" xr:uid="{8EFF0287-CAF5-474C-B14E-F80D0380E6A0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report date. </t>
        </r>
      </text>
    </comment>
    <comment ref="C131" authorId="0" shapeId="0" xr:uid="{AC8A73E5-A31B-4E94-8EBA-9A76A951F835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C132" authorId="0" shapeId="0" xr:uid="{5386C1BE-A2D3-415C-A1AE-C32EA4D6FB06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</t>
        </r>
        <r>
          <rPr>
            <b/>
            <sz val="9"/>
            <color indexed="81"/>
            <rFont val="Tahoma"/>
            <family val="2"/>
          </rPr>
          <t xml:space="preserve"> 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report date. 
</t>
        </r>
      </text>
    </comment>
    <comment ref="C141" authorId="1" shapeId="0" xr:uid="{B503230A-B65F-471D-848F-DBA8D63828D8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DATE 28/06/2024</t>
      </text>
    </comment>
    <comment ref="C142" authorId="2" shapeId="0" xr:uid="{69806124-33C6-490F-92E7-29C860C956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28/06/2024
</t>
      </text>
    </comment>
    <comment ref="C143" authorId="3" shapeId="0" xr:uid="{77326E0C-830D-4B9A-8CD3-6B77383913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28/06/2024
</t>
      </text>
    </comment>
    <comment ref="D202" authorId="0" shapeId="0" xr:uid="{B1480BAE-CF4F-4A9D-BDD1-47EEDC73A3BF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Original invoice date is March (Excel file is dated 02.04.2024)</t>
        </r>
      </text>
    </comment>
    <comment ref="C224" authorId="0" shapeId="0" xr:uid="{2972B9D5-7559-4364-A446-37EC784A38C7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LPO received in May but Invoice accounted for in April</t>
        </r>
      </text>
    </comment>
    <comment ref="C225" authorId="0" shapeId="0" xr:uid="{81E41911-8F01-48A6-AD1E-BFDFED5C5C23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VOID as received 1 LPO from TRANE AUH for both TRANE and MTA business cards</t>
        </r>
      </text>
    </comment>
    <comment ref="C226" authorId="0" shapeId="0" xr:uid="{6A9840E8-F5B0-453A-9C81-626708958CE1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LPO received in May, Invoice raised in May</t>
        </r>
      </text>
    </comment>
    <comment ref="C268" authorId="4" shapeId="0" xr:uid="{7DBDF101-CF2F-4999-AC7D-F42735CDF10D}">
      <text>
        <t>[Threaded comment]
Your version of Excel allows you to read this threaded comment; however, any edits to it will get removed if the file is opened in a newer version of Excel. Learn more: https://go.microsoft.com/fwlink/?linkid=870924
Comment:
    VOID</t>
      </text>
    </comment>
    <comment ref="D277" authorId="5" shapeId="0" xr:uid="{03DB0B48-82F8-4D2C-9981-4D0C46F60E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is 14/06/2024
</t>
      </text>
    </comment>
    <comment ref="B298" authorId="6" shapeId="0" xr:uid="{F0CC6E9A-CF63-4761-BE85-4CB7C9093B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</t>
      </text>
    </comment>
    <comment ref="D309" authorId="7" shapeId="0" xr:uid="{7301EFAD-17BB-4B19-B96A-CBB0EF2E8B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proforma 09/06/2024
</t>
      </text>
    </comment>
    <comment ref="D331" authorId="0" shapeId="0" xr:uid="{3506E4E0-0283-4CF8-879A-BE7E146E8B21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Invoice date is 28/06/2024
</t>
        </r>
      </text>
    </comment>
    <comment ref="D332" authorId="8" shapeId="0" xr:uid="{231A3565-D384-4D15-9749-38FE103A2E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is 14/06/2024
</t>
      </text>
    </comment>
    <comment ref="D336" authorId="9" shapeId="0" xr:uid="{DAC84130-4854-44D2-AC0C-1C4CEAFABC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LOP 10/06/2024
</t>
      </text>
    </comment>
    <comment ref="D337" authorId="10" shapeId="0" xr:uid="{B2D1DD44-E137-49EB-84BD-DB9C3CA25E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24-0352
</t>
      </text>
    </comment>
    <comment ref="D338" authorId="11" shapeId="0" xr:uid="{E46FABDE-2B80-49C6-8A25-168C1A872A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LOP 10/06/2024
</t>
      </text>
    </comment>
    <comment ref="D339" authorId="12" shapeId="0" xr:uid="{58D367CA-80FB-4B15-B762-3268F0789F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LOP 05/06/2024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REA Advertising</author>
    <author>tc={2BA0CEE5-F85A-4738-BFEB-0FFD7B80ACA0}</author>
    <author>tc={26734D45-F6D7-467C-A0FB-7388EC58397D}</author>
    <author>tc={2FD96659-07D6-4182-82BE-92BC5053BDAA}</author>
    <author>tc={E9511852-A158-4F7B-B914-8B48BE1AFE97}</author>
    <author>tc={57F2AC7A-B029-45B6-9353-D03E041BF791}</author>
    <author>tc={F55620FA-A526-44AB-B250-C8A9A5B6CFFD}</author>
    <author>tc={5F938011-982E-494A-8617-3222865E7625}</author>
    <author>tc={2930930C-FD61-449A-B999-4B8B117EB80D}</author>
    <author>tc={3410F79B-19A2-4274-A728-DA56CC9A47AF}</author>
    <author>tc={BFF96A1C-11D1-44EF-B23A-4BAFEEFF31E4}</author>
    <author>tc={11AD2F9F-C970-4CC2-AE46-D1DE0F680987}</author>
    <author>tc={C0B5A13B-85EA-45E7-8858-09A6BDB093CB}</author>
    <author>tc={C347FF86-871C-4AB4-BFE5-8F61FB7EF843}</author>
    <author>tc={85369559-D706-41BD-BAA2-5295BCE3FE79}</author>
    <author>tc={36891B96-E1FB-4E15-80C0-3226149DAA0C}</author>
    <author>tc={BC7A8EBA-73BC-4A67-9436-86E999E068E4}</author>
    <author>tc={66E35CA9-DEDB-4401-BF5D-A14654615785}</author>
    <author>tc={DA07641F-78E0-4328-8D76-613C5F8B5C7C}</author>
    <author>tc={37EB98F3-DC46-4E36-8BE0-7CD7C496CF54}</author>
  </authors>
  <commentList>
    <comment ref="C11" authorId="0" shapeId="0" xr:uid="{5337203E-6B50-4233-A4F2-3D17EB58F735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25/01/2024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25/01/2024</t>
        </r>
      </text>
    </comment>
    <comment ref="C20" authorId="0" shapeId="0" xr:uid="{6922BA1E-80F0-407C-9483-BCBF25B0FA03}">
      <text>
        <r>
          <rPr>
            <b/>
            <sz val="9"/>
            <color indexed="81"/>
            <rFont val="Tahoma"/>
            <family val="2"/>
          </rPr>
          <t>Proforma - 12/01/2024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 - 25/01/2024</t>
        </r>
      </text>
    </comment>
    <comment ref="C25" authorId="0" shapeId="0" xr:uid="{336721B3-45E2-4B26-847A-253AAC04C203}">
      <text>
        <r>
          <rPr>
            <sz val="9"/>
            <color indexed="81"/>
            <rFont val="Tahoma"/>
            <family val="2"/>
          </rPr>
          <t>Received</t>
        </r>
        <r>
          <rPr>
            <b/>
            <sz val="9"/>
            <color indexed="81"/>
            <rFont val="Tahoma"/>
            <family val="2"/>
          </rPr>
          <t xml:space="preserve"> LPO</t>
        </r>
        <r>
          <rPr>
            <sz val="9"/>
            <color indexed="81"/>
            <rFont val="Tahoma"/>
            <family val="2"/>
          </rPr>
          <t xml:space="preserve"> under </t>
        </r>
        <r>
          <rPr>
            <b/>
            <sz val="9"/>
            <color indexed="81"/>
            <rFont val="Tahoma"/>
            <family val="2"/>
          </rPr>
          <t xml:space="preserve">REA - Inspiration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</t>
        </r>
        <r>
          <rPr>
            <sz val="9"/>
            <color indexed="81"/>
            <rFont val="Tahoma"/>
            <family val="2"/>
          </rPr>
          <t xml:space="preserve"> issued under</t>
        </r>
        <r>
          <rPr>
            <b/>
            <sz val="9"/>
            <color indexed="81"/>
            <rFont val="Tahoma"/>
            <family val="2"/>
          </rPr>
          <t xml:space="preserve"> REA Inspiration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New Invoice</t>
        </r>
        <r>
          <rPr>
            <sz val="9"/>
            <color indexed="81"/>
            <rFont val="Tahoma"/>
            <family val="2"/>
          </rPr>
          <t xml:space="preserve"> No. </t>
        </r>
        <r>
          <rPr>
            <b/>
            <sz val="9"/>
            <color indexed="81"/>
            <rFont val="Tahoma"/>
            <family val="2"/>
          </rPr>
          <t xml:space="preserve">24-0002
24-0023 - VOID </t>
        </r>
      </text>
    </comment>
    <comment ref="C27" authorId="0" shapeId="0" xr:uid="{6CAAB4F5-F757-49DC-8531-FEFDC45917DF}">
      <text>
        <r>
          <rPr>
            <b/>
            <sz val="9"/>
            <color indexed="81"/>
            <rFont val="Tahoma"/>
            <family val="2"/>
          </rPr>
          <t>AED 340.24</t>
        </r>
        <r>
          <rPr>
            <sz val="9"/>
            <color indexed="81"/>
            <rFont val="Tahoma"/>
            <family val="2"/>
          </rPr>
          <t xml:space="preserve"> added for Pop up Banner 
( For the Bank charges and the Certificate charges ) </t>
        </r>
      </text>
    </comment>
    <comment ref="C28" authorId="0" shapeId="0" xr:uid="{91DEA70F-6D4D-4D69-920B-A84BC91F226F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received on </t>
        </r>
        <r>
          <rPr>
            <b/>
            <sz val="9"/>
            <color indexed="81"/>
            <rFont val="Tahoma"/>
            <family val="2"/>
          </rPr>
          <t>30/01/2024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 xml:space="preserve">30/01/2024
</t>
        </r>
      </text>
    </comment>
    <comment ref="C29" authorId="0" shapeId="0" xr:uid="{EB0A119F-27F2-4614-BE89-9A52942E253C}">
      <text>
        <r>
          <rPr>
            <sz val="9"/>
            <color indexed="81"/>
            <rFont val="Tahoma"/>
            <family val="2"/>
          </rPr>
          <t xml:space="preserve">Received mail on </t>
        </r>
        <r>
          <rPr>
            <b/>
            <sz val="9"/>
            <color indexed="81"/>
            <rFont val="Tahoma"/>
            <family val="2"/>
          </rPr>
          <t>03/02/2024</t>
        </r>
        <r>
          <rPr>
            <sz val="9"/>
            <color indexed="81"/>
            <rFont val="Tahoma"/>
            <family val="2"/>
          </rPr>
          <t xml:space="preserve"> mentioned the LPO Number. 
Based on that issued Tax Invoice.
</t>
        </r>
        <r>
          <rPr>
            <b/>
            <sz val="9"/>
            <color indexed="81"/>
            <rFont val="Tahoma"/>
            <family val="2"/>
          </rPr>
          <t>Invoice date : 03/02/2024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Not changed report date.</t>
        </r>
      </text>
    </comment>
    <comment ref="C52" authorId="0" shapeId="0" xr:uid="{6DE5B0C4-9369-43CF-8943-6D44135346C4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 xml:space="preserve">26/01/2024
Tax Invoice - 14/02/2024
</t>
        </r>
        <r>
          <rPr>
            <sz val="9"/>
            <color indexed="81"/>
            <rFont val="Tahoma"/>
            <family val="2"/>
          </rPr>
          <t>Already taken month of January accounts. 
Not changed the report date.</t>
        </r>
      </text>
    </comment>
    <comment ref="C53" authorId="0" shapeId="0" xr:uid="{ABB24769-D390-4413-97C1-798CDB9A58A1}">
      <text>
        <r>
          <rPr>
            <b/>
            <sz val="9"/>
            <color indexed="81"/>
            <rFont val="Tahoma"/>
            <family val="2"/>
          </rPr>
          <t>Dummy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26/01/2024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 Invoice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Tahoma"/>
            <family val="2"/>
          </rPr>
          <t>22/02/2024</t>
        </r>
        <r>
          <rPr>
            <sz val="9"/>
            <color indexed="81"/>
            <rFont val="Tahoma"/>
            <family val="2"/>
          </rPr>
          <t xml:space="preserve">
Already taken month of January accounts. 
Not changed the report date.</t>
        </r>
      </text>
    </comment>
    <comment ref="C60" authorId="0" shapeId="0" xr:uid="{F17A89EB-49E7-4CA1-8519-DAFCDC84D972}">
      <text>
        <r>
          <rPr>
            <sz val="9"/>
            <color indexed="81"/>
            <rFont val="Tahoma"/>
            <family val="2"/>
          </rPr>
          <t>Received</t>
        </r>
        <r>
          <rPr>
            <b/>
            <sz val="9"/>
            <color indexed="81"/>
            <rFont val="Tahoma"/>
            <family val="2"/>
          </rPr>
          <t xml:space="preserve"> LPO</t>
        </r>
        <r>
          <rPr>
            <sz val="9"/>
            <color indexed="81"/>
            <rFont val="Tahoma"/>
            <family val="2"/>
          </rPr>
          <t xml:space="preserve"> on</t>
        </r>
        <r>
          <rPr>
            <b/>
            <sz val="9"/>
            <color indexed="81"/>
            <rFont val="Tahoma"/>
            <family val="2"/>
          </rPr>
          <t xml:space="preserve"> 05/02/2024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 </t>
        </r>
        <r>
          <rPr>
            <b/>
            <sz val="9"/>
            <color indexed="81"/>
            <rFont val="Tahoma"/>
            <family val="2"/>
          </rPr>
          <t>05/02/2024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</t>
        </r>
        <r>
          <rPr>
            <b/>
            <sz val="9"/>
            <color indexed="81"/>
            <rFont val="Tahoma"/>
            <family val="2"/>
          </rPr>
          <t>Not changed</t>
        </r>
        <r>
          <rPr>
            <sz val="9"/>
            <color indexed="81"/>
            <rFont val="Tahoma"/>
            <family val="2"/>
          </rPr>
          <t xml:space="preserve"> the </t>
        </r>
        <r>
          <rPr>
            <b/>
            <sz val="9"/>
            <color indexed="81"/>
            <rFont val="Tahoma"/>
            <family val="2"/>
          </rPr>
          <t xml:space="preserve">report date.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" authorId="0" shapeId="0" xr:uid="{69FD393A-BF2B-4F1B-BCCC-4E1F93FB50FF}">
      <text>
        <r>
          <rPr>
            <sz val="9"/>
            <color indexed="81"/>
            <rFont val="Tahoma"/>
            <family val="2"/>
          </rPr>
          <t xml:space="preserve">Production cancelled
</t>
        </r>
        <r>
          <rPr>
            <b/>
            <sz val="9"/>
            <color indexed="81"/>
            <rFont val="Tahoma"/>
            <family val="2"/>
          </rPr>
          <t xml:space="preserve">Void </t>
        </r>
        <r>
          <rPr>
            <sz val="9"/>
            <color indexed="81"/>
            <rFont val="Tahoma"/>
            <family val="2"/>
          </rPr>
          <t xml:space="preserve">- AED 5,000/-
</t>
        </r>
      </text>
    </comment>
    <comment ref="C78" authorId="0" shapeId="0" xr:uid="{88F00A48-65A9-4BFA-9885-0CF7067E50D5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mail received on </t>
        </r>
        <r>
          <rPr>
            <b/>
            <sz val="9"/>
            <color indexed="81"/>
            <rFont val="Tahoma"/>
            <family val="2"/>
          </rPr>
          <t>08/02/2024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</t>
        </r>
        <r>
          <rPr>
            <b/>
            <sz val="9"/>
            <color indexed="81"/>
            <rFont val="Tahoma"/>
            <family val="2"/>
          </rPr>
          <t xml:space="preserve"> 08/02/2024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January</t>
        </r>
        <r>
          <rPr>
            <sz val="9"/>
            <color indexed="81"/>
            <rFont val="Tahoma"/>
            <family val="2"/>
          </rPr>
          <t xml:space="preserve"> accounts. 
Not changed the report date. </t>
        </r>
      </text>
    </comment>
    <comment ref="C79" authorId="0" shapeId="0" xr:uid="{48F71137-53DA-4563-8CC7-E4EFB8D8A62A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>Invoice</t>
        </r>
        <r>
          <rPr>
            <b/>
            <sz val="9"/>
            <color indexed="81"/>
            <rFont val="Tahoma"/>
            <family val="2"/>
          </rPr>
          <t xml:space="preserve"> - 31/01/2024
Tax Invoice - 05/03/2024
Already taken month of January accounts.
</t>
        </r>
        <r>
          <rPr>
            <sz val="9"/>
            <color indexed="81"/>
            <rFont val="Tahoma"/>
            <family val="2"/>
          </rPr>
          <t xml:space="preserve">Not changed report date. </t>
        </r>
      </text>
    </comment>
    <comment ref="C96" authorId="0" shapeId="0" xr:uid="{0A0DCE1C-ADEE-44B5-90AF-F5FD1A12F9DF}">
      <text>
        <r>
          <rPr>
            <sz val="9"/>
            <color indexed="81"/>
            <rFont val="Tahoma"/>
            <family val="2"/>
          </rPr>
          <t xml:space="preserve">Instructions given by Maam Reena reduced the unit cost </t>
        </r>
        <r>
          <rPr>
            <b/>
            <sz val="9"/>
            <color indexed="81"/>
            <rFont val="Tahoma"/>
            <family val="2"/>
          </rPr>
          <t>AED 8.35</t>
        </r>
        <r>
          <rPr>
            <sz val="9"/>
            <color indexed="81"/>
            <rFont val="Tahoma"/>
            <family val="2"/>
          </rPr>
          <t xml:space="preserve"> to </t>
        </r>
        <r>
          <rPr>
            <b/>
            <sz val="9"/>
            <color indexed="81"/>
            <rFont val="Tahoma"/>
            <family val="2"/>
          </rPr>
          <t>AED 6.25</t>
        </r>
        <r>
          <rPr>
            <sz val="9"/>
            <color indexed="81"/>
            <rFont val="Tahoma"/>
            <family val="2"/>
          </rPr>
          <t xml:space="preserve">
Previous invoice amount - AED 17,368
</t>
        </r>
        <r>
          <rPr>
            <b/>
            <sz val="9"/>
            <color indexed="81"/>
            <rFont val="Tahoma"/>
            <family val="2"/>
          </rPr>
          <t>Reduced</t>
        </r>
        <r>
          <rPr>
            <sz val="9"/>
            <color indexed="81"/>
            <rFont val="Tahoma"/>
            <family val="2"/>
          </rPr>
          <t xml:space="preserve"> AED </t>
        </r>
        <r>
          <rPr>
            <b/>
            <sz val="9"/>
            <color indexed="81"/>
            <rFont val="Tahoma"/>
            <family val="2"/>
          </rPr>
          <t>4,368</t>
        </r>
        <r>
          <rPr>
            <sz val="9"/>
            <color indexed="81"/>
            <rFont val="Tahoma"/>
            <family val="2"/>
          </rPr>
          <t xml:space="preserve"> from the Invoice Sub Total </t>
        </r>
      </text>
    </comment>
    <comment ref="C98" authorId="0" shapeId="0" xr:uid="{AC8BF267-8305-420F-BF8F-5EC9FD3264CF}">
      <text>
        <r>
          <rPr>
            <sz val="9"/>
            <color indexed="81"/>
            <rFont val="Tahoma"/>
            <family val="2"/>
          </rPr>
          <t xml:space="preserve">Instructions given by Maam Reena reduced the unit cost </t>
        </r>
        <r>
          <rPr>
            <b/>
            <sz val="9"/>
            <color indexed="81"/>
            <rFont val="Tahoma"/>
            <family val="2"/>
          </rPr>
          <t>AED 225</t>
        </r>
        <r>
          <rPr>
            <sz val="9"/>
            <color indexed="81"/>
            <rFont val="Tahoma"/>
            <family val="2"/>
          </rPr>
          <t xml:space="preserve"> to </t>
        </r>
        <r>
          <rPr>
            <b/>
            <sz val="9"/>
            <color indexed="81"/>
            <rFont val="Tahoma"/>
            <family val="2"/>
          </rPr>
          <t xml:space="preserve">AED 125 </t>
        </r>
        <r>
          <rPr>
            <sz val="9"/>
            <color indexed="81"/>
            <rFont val="Tahoma"/>
            <family val="2"/>
          </rPr>
          <t xml:space="preserve">(Prop - Outstanding)
Previous invoice amount - AED 695
</t>
        </r>
        <r>
          <rPr>
            <b/>
            <sz val="9"/>
            <color indexed="81"/>
            <rFont val="Tahoma"/>
            <family val="2"/>
          </rPr>
          <t>Reduced AED 100</t>
        </r>
        <r>
          <rPr>
            <sz val="9"/>
            <color indexed="81"/>
            <rFont val="Tahoma"/>
            <family val="2"/>
          </rPr>
          <t xml:space="preserve"> from the Invoice Sub Total </t>
        </r>
      </text>
    </comment>
    <comment ref="C110" authorId="0" shapeId="0" xr:uid="{33C5D046-0E2D-45E9-84F0-A82DABFC3D50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21/02/2024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Tax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04/03/2024</t>
        </r>
        <r>
          <rPr>
            <sz val="9"/>
            <color indexed="81"/>
            <rFont val="Tahoma"/>
            <family val="2"/>
          </rPr>
          <t xml:space="preserve">
Already taken month of</t>
        </r>
        <r>
          <rPr>
            <b/>
            <sz val="9"/>
            <color indexed="81"/>
            <rFont val="Tahoma"/>
            <family val="2"/>
          </rPr>
          <t xml:space="preserve"> February </t>
        </r>
        <r>
          <rPr>
            <sz val="9"/>
            <color indexed="81"/>
            <rFont val="Tahoma"/>
            <family val="2"/>
          </rPr>
          <t xml:space="preserve">accounts.
Not changed report date. </t>
        </r>
      </text>
    </comment>
    <comment ref="C115" authorId="0" shapeId="0" xr:uid="{F72D6C3A-51A9-4443-A799-37218ACAB7B1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06/03/2024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Invoice </t>
        </r>
        <r>
          <rPr>
            <sz val="9"/>
            <color indexed="81"/>
            <rFont val="Tahoma"/>
            <family val="2"/>
          </rPr>
          <t xml:space="preserve">dated - </t>
        </r>
        <r>
          <rPr>
            <b/>
            <sz val="9"/>
            <color indexed="81"/>
            <rFont val="Tahoma"/>
            <family val="2"/>
          </rPr>
          <t>07/03/2024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the report date. 
</t>
        </r>
      </text>
    </comment>
    <comment ref="C119" authorId="0" shapeId="0" xr:uid="{28168402-840B-4436-AC47-9A7DE4FDB1BE}">
      <text>
        <r>
          <rPr>
            <sz val="9"/>
            <color indexed="81"/>
            <rFont val="Tahoma"/>
            <family val="2"/>
          </rPr>
          <t xml:space="preserve">Issued this Invoice under </t>
        </r>
        <r>
          <rPr>
            <b/>
            <sz val="9"/>
            <color indexed="81"/>
            <rFont val="Tahoma"/>
            <family val="2"/>
          </rPr>
          <t>REA Inspiration (24-0004)</t>
        </r>
        <r>
          <rPr>
            <sz val="9"/>
            <color indexed="81"/>
            <rFont val="Tahoma"/>
            <family val="2"/>
          </rPr>
          <t xml:space="preserve"> 
on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Void</t>
        </r>
        <r>
          <rPr>
            <sz val="9"/>
            <color indexed="81"/>
            <rFont val="Tahoma"/>
            <family val="2"/>
          </rPr>
          <t xml:space="preserve"> Invoice No. </t>
        </r>
        <r>
          <rPr>
            <b/>
            <sz val="9"/>
            <color indexed="81"/>
            <rFont val="Tahoma"/>
            <family val="2"/>
          </rPr>
          <t>24-0117</t>
        </r>
      </text>
    </comment>
    <comment ref="C120" authorId="0" shapeId="0" xr:uid="{9C2B08FB-9780-4B8F-BFAF-F891E976C42D}">
      <text>
        <r>
          <rPr>
            <sz val="9"/>
            <color indexed="81"/>
            <rFont val="Tahoma"/>
            <family val="2"/>
          </rPr>
          <t xml:space="preserve">Dummy Invoice - 23 Feb 24
taken as part of Feb 24 accounts
Actual Invoice Date 16 March 24
</t>
        </r>
      </text>
    </comment>
    <comment ref="C121" authorId="0" shapeId="0" xr:uid="{396C382A-BC99-468E-9913-8B9D19C3F98D}">
      <text>
        <r>
          <rPr>
            <sz val="9"/>
            <color indexed="81"/>
            <rFont val="Tahoma"/>
            <family val="2"/>
          </rPr>
          <t xml:space="preserve">Dummy Invoice 
Pending LPO
</t>
        </r>
      </text>
    </comment>
    <comment ref="C122" authorId="0" shapeId="0" xr:uid="{F004AF1D-DA3C-4796-A4E1-8D9A1C727DAB}">
      <text>
        <r>
          <rPr>
            <b/>
            <sz val="9"/>
            <color indexed="81"/>
            <rFont val="Tahoma"/>
            <family val="2"/>
          </rPr>
          <t>LPO</t>
        </r>
        <r>
          <rPr>
            <sz val="9"/>
            <color indexed="81"/>
            <rFont val="Tahoma"/>
            <family val="2"/>
          </rPr>
          <t xml:space="preserve"> dated </t>
        </r>
        <r>
          <rPr>
            <b/>
            <sz val="9"/>
            <color indexed="81"/>
            <rFont val="Tahoma"/>
            <family val="2"/>
          </rPr>
          <t>04/03/2024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Invoice</t>
        </r>
        <r>
          <rPr>
            <sz val="9"/>
            <color indexed="81"/>
            <rFont val="Tahoma"/>
            <family val="2"/>
          </rPr>
          <t xml:space="preserve"> dated - </t>
        </r>
        <r>
          <rPr>
            <b/>
            <sz val="9"/>
            <color indexed="81"/>
            <rFont val="Tahoma"/>
            <family val="2"/>
          </rPr>
          <t>08/03/2024</t>
        </r>
        <r>
          <rPr>
            <sz val="9"/>
            <color indexed="81"/>
            <rFont val="Tahoma"/>
            <family val="2"/>
          </rPr>
          <t xml:space="preserve">
Already taken month of</t>
        </r>
        <r>
          <rPr>
            <b/>
            <sz val="9"/>
            <color indexed="81"/>
            <rFont val="Tahoma"/>
            <family val="2"/>
          </rPr>
          <t xml:space="preserve"> February </t>
        </r>
        <r>
          <rPr>
            <sz val="9"/>
            <color indexed="81"/>
            <rFont val="Tahoma"/>
            <family val="2"/>
          </rPr>
          <t xml:space="preserve">accounts. 
Not changed the report date. 
</t>
        </r>
      </text>
    </comment>
    <comment ref="C123" authorId="0" shapeId="0" xr:uid="{95EB319D-9DFD-42C2-899E-D94A19CA5B15}">
      <text>
        <r>
          <rPr>
            <sz val="9"/>
            <color indexed="81"/>
            <rFont val="Tahoma"/>
            <family val="2"/>
          </rPr>
          <t xml:space="preserve">Issued this Invoice under </t>
        </r>
        <r>
          <rPr>
            <b/>
            <sz val="9"/>
            <color indexed="81"/>
            <rFont val="Tahoma"/>
            <family val="2"/>
          </rPr>
          <t xml:space="preserve">REA Inspiration (24-0003)
</t>
        </r>
        <r>
          <rPr>
            <sz val="9"/>
            <color indexed="81"/>
            <rFont val="Tahoma"/>
            <family val="2"/>
          </rPr>
          <t xml:space="preserve">on </t>
        </r>
        <r>
          <rPr>
            <b/>
            <sz val="9"/>
            <color indexed="81"/>
            <rFont val="Tahoma"/>
            <family val="2"/>
          </rPr>
          <t xml:space="preserve">26/02/2024
Void </t>
        </r>
        <r>
          <rPr>
            <sz val="9"/>
            <color indexed="81"/>
            <rFont val="Tahoma"/>
            <family val="2"/>
          </rPr>
          <t>Invoice No.</t>
        </r>
        <r>
          <rPr>
            <b/>
            <sz val="9"/>
            <color indexed="81"/>
            <rFont val="Tahoma"/>
            <family val="2"/>
          </rPr>
          <t xml:space="preserve"> 24-0121
</t>
        </r>
      </text>
    </comment>
    <comment ref="C125" authorId="0" shapeId="0" xr:uid="{748BFED2-7C74-48C3-BF36-E48CD7ED34E2}">
      <text>
        <r>
          <rPr>
            <b/>
            <sz val="9"/>
            <color indexed="81"/>
            <rFont val="Tahoma"/>
            <family val="2"/>
          </rPr>
          <t xml:space="preserve">Issued </t>
        </r>
        <r>
          <rPr>
            <sz val="9"/>
            <color indexed="81"/>
            <rFont val="Tahoma"/>
            <family val="2"/>
          </rPr>
          <t>Invoice No.</t>
        </r>
        <r>
          <rPr>
            <b/>
            <sz val="9"/>
            <color indexed="81"/>
            <rFont val="Tahoma"/>
            <family val="2"/>
          </rPr>
          <t xml:space="preserve"> 24-0125</t>
        </r>
        <r>
          <rPr>
            <sz val="9"/>
            <color indexed="81"/>
            <rFont val="Tahoma"/>
            <family val="2"/>
          </rPr>
          <t xml:space="preserve"> for the same 
</t>
        </r>
        <r>
          <rPr>
            <b/>
            <sz val="9"/>
            <color indexed="81"/>
            <rFont val="Tahoma"/>
            <family val="2"/>
          </rPr>
          <t xml:space="preserve">24-0123 - VOID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7" authorId="0" shapeId="0" xr:uid="{7F2BC04F-98E1-4D9F-9EF8-CFE7DC6987F1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27/02/2024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06/03/2024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C128" authorId="0" shapeId="0" xr:uid="{06D40281-9AB2-48C2-BADC-AF2FC59FA390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27/02/2024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07/03/2024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C129" authorId="0" shapeId="0" xr:uid="{06CE1D3D-A705-4061-854A-14E3A22E0AC9}">
      <text>
        <r>
          <rPr>
            <b/>
            <sz val="9"/>
            <color indexed="81"/>
            <rFont val="Tahoma"/>
            <family val="2"/>
          </rPr>
          <t xml:space="preserve">LPO </t>
        </r>
        <r>
          <rPr>
            <sz val="9"/>
            <color indexed="81"/>
            <rFont val="Tahoma"/>
            <family val="2"/>
          </rPr>
          <t>dated</t>
        </r>
        <r>
          <rPr>
            <b/>
            <sz val="9"/>
            <color indexed="81"/>
            <rFont val="Tahoma"/>
            <family val="2"/>
          </rPr>
          <t xml:space="preserve"> 07/03/2024
Invoice </t>
        </r>
        <r>
          <rPr>
            <sz val="9"/>
            <color indexed="81"/>
            <rFont val="Tahoma"/>
            <family val="2"/>
          </rPr>
          <t>dated</t>
        </r>
        <r>
          <rPr>
            <b/>
            <sz val="9"/>
            <color indexed="81"/>
            <rFont val="Tahoma"/>
            <family val="2"/>
          </rPr>
          <t xml:space="preserve"> - 07/03/2024
</t>
        </r>
        <r>
          <rPr>
            <sz val="9"/>
            <color indexed="81"/>
            <rFont val="Tahoma"/>
            <family val="2"/>
          </rPr>
          <t xml:space="preserve">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the report date. </t>
        </r>
      </text>
    </comment>
    <comment ref="C130" authorId="0" shapeId="0" xr:uid="{986B1EBC-D041-4D1E-AD1D-24D5C9612771}">
      <text>
        <r>
          <rPr>
            <b/>
            <sz val="9"/>
            <color indexed="81"/>
            <rFont val="Tahoma"/>
            <family val="2"/>
          </rPr>
          <t xml:space="preserve">Proforma </t>
        </r>
        <r>
          <rPr>
            <sz val="9"/>
            <color indexed="81"/>
            <rFont val="Tahoma"/>
            <family val="2"/>
          </rPr>
          <t xml:space="preserve">Invoice -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report date.</t>
        </r>
      </text>
    </comment>
    <comment ref="C131" authorId="0" shapeId="0" xr:uid="{90720484-7269-4D83-843E-164E9A9EC087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 xml:space="preserve">February </t>
        </r>
        <r>
          <rPr>
            <sz val="9"/>
            <color indexed="81"/>
            <rFont val="Tahoma"/>
            <family val="2"/>
          </rPr>
          <t xml:space="preserve">accounts. 
Not changed report date. 
</t>
        </r>
      </text>
    </comment>
    <comment ref="C132" authorId="0" shapeId="0" xr:uid="{E8AE58ED-3473-4864-8E70-67B3129F8999}">
      <text>
        <r>
          <rPr>
            <b/>
            <sz val="9"/>
            <color indexed="81"/>
            <rFont val="Tahoma"/>
            <family val="2"/>
          </rPr>
          <t>Proforma</t>
        </r>
        <r>
          <rPr>
            <sz val="9"/>
            <color indexed="81"/>
            <rFont val="Tahoma"/>
            <family val="2"/>
          </rPr>
          <t xml:space="preserve"> Invoice -</t>
        </r>
        <r>
          <rPr>
            <b/>
            <sz val="9"/>
            <color indexed="81"/>
            <rFont val="Tahoma"/>
            <family val="2"/>
          </rPr>
          <t xml:space="preserve"> 28/02/2024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Tax</t>
        </r>
        <r>
          <rPr>
            <sz val="9"/>
            <color indexed="81"/>
            <rFont val="Tahoma"/>
            <family val="2"/>
          </rPr>
          <t xml:space="preserve"> Invoice - </t>
        </r>
        <r>
          <rPr>
            <b/>
            <sz val="9"/>
            <color indexed="81"/>
            <rFont val="Tahoma"/>
            <family val="2"/>
          </rPr>
          <t>01/03/2024</t>
        </r>
        <r>
          <rPr>
            <sz val="9"/>
            <color indexed="81"/>
            <rFont val="Tahoma"/>
            <family val="2"/>
          </rPr>
          <t xml:space="preserve">
Already taken Month of </t>
        </r>
        <r>
          <rPr>
            <b/>
            <sz val="9"/>
            <color indexed="81"/>
            <rFont val="Tahoma"/>
            <family val="2"/>
          </rPr>
          <t>February</t>
        </r>
        <r>
          <rPr>
            <sz val="9"/>
            <color indexed="81"/>
            <rFont val="Tahoma"/>
            <family val="2"/>
          </rPr>
          <t xml:space="preserve"> accounts. 
Not changed report date. 
</t>
        </r>
      </text>
    </comment>
    <comment ref="C141" authorId="1" shapeId="0" xr:uid="{2BA0CEE5-F85A-4738-BFEB-0FFD7B80ACA0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DATE 28/06/2024</t>
      </text>
    </comment>
    <comment ref="C142" authorId="2" shapeId="0" xr:uid="{26734D45-F6D7-467C-A0FB-7388EC5839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28/06/2024
</t>
      </text>
    </comment>
    <comment ref="C143" authorId="3" shapeId="0" xr:uid="{2FD96659-07D6-4182-82BE-92BC5053BD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28/06/2024
</t>
      </text>
    </comment>
    <comment ref="D202" authorId="0" shapeId="0" xr:uid="{E00D8684-3409-4135-8477-4B42B9B28772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Original invoice date is March (Excel file is dated 02.04.2024)</t>
        </r>
      </text>
    </comment>
    <comment ref="C224" authorId="0" shapeId="0" xr:uid="{B1BE6797-20E9-4817-A63F-D593C9110BCD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LPO received in May but Invoice accounted for in April</t>
        </r>
      </text>
    </comment>
    <comment ref="C225" authorId="0" shapeId="0" xr:uid="{4CFAE85A-81CF-4DE5-8584-2DF319B723E7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VOID as received 1 LPO from TRANE AUH for both TRANE and MTA business cards</t>
        </r>
      </text>
    </comment>
    <comment ref="C226" authorId="0" shapeId="0" xr:uid="{77D54CCC-C038-46AF-8F2C-92C2BAE3AC4D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LPO received in May, Invoice raised in May</t>
        </r>
      </text>
    </comment>
    <comment ref="C268" authorId="4" shapeId="0" xr:uid="{E9511852-A158-4F7B-B914-8B48BE1AFE97}">
      <text>
        <t>[Threaded comment]
Your version of Excel allows you to read this threaded comment; however, any edits to it will get removed if the file is opened in a newer version of Excel. Learn more: https://go.microsoft.com/fwlink/?linkid=870924
Comment:
    VOID</t>
      </text>
    </comment>
    <comment ref="D277" authorId="5" shapeId="0" xr:uid="{57F2AC7A-B029-45B6-9353-D03E041BF7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is 14/06/2024
</t>
      </text>
    </comment>
    <comment ref="B298" authorId="6" shapeId="0" xr:uid="{F55620FA-A526-44AB-B250-C8A9A5B6CF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used</t>
      </text>
    </comment>
    <comment ref="D309" authorId="7" shapeId="0" xr:uid="{5F938011-982E-494A-8617-3222865E76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proforma 09/06/2024
</t>
      </text>
    </comment>
    <comment ref="D331" authorId="0" shapeId="0" xr:uid="{F175089E-597A-403B-A411-6220D367C086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Invoice date is 28/06/2024
</t>
        </r>
      </text>
    </comment>
    <comment ref="D332" authorId="8" shapeId="0" xr:uid="{2930930C-FD61-449A-B999-4B8B117EB8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 is 14/06/2024
</t>
      </text>
    </comment>
    <comment ref="D336" authorId="9" shapeId="0" xr:uid="{3410F79B-19A2-4274-A728-DA56CC9A47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LOP 10/06/2024
</t>
      </text>
    </comment>
    <comment ref="D337" authorId="10" shapeId="0" xr:uid="{BFF96A1C-11D1-44EF-B23A-4BAFEEFF31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24-0352
</t>
      </text>
    </comment>
    <comment ref="D338" authorId="11" shapeId="0" xr:uid="{11AD2F9F-C970-4CC2-AE46-D1DE0F6809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LOP 10/06/2024
</t>
      </text>
    </comment>
    <comment ref="D339" authorId="12" shapeId="0" xr:uid="{C0B5A13B-85EA-45E7-8858-09A6BDB093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raised as per LOP 05/06/2024
</t>
      </text>
    </comment>
    <comment ref="D394" authorId="13" shapeId="0" xr:uid="{C347FF86-871C-4AB4-BFE5-8F61FB7EF8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dated 11/07/2024
</t>
      </text>
    </comment>
    <comment ref="D399" authorId="0" shapeId="0" xr:uid="{465E5C69-69D7-442E-BDDE-929DE7CBF0C1}">
      <text>
        <r>
          <rPr>
            <b/>
            <sz val="9"/>
            <color indexed="81"/>
            <rFont val="Tahoma"/>
            <family val="2"/>
          </rPr>
          <t>REA Advertising:</t>
        </r>
        <r>
          <rPr>
            <sz val="9"/>
            <color indexed="81"/>
            <rFont val="Tahoma"/>
            <family val="2"/>
          </rPr>
          <t xml:space="preserve">
Invoice date 21 Aug 24</t>
        </r>
      </text>
    </comment>
    <comment ref="C400" authorId="14" shapeId="0" xr:uid="{85369559-D706-41BD-BAA2-5295BCE3FE79}">
      <text>
        <t>[Threaded comment]
Your version of Excel allows you to read this threaded comment; however, any edits to it will get removed if the file is opened in a newer version of Excel. Learn more: https://go.microsoft.com/fwlink/?linkid=870924
Comment:
    VOID. NO CONFIRMATION</t>
      </text>
    </comment>
    <comment ref="D426" authorId="15" shapeId="0" xr:uid="{36891B96-E1FB-4E15-80C0-3226149DAA0C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invoice for 12/07/2024</t>
      </text>
    </comment>
    <comment ref="D429" authorId="16" shapeId="0" xr:uid="{BC7A8EBA-73BC-4A67-9436-86E999E068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for the date 19/07/2024
</t>
      </text>
    </comment>
    <comment ref="D431" authorId="17" shapeId="0" xr:uid="{66E35CA9-DEDB-4401-BF5D-A146546157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for 26/07/2024
</t>
      </text>
    </comment>
    <comment ref="D436" authorId="18" shapeId="0" xr:uid="{DA07641F-78E0-4328-8D76-613C5F8B5C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for the date 22/07/2024
</t>
      </text>
    </comment>
    <comment ref="D438" authorId="19" shapeId="0" xr:uid="{37EB98F3-DC46-4E36-8BE0-7CD7C496CF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Raised invoice for 26/07/2024
</t>
      </text>
    </comment>
    <comment ref="C577" authorId="0" shapeId="0" xr:uid="{9B0D4EF7-68B8-44AB-8B18-EE88AE9D3DFF}">
      <text>
        <r>
          <rPr>
            <b/>
            <sz val="9"/>
            <color indexed="81"/>
            <rFont val="Tahoma"/>
            <family val="2"/>
          </rPr>
          <t xml:space="preserve">Proforma Invoice - </t>
        </r>
        <r>
          <rPr>
            <sz val="9"/>
            <color indexed="81"/>
            <rFont val="Tahoma"/>
            <family val="2"/>
          </rPr>
          <t xml:space="preserve">15/09/2024
</t>
        </r>
        <r>
          <rPr>
            <b/>
            <sz val="9"/>
            <color indexed="81"/>
            <rFont val="Tahoma"/>
            <family val="2"/>
          </rPr>
          <t>Tax Invoice -</t>
        </r>
        <r>
          <rPr>
            <sz val="9"/>
            <color indexed="81"/>
            <rFont val="Tahoma"/>
            <family val="2"/>
          </rPr>
          <t xml:space="preserve"> 07/10/2024
Already taken Month of September accounts. 
Not changed report date.</t>
        </r>
      </text>
    </comment>
    <comment ref="C578" authorId="0" shapeId="0" xr:uid="{CF6033B7-FE40-45A6-B9E5-1492DAB29DD6}">
      <text>
        <r>
          <rPr>
            <b/>
            <sz val="9"/>
            <color indexed="81"/>
            <rFont val="Tahoma"/>
            <family val="2"/>
          </rPr>
          <t xml:space="preserve">Proforma Invoice - </t>
        </r>
        <r>
          <rPr>
            <sz val="9"/>
            <color indexed="81"/>
            <rFont val="Tahoma"/>
            <family val="2"/>
          </rPr>
          <t xml:space="preserve">15/09/2024
</t>
        </r>
        <r>
          <rPr>
            <b/>
            <sz val="9"/>
            <color indexed="81"/>
            <rFont val="Tahoma"/>
            <family val="2"/>
          </rPr>
          <t>Tax Invoice -</t>
        </r>
        <r>
          <rPr>
            <sz val="9"/>
            <color indexed="81"/>
            <rFont val="Tahoma"/>
            <family val="2"/>
          </rPr>
          <t xml:space="preserve"> 07/10/2024
Already taken Month of September accounts. 
Not changed report date.</t>
        </r>
      </text>
    </comment>
    <comment ref="C579" authorId="0" shapeId="0" xr:uid="{7439348A-D418-49E7-8C94-8B1CC75E4CB8}">
      <text>
        <r>
          <rPr>
            <b/>
            <sz val="9"/>
            <color indexed="81"/>
            <rFont val="Tahoma"/>
            <family val="2"/>
          </rPr>
          <t xml:space="preserve">Proforma Invoice - </t>
        </r>
        <r>
          <rPr>
            <sz val="9"/>
            <color indexed="81"/>
            <rFont val="Tahoma"/>
            <family val="2"/>
          </rPr>
          <t xml:space="preserve">15/09/2024
</t>
        </r>
        <r>
          <rPr>
            <b/>
            <sz val="9"/>
            <color indexed="81"/>
            <rFont val="Tahoma"/>
            <family val="2"/>
          </rPr>
          <t xml:space="preserve">
Tax Invoice -</t>
        </r>
        <r>
          <rPr>
            <sz val="9"/>
            <color indexed="81"/>
            <rFont val="Tahoma"/>
            <family val="2"/>
          </rPr>
          <t xml:space="preserve"> 07/10/2024
Already taken Month of September accounts. 
Not changed report date.
</t>
        </r>
      </text>
    </comment>
    <comment ref="C580" authorId="0" shapeId="0" xr:uid="{C348BD1D-0B3F-4DDE-8A64-69CA599074E2}">
      <text>
        <r>
          <rPr>
            <b/>
            <sz val="9"/>
            <color indexed="81"/>
            <rFont val="Tahoma"/>
            <family val="2"/>
          </rPr>
          <t xml:space="preserve">Proforma Invoice - </t>
        </r>
        <r>
          <rPr>
            <sz val="9"/>
            <color indexed="81"/>
            <rFont val="Tahoma"/>
            <family val="2"/>
          </rPr>
          <t xml:space="preserve">15/09/2024
</t>
        </r>
        <r>
          <rPr>
            <b/>
            <sz val="9"/>
            <color indexed="81"/>
            <rFont val="Tahoma"/>
            <family val="2"/>
          </rPr>
          <t>Tax Invoice -</t>
        </r>
        <r>
          <rPr>
            <sz val="9"/>
            <color indexed="81"/>
            <rFont val="Tahoma"/>
            <family val="2"/>
          </rPr>
          <t xml:space="preserve"> 07/10/2024
Already taken Month of September accounts. 
Not changed report date. </t>
        </r>
      </text>
    </comment>
    <comment ref="C581" authorId="0" shapeId="0" xr:uid="{B30D5C7F-8CD7-4435-B4DD-75AED6578049}">
      <text>
        <r>
          <rPr>
            <b/>
            <sz val="9"/>
            <color indexed="81"/>
            <rFont val="Tahoma"/>
            <family val="2"/>
          </rPr>
          <t xml:space="preserve">Proforma Invoice - </t>
        </r>
        <r>
          <rPr>
            <sz val="9"/>
            <color indexed="81"/>
            <rFont val="Tahoma"/>
            <family val="2"/>
          </rPr>
          <t xml:space="preserve">15/09/2024
</t>
        </r>
        <r>
          <rPr>
            <b/>
            <sz val="9"/>
            <color indexed="81"/>
            <rFont val="Tahoma"/>
            <family val="2"/>
          </rPr>
          <t>Tax Invoice -</t>
        </r>
        <r>
          <rPr>
            <sz val="9"/>
            <color indexed="81"/>
            <rFont val="Tahoma"/>
            <family val="2"/>
          </rPr>
          <t xml:space="preserve"> 07/10/2024
Already taken Month of September accounts. 
Not changed report date. 
</t>
        </r>
      </text>
    </comment>
    <comment ref="C584" authorId="0" shapeId="0" xr:uid="{98F11776-634D-4060-AFC7-D4A707606501}">
      <text>
        <r>
          <rPr>
            <b/>
            <sz val="9"/>
            <color indexed="81"/>
            <rFont val="Tahoma"/>
            <family val="2"/>
          </rPr>
          <t xml:space="preserve">Proforma Invoice - </t>
        </r>
        <r>
          <rPr>
            <sz val="9"/>
            <color indexed="81"/>
            <rFont val="Tahoma"/>
            <family val="2"/>
          </rPr>
          <t>19/09/2024</t>
        </r>
        <r>
          <rPr>
            <b/>
            <sz val="9"/>
            <color indexed="81"/>
            <rFont val="Tahoma"/>
            <family val="2"/>
          </rPr>
          <t xml:space="preserve">
Tax Invoice - </t>
        </r>
        <r>
          <rPr>
            <sz val="9"/>
            <color indexed="81"/>
            <rFont val="Tahoma"/>
            <family val="2"/>
          </rPr>
          <t>07/10/2024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Already taken Month of September accounts. 
Not changed report date.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5" authorId="0" shapeId="0" xr:uid="{F3953264-8DFE-459B-9E1E-4BBD15B726DB}">
      <text>
        <r>
          <rPr>
            <b/>
            <sz val="9"/>
            <color indexed="81"/>
            <rFont val="Tahoma"/>
            <family val="2"/>
          </rPr>
          <t>Dummy Invoice</t>
        </r>
        <r>
          <rPr>
            <sz val="9"/>
            <color indexed="81"/>
            <rFont val="Tahoma"/>
            <family val="2"/>
          </rPr>
          <t xml:space="preserve"> - 30 Sep 24
taken as part of Sep 24 accounts
</t>
        </r>
        <r>
          <rPr>
            <b/>
            <sz val="9"/>
            <color indexed="81"/>
            <rFont val="Tahoma"/>
            <family val="2"/>
          </rPr>
          <t>Actual Invoice Date</t>
        </r>
        <r>
          <rPr>
            <sz val="9"/>
            <color indexed="81"/>
            <rFont val="Tahoma"/>
            <family val="2"/>
          </rPr>
          <t xml:space="preserve"> 22 Oct 24</t>
        </r>
      </text>
    </comment>
    <comment ref="C629" authorId="0" shapeId="0" xr:uid="{F8FCB7F0-6BFF-41DD-85C8-0EF9CBE26A8B}">
      <text>
        <r>
          <rPr>
            <sz val="9"/>
            <color indexed="81"/>
            <rFont val="Tahoma"/>
            <family val="2"/>
          </rPr>
          <t>Dummy Invoice - 30 Sep 24
taken as part of Sep 24 accounts
Actual Invoice Date 10 Oct 24</t>
        </r>
      </text>
    </comment>
    <comment ref="C633" authorId="0" shapeId="0" xr:uid="{143E37BE-4D90-4AD6-B36A-113DBB788B64}">
      <text>
        <r>
          <rPr>
            <sz val="9"/>
            <color indexed="81"/>
            <rFont val="Tahoma"/>
            <family val="2"/>
          </rPr>
          <t xml:space="preserve">Dummy Invoice - 30 Sep 24
taken as part of Sep 24 accounts
Actual Invoice Date 11 Oct 24
</t>
        </r>
      </text>
    </comment>
    <comment ref="C643" authorId="0" shapeId="0" xr:uid="{F8CB8264-05E0-4075-8C29-49E21FEEA574}">
      <text>
        <r>
          <rPr>
            <sz val="9"/>
            <color indexed="81"/>
            <rFont val="Tahoma"/>
            <family val="2"/>
          </rPr>
          <t xml:space="preserve">Dummy Invoice - 5 Oct 24
Actual Invoice Date 8 Oct 24
</t>
        </r>
      </text>
    </comment>
    <comment ref="C654" authorId="0" shapeId="0" xr:uid="{F2F93454-AAC4-4F51-9640-76343CB47B38}">
      <text>
        <r>
          <rPr>
            <b/>
            <sz val="9"/>
            <color indexed="81"/>
            <rFont val="Tahoma"/>
            <family val="2"/>
          </rPr>
          <t>Proforma Invoice</t>
        </r>
        <r>
          <rPr>
            <sz val="9"/>
            <color indexed="81"/>
            <rFont val="Tahoma"/>
            <family val="2"/>
          </rPr>
          <t xml:space="preserve"> - 08 Oct 24
Tax Invoice -11 Oct 24
</t>
        </r>
      </text>
    </comment>
    <comment ref="C663" authorId="0" shapeId="0" xr:uid="{E2F3B605-2BD8-4C7C-8105-62AEB8547FAE}">
      <text>
        <r>
          <rPr>
            <b/>
            <sz val="9"/>
            <color indexed="81"/>
            <rFont val="Tahoma"/>
            <family val="2"/>
          </rPr>
          <t>Proforma Invoice</t>
        </r>
        <r>
          <rPr>
            <sz val="9"/>
            <color indexed="81"/>
            <rFont val="Tahoma"/>
            <family val="2"/>
          </rPr>
          <t xml:space="preserve"> - 11  Oct 24
</t>
        </r>
        <r>
          <rPr>
            <b/>
            <sz val="9"/>
            <color indexed="81"/>
            <rFont val="Tahoma"/>
            <family val="2"/>
          </rPr>
          <t xml:space="preserve">Tax Invoice </t>
        </r>
        <r>
          <rPr>
            <sz val="9"/>
            <color indexed="81"/>
            <rFont val="Tahoma"/>
            <family val="2"/>
          </rPr>
          <t xml:space="preserve">-17 Oct 24
</t>
        </r>
      </text>
    </comment>
    <comment ref="C664" authorId="0" shapeId="0" xr:uid="{278A1F73-8A23-4482-B861-01E610D6B120}">
      <text>
        <r>
          <rPr>
            <b/>
            <sz val="9"/>
            <color indexed="81"/>
            <rFont val="Tahoma"/>
            <family val="2"/>
          </rPr>
          <t>Proforma Invoice</t>
        </r>
        <r>
          <rPr>
            <sz val="9"/>
            <color indexed="81"/>
            <rFont val="Tahoma"/>
            <family val="2"/>
          </rPr>
          <t xml:space="preserve"> -11  Oct 24
</t>
        </r>
        <r>
          <rPr>
            <b/>
            <sz val="9"/>
            <color indexed="81"/>
            <rFont val="Tahoma"/>
            <family val="2"/>
          </rPr>
          <t xml:space="preserve">
Tax Invoice</t>
        </r>
        <r>
          <rPr>
            <sz val="9"/>
            <color indexed="81"/>
            <rFont val="Tahoma"/>
            <family val="2"/>
          </rPr>
          <t xml:space="preserve"> -18  Oct  24
</t>
        </r>
      </text>
    </comment>
    <comment ref="C676" authorId="0" shapeId="0" xr:uid="{2F3545DA-6043-4316-867C-B0BB0E495805}">
      <text>
        <r>
          <rPr>
            <b/>
            <sz val="9"/>
            <color indexed="81"/>
            <rFont val="Tahoma"/>
            <family val="2"/>
          </rPr>
          <t xml:space="preserve">Proforma Invoice -17 Oct 24
taken part of Oct 2024 accounts
Tax Invoice -30 Dec  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81" authorId="0" shapeId="0" xr:uid="{26639687-C7DF-4B48-A977-D53D1FEEDAA8}">
      <text>
        <r>
          <rPr>
            <b/>
            <sz val="9"/>
            <color indexed="81"/>
            <rFont val="Tahoma"/>
            <family val="2"/>
          </rPr>
          <t xml:space="preserve">Proforma Invoice -19  Oct 24
Tax Invoice -23  Oct  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93" authorId="0" shapeId="0" xr:uid="{7B976660-E366-4297-A284-988BF9FDAF0C}">
      <text>
        <r>
          <rPr>
            <b/>
            <sz val="9"/>
            <color indexed="81"/>
            <rFont val="Tahoma"/>
            <family val="2"/>
          </rPr>
          <t xml:space="preserve">Proforma Invoice - 28 Oct 2024
Tax Invoice - 7 Nov 2024
Already taken Month of October accounts. 
Not changed report date. </t>
        </r>
      </text>
    </comment>
    <comment ref="C703" authorId="0" shapeId="0" xr:uid="{4C4446F4-73A9-4804-8C47-DCED7E98E873}">
      <text>
        <r>
          <rPr>
            <b/>
            <sz val="9"/>
            <color indexed="81"/>
            <rFont val="Tahoma"/>
            <family val="2"/>
          </rPr>
          <t xml:space="preserve">Proforma Invoice - 29 Oct 2024
Tax Invoice - 4 Nov 2024
Already taken Month of October accounts. 
Not changed report date. </t>
        </r>
      </text>
    </comment>
    <comment ref="C716" authorId="0" shapeId="0" xr:uid="{8BFEBDE1-F6B7-4155-A7DB-B4A865D79933}">
      <text>
        <r>
          <rPr>
            <b/>
            <sz val="9"/>
            <color indexed="81"/>
            <rFont val="Tahoma"/>
            <family val="2"/>
          </rPr>
          <t>Dummy Invoice - 31 oct 2024</t>
        </r>
        <r>
          <rPr>
            <sz val="9"/>
            <color indexed="81"/>
            <rFont val="Tahoma"/>
            <family val="2"/>
          </rPr>
          <t xml:space="preserve">
taken as part of Oct 24 accounts
</t>
        </r>
        <r>
          <rPr>
            <b/>
            <sz val="9"/>
            <color indexed="81"/>
            <rFont val="Tahoma"/>
            <family val="2"/>
          </rPr>
          <t>Actual Invoice Date 4 Nov 2024</t>
        </r>
      </text>
    </comment>
    <comment ref="C717" authorId="0" shapeId="0" xr:uid="{E4642832-70C9-4D50-9B88-16C834907FCC}">
      <text>
        <r>
          <rPr>
            <b/>
            <sz val="9"/>
            <color indexed="81"/>
            <rFont val="Tahoma"/>
            <family val="2"/>
          </rPr>
          <t>Dummy Invoice - 31 oct 2024
taken as part of Oct 24 accounts
Actual Invoice Date 11 Nov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18" authorId="0" shapeId="0" xr:uid="{86A47218-745B-40FB-B855-5E53274E47BB}">
      <text>
        <r>
          <rPr>
            <b/>
            <sz val="9"/>
            <color indexed="81"/>
            <rFont val="Tahoma"/>
            <family val="2"/>
          </rPr>
          <t>Dummy Invoice - 31 oct 2024
taken as part of Oct 24 accounts
Actual Invoice Date 11 Nov 2024</t>
        </r>
      </text>
    </comment>
    <comment ref="C719" authorId="0" shapeId="0" xr:uid="{5C1471AB-9350-498B-95B9-1F06646E62C0}">
      <text>
        <r>
          <rPr>
            <b/>
            <sz val="9"/>
            <color indexed="81"/>
            <rFont val="Tahoma"/>
            <family val="2"/>
          </rPr>
          <t>Dummy Invoice - 31 oct 2024
taken as part of Oct 24 accounts
Actual Invoice Date 11 Nov 2024</t>
        </r>
      </text>
    </comment>
    <comment ref="C721" authorId="0" shapeId="0" xr:uid="{28661B30-6406-4E3E-9711-98F7C2B01CF9}">
      <text>
        <r>
          <rPr>
            <b/>
            <sz val="9"/>
            <color indexed="81"/>
            <rFont val="Tahoma"/>
            <family val="2"/>
          </rPr>
          <t>Dummy Invoice - 31 oct 2024
taken as part of Oct 24 accounts
Actual Invoice Date 6 Nov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5" authorId="0" shapeId="0" xr:uid="{AAAAC090-1080-48BD-A548-3605AC5F110C}">
      <text>
        <r>
          <rPr>
            <b/>
            <sz val="9"/>
            <color indexed="81"/>
            <rFont val="Tahoma"/>
            <family val="2"/>
          </rPr>
          <t>Dummy Invoice - 31 oct 2024
taken as part of Oct 24 accounts
Actual Invoice Date 15 Nov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27" authorId="0" shapeId="0" xr:uid="{95ACCD72-5320-4AF4-B771-9839634C0940}">
      <text>
        <r>
          <rPr>
            <b/>
            <sz val="9"/>
            <color indexed="81"/>
            <rFont val="Tahoma"/>
            <family val="2"/>
          </rPr>
          <t xml:space="preserve">Proforma Invoice - 2 Nov 2024
taken as part of Nov 24 accounts
Actual Invoice Date 23 dec 2024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5" authorId="0" shapeId="0" xr:uid="{11C70B80-B778-4BF4-AD4C-15C4BE2D6888}">
      <text>
        <r>
          <rPr>
            <b/>
            <sz val="9"/>
            <color indexed="81"/>
            <rFont val="Tahoma"/>
            <family val="2"/>
          </rPr>
          <t xml:space="preserve">Proforma Invoice - 5 Nov 2024
Tax Invoice - 13 Nov 2024
Not changed report date. </t>
        </r>
      </text>
    </comment>
    <comment ref="C738" authorId="0" shapeId="0" xr:uid="{B1A1788F-365E-4F76-AA4D-2E403E52BC47}">
      <text>
        <r>
          <rPr>
            <b/>
            <sz val="9"/>
            <color indexed="81"/>
            <rFont val="Tahoma"/>
            <family val="2"/>
          </rPr>
          <t>Performa Invoice - 06 Nov 2024
taken as part of Nov 24 accounts
Actual Invoice Date 12 Dec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9" authorId="0" shapeId="0" xr:uid="{5E4B04C1-A641-4599-AEDB-0FC590A4877D}">
      <text>
        <r>
          <rPr>
            <b/>
            <sz val="9"/>
            <color indexed="81"/>
            <rFont val="Tahoma"/>
            <family val="2"/>
          </rPr>
          <t>Performa Invoice - 06 Nov 2024
taken as part of Nov 24 accounts
Actual Invoice Date 27 Dec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4" authorId="0" shapeId="0" xr:uid="{5A5DC86E-990E-415C-8B00-B2AC7B1469A8}">
      <text>
        <r>
          <rPr>
            <b/>
            <sz val="9"/>
            <color indexed="81"/>
            <rFont val="Tahoma"/>
            <family val="2"/>
          </rPr>
          <t xml:space="preserve">Proforma Invoice - 11 Nov 2024
Tax Invoice - 22 Nov 2024
Not changed report date.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5" authorId="0" shapeId="0" xr:uid="{3F639DB7-DF71-4E9D-BDAD-5B02F9C55B51}">
      <text>
        <r>
          <rPr>
            <b/>
            <sz val="9"/>
            <color indexed="81"/>
            <rFont val="Tahoma"/>
            <family val="2"/>
          </rPr>
          <t xml:space="preserve">Proforma Invoice - 11 Nov 2024
Tax Invoice - 18 Nov 2024
Not changed report date.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6" authorId="0" shapeId="0" xr:uid="{45DEACB4-28C6-4C32-AC81-437E7F77F860}">
      <text>
        <r>
          <rPr>
            <b/>
            <sz val="9"/>
            <color indexed="81"/>
            <rFont val="Tahoma"/>
            <family val="2"/>
          </rPr>
          <t>Dummy Invoice - 16 Nov 2024
Actual Invoice Date 20 Nov 2024</t>
        </r>
      </text>
    </comment>
    <comment ref="C767" authorId="0" shapeId="0" xr:uid="{B7B3BDB5-BB83-4830-BAEE-A7FA2A35F35A}">
      <text>
        <r>
          <rPr>
            <b/>
            <sz val="9"/>
            <color indexed="81"/>
            <rFont val="Tahoma"/>
            <family val="2"/>
          </rPr>
          <t xml:space="preserve">Dummy Invoice - 16 Nov 2024
Actual Invoice Date 25 Nov 2024
</t>
        </r>
      </text>
    </comment>
    <comment ref="C768" authorId="0" shapeId="0" xr:uid="{3938A9A3-A017-403D-A868-BEB594BD329F}">
      <text>
        <r>
          <rPr>
            <b/>
            <sz val="9"/>
            <color indexed="81"/>
            <rFont val="Tahoma"/>
            <family val="2"/>
          </rPr>
          <t xml:space="preserve">Dummy Invoice - 16 Nov 2024
taken as part of Nov 24 accounts
Actual Invoice Date 18 Dec 2024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9" authorId="0" shapeId="0" xr:uid="{952F861C-C25D-4409-9F1F-A2E0B9BC357D}">
      <text>
        <r>
          <rPr>
            <b/>
            <sz val="9"/>
            <color indexed="81"/>
            <rFont val="Tahoma"/>
            <family val="2"/>
          </rPr>
          <t>Dummy Invoice - 16 Nov 2024
taken as part of Nov 24 accounts
Actual Invoice Date 13 Dec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70" authorId="0" shapeId="0" xr:uid="{326197ED-EB5C-4FC4-B043-90FB2DA22A2B}">
      <text>
        <r>
          <rPr>
            <b/>
            <sz val="9"/>
            <color indexed="81"/>
            <rFont val="Tahoma"/>
            <family val="2"/>
          </rPr>
          <t>Dummy Invoice - 16 Nov 2024
Actual Invoice Date 25 Nov 2024</t>
        </r>
      </text>
    </comment>
    <comment ref="C775" authorId="0" shapeId="0" xr:uid="{DDB02844-90D9-47F1-A3F7-CE9A9FBA8D5D}">
      <text>
        <r>
          <rPr>
            <b/>
            <sz val="9"/>
            <color indexed="81"/>
            <rFont val="Tahoma"/>
            <family val="2"/>
          </rPr>
          <t xml:space="preserve">Proforma Invoice - 21 Nov 2024
Tax Invoice - 21 Nov 2024
Not changed report date.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85" authorId="0" shapeId="0" xr:uid="{D8BE6774-F865-41B3-8578-F432C35C02F0}">
      <text>
        <r>
          <rPr>
            <b/>
            <sz val="9"/>
            <color indexed="81"/>
            <rFont val="Tahoma"/>
            <family val="2"/>
          </rPr>
          <t xml:space="preserve">Proforma Invoice - 28 Nov 2024
taken as part of Nov 24 accounts
Actual Invoice Date 13 Dec 2024
</t>
        </r>
      </text>
    </comment>
    <comment ref="C790" authorId="0" shapeId="0" xr:uid="{2649D7C0-1E99-46B8-8F63-AE9639092736}">
      <text>
        <r>
          <rPr>
            <b/>
            <sz val="9"/>
            <color indexed="81"/>
            <rFont val="Tahoma"/>
            <family val="2"/>
          </rPr>
          <t xml:space="preserve">Dummy Invoice - 30 Nov 2024
taken as part of Nov 24 accounts
Actual Invoice Date 6 Dec 2024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91" authorId="0" shapeId="0" xr:uid="{B7205276-0AD2-4E58-8D60-97AA6BCF8A04}">
      <text>
        <r>
          <rPr>
            <b/>
            <sz val="9"/>
            <color indexed="81"/>
            <rFont val="Tahoma"/>
            <family val="2"/>
          </rPr>
          <t xml:space="preserve">Dummy Invoice - 30 Nov 2024
taken as part of Nov 24 accounts
Actual Invoice Date 13 Dec 2024
</t>
        </r>
      </text>
    </comment>
    <comment ref="C800" authorId="0" shapeId="0" xr:uid="{FE28FEE7-FBB1-4A13-9BCF-EFB63B429D95}">
      <text>
        <r>
          <rPr>
            <b/>
            <sz val="9"/>
            <color indexed="81"/>
            <rFont val="Tahoma"/>
            <family val="2"/>
          </rPr>
          <t xml:space="preserve">Profofrma Invoice - 9 dec 2024
Actual Invoice Date 17 Dec 2024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10" authorId="0" shapeId="0" xr:uid="{BFCDE043-32E3-4CCB-890C-4DA7A9A6A527}">
      <text>
        <r>
          <rPr>
            <b/>
            <sz val="9"/>
            <color indexed="81"/>
            <rFont val="Tahoma"/>
            <family val="2"/>
          </rPr>
          <t>Profofrma Invoice -16  dec 2024
Actual Invoice Date 23Dec 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15" authorId="0" shapeId="0" xr:uid="{9496555F-B5F0-4C83-B701-E19E50328339}">
      <text>
        <r>
          <rPr>
            <b/>
            <sz val="9"/>
            <color indexed="81"/>
            <rFont val="Tahoma"/>
            <family val="2"/>
          </rPr>
          <t>Profofrma Invoice -18  dec 2024
Actual Invoice Date 30 Dec 2024</t>
        </r>
      </text>
    </comment>
    <comment ref="C828" authorId="0" shapeId="0" xr:uid="{D03A3DBE-C653-4ECF-A3AA-A9972FE88289}">
      <text>
        <r>
          <rPr>
            <b/>
            <sz val="9"/>
            <color indexed="81"/>
            <rFont val="Tahoma"/>
            <family val="2"/>
          </rPr>
          <t>Proforma Invoice - 26 Dec 2024
taken as part of Jan 25 accounts
Actual Invoice Date 22 Jan 2025</t>
        </r>
      </text>
    </comment>
    <comment ref="C829" authorId="0" shapeId="0" xr:uid="{4E328D30-1F85-4EE0-B9E2-6B9D1742E144}">
      <text>
        <r>
          <rPr>
            <b/>
            <sz val="9"/>
            <color indexed="81"/>
            <rFont val="Tahoma"/>
            <family val="2"/>
          </rPr>
          <t>Proforma Invoice - 26 Dec 2024
taken as part of Jan 25 accounts
Actual Invoice Date 22 Jan 2025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43" authorId="0" shapeId="0" xr:uid="{0480CD20-A89F-4F14-A8B7-7405518DD3FF}">
      <text>
        <r>
          <rPr>
            <b/>
            <sz val="9"/>
            <color indexed="81"/>
            <rFont val="Tahoma"/>
            <family val="2"/>
          </rPr>
          <t xml:space="preserve">Proforma Invoice - 31 Dec 2024
taken as part of Jan 25 accounts
Actual Invoice Date 07 Jan 2025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68A0C5-6D8C-4C16-8D4B-EB6E4828FD3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33BD22F-603D-4328-B5FF-AF47A8C576D6}" name="WorksheetConnection_Invoice - Masterlist 2024.v1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InvoiceMasterlist2024.v1.xlsxTable11"/>
        </x15:connection>
      </ext>
    </extLst>
  </connection>
  <connection id="3" xr16:uid="{95BAC720-8C95-4603-A443-D7D501D3BC20}" name="WorksheetConnection_REA Adv - Invoices!$B$2:$L$35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REAAdvInvoicesB2L3581"/>
        </x15:connection>
      </ext>
    </extLst>
  </connection>
</connections>
</file>

<file path=xl/sharedStrings.xml><?xml version="1.0" encoding="utf-8"?>
<sst xmlns="http://schemas.openxmlformats.org/spreadsheetml/2006/main" count="9602" uniqueCount="1900">
  <si>
    <t>CLIENT</t>
  </si>
  <si>
    <t>INVOICE NO.</t>
  </si>
  <si>
    <t>INVOICE DATE</t>
  </si>
  <si>
    <t>CLIENT TRN</t>
  </si>
  <si>
    <t>DESCRIPTION</t>
  </si>
  <si>
    <t>INVOICE SUB-TOTAL</t>
  </si>
  <si>
    <t>VAT % AMOUNT</t>
  </si>
  <si>
    <t>TOTAL INVOICE AMOUNT</t>
  </si>
  <si>
    <t>Sales Person</t>
  </si>
  <si>
    <t>REENA</t>
  </si>
  <si>
    <t>Stellar Advertising LLC</t>
  </si>
  <si>
    <t>Rebate</t>
  </si>
  <si>
    <t>Invoice Sub-Total after Rebate</t>
  </si>
  <si>
    <t>Grand Total</t>
  </si>
  <si>
    <t>Summary Sales per Month</t>
  </si>
  <si>
    <t>Team</t>
  </si>
  <si>
    <t>100542487200003</t>
  </si>
  <si>
    <t>Client Names</t>
  </si>
  <si>
    <t>Jan</t>
  </si>
  <si>
    <t>REBATE</t>
  </si>
  <si>
    <t>INVOICE SUB-TOTAL AFTER REBATE</t>
  </si>
  <si>
    <t>100032677500003</t>
  </si>
  <si>
    <t>Trane BVBA (Abu Dhabi)</t>
  </si>
  <si>
    <t>100348311000003</t>
  </si>
  <si>
    <t>100522321700003</t>
  </si>
  <si>
    <t>PROFORMA</t>
  </si>
  <si>
    <t xml:space="preserve">EMIRATES FOR UNIVERSAL TYRES L.L.C. </t>
  </si>
  <si>
    <t>Wooden Board</t>
  </si>
  <si>
    <t xml:space="preserve"> 100430750800003</t>
  </si>
  <si>
    <t>Navitas Middle East FZ - LLC</t>
  </si>
  <si>
    <t>104166051300003</t>
  </si>
  <si>
    <t>Sum of INVOICE SUB-TOTAL</t>
  </si>
  <si>
    <t>24-0001</t>
  </si>
  <si>
    <t>24-0002</t>
  </si>
  <si>
    <t>24-0003</t>
  </si>
  <si>
    <t>24-0004</t>
  </si>
  <si>
    <t>24-0005</t>
  </si>
  <si>
    <t>24-0006</t>
  </si>
  <si>
    <t>24-0007</t>
  </si>
  <si>
    <t>24-0008</t>
  </si>
  <si>
    <t>24-0009</t>
  </si>
  <si>
    <t>A3 Poster - Jebel Ali School</t>
  </si>
  <si>
    <t>A5 Booklet - DBSJP (Nov/Dec)</t>
  </si>
  <si>
    <t xml:space="preserve">Aurantius Real Estate Broker </t>
  </si>
  <si>
    <t xml:space="preserve">Business Cards ( Ferhat Doghan ) </t>
  </si>
  <si>
    <t xml:space="preserve">A-Technologies FZCO </t>
  </si>
  <si>
    <t>100312976200003</t>
  </si>
  <si>
    <t>Sticker (Paper)</t>
  </si>
  <si>
    <t>GRAND STAR ALUMINUM &amp; GLASS L.L.C</t>
  </si>
  <si>
    <t>VISIONARY FURNITURE TRADING L.L.C</t>
  </si>
  <si>
    <t>104037069200003</t>
  </si>
  <si>
    <t>Business Cards , Polo Shirts</t>
  </si>
  <si>
    <t>Round neck Tshirt</t>
  </si>
  <si>
    <t xml:space="preserve">Business Card ( Mohamed Ben Hamouda ) </t>
  </si>
  <si>
    <t>24-0010</t>
  </si>
  <si>
    <t>24-0011</t>
  </si>
  <si>
    <t>M Y WORLD TRADING L.L.C</t>
  </si>
  <si>
    <t>104014963300003</t>
  </si>
  <si>
    <t xml:space="preserve">Business Cards ( Mr. Mehdi M Taki , Mr. Muhammed Midlaj ) </t>
  </si>
  <si>
    <t>Acrylic Stand</t>
  </si>
  <si>
    <t>2024</t>
  </si>
  <si>
    <t>24-0012</t>
  </si>
  <si>
    <t>24-0013</t>
  </si>
  <si>
    <t>24-0014</t>
  </si>
  <si>
    <t>24-0015</t>
  </si>
  <si>
    <t>24-0016</t>
  </si>
  <si>
    <t>24-0017</t>
  </si>
  <si>
    <t>24-0018</t>
  </si>
  <si>
    <t>24-0019</t>
  </si>
  <si>
    <t>24-0020</t>
  </si>
  <si>
    <t>24-0021</t>
  </si>
  <si>
    <t>24-0022</t>
  </si>
  <si>
    <t>IDP Education Services Nigeria Limited</t>
  </si>
  <si>
    <t>Polo Shirt</t>
  </si>
  <si>
    <t>-</t>
  </si>
  <si>
    <t>M E A D Medical Supplies &amp; Equipment L.L.C</t>
  </si>
  <si>
    <t>100540543400003</t>
  </si>
  <si>
    <t>NCR Book</t>
  </si>
  <si>
    <t>MARINELLE</t>
  </si>
  <si>
    <t xml:space="preserve"> 100542487200003</t>
  </si>
  <si>
    <t>Poster , Flag ( Raha International School )</t>
  </si>
  <si>
    <t>Lloyds Energy DMCC</t>
  </si>
  <si>
    <t>100056728700003</t>
  </si>
  <si>
    <t>Signage (Without Light)</t>
  </si>
  <si>
    <t>Water Bottle , A5 Notebook (Anti-Microbial) , Metal Pen , Box</t>
  </si>
  <si>
    <t>Business card ( Rineesh Ali )</t>
  </si>
  <si>
    <t>Bianca and Bianco Trading LLC</t>
  </si>
  <si>
    <t xml:space="preserve"> 100482284500003</t>
  </si>
  <si>
    <t xml:space="preserve">Business Card </t>
  </si>
  <si>
    <t xml:space="preserve">Logic Utilities District Cooling Services LLC </t>
  </si>
  <si>
    <t>100567483100003</t>
  </si>
  <si>
    <t>Polo Shirts</t>
  </si>
  <si>
    <t>FAD Institute of Luxury Fashion and Style Dubai</t>
  </si>
  <si>
    <t>Certificate Holder</t>
  </si>
  <si>
    <t>Ingersoll-Rand Technical and Services S A R L (Dubai Branch)</t>
  </si>
  <si>
    <t>Business Card</t>
  </si>
  <si>
    <t>100399495900003</t>
  </si>
  <si>
    <t>JUBAILI BROS S.A.L.</t>
  </si>
  <si>
    <t>100293287700003</t>
  </si>
  <si>
    <t>Car Sunshades (Tyvek)</t>
  </si>
  <si>
    <t xml:space="preserve">Global Connect </t>
  </si>
  <si>
    <t>Rubber stamp</t>
  </si>
  <si>
    <t>IDP EDUCATION L.L.C</t>
  </si>
  <si>
    <t>24-0023</t>
  </si>
  <si>
    <t>100593105800003</t>
  </si>
  <si>
    <t>Rubber Stamp</t>
  </si>
  <si>
    <t>24-0024</t>
  </si>
  <si>
    <t>24-0025</t>
  </si>
  <si>
    <t>24-0026</t>
  </si>
  <si>
    <t>24-0027</t>
  </si>
  <si>
    <t>24-0028</t>
  </si>
  <si>
    <t>24-0029</t>
  </si>
  <si>
    <t>24-0030</t>
  </si>
  <si>
    <t>Prints for Gift Box</t>
  </si>
  <si>
    <t>Trane BVBA (Dubai Branch)</t>
  </si>
  <si>
    <t>100235699400003</t>
  </si>
  <si>
    <t>Business Card ( Darshit B. Kapadiwala , Ahmed Hamid )</t>
  </si>
  <si>
    <t>Roll up , A3 Posters , Certificates</t>
  </si>
  <si>
    <t>24-0031</t>
  </si>
  <si>
    <t>Radiometer Medical ApS</t>
  </si>
  <si>
    <t>Pop Up Banner (Straight) , Roll up , Book Mark (Steel) , Table Flag with Stand</t>
  </si>
  <si>
    <t xml:space="preserve">Brochure , Roll Up ( Charter School ) </t>
  </si>
  <si>
    <t>GrokGlobal Services</t>
  </si>
  <si>
    <t>Business cards , A4 Desktop</t>
  </si>
  <si>
    <t>Roll Up - DBSJ , Roll Up - Taaleem</t>
  </si>
  <si>
    <t>Sticker</t>
  </si>
  <si>
    <t xml:space="preserve"> 104166051300003</t>
  </si>
  <si>
    <t>24-0032</t>
  </si>
  <si>
    <t>100430750800003</t>
  </si>
  <si>
    <t>A4 Envelope</t>
  </si>
  <si>
    <t>24-0033</t>
  </si>
  <si>
    <t>24-0034</t>
  </si>
  <si>
    <t>24-0035</t>
  </si>
  <si>
    <t>24-0036</t>
  </si>
  <si>
    <t>Crystal Trophy</t>
  </si>
  <si>
    <t>Receipt Voucher Book</t>
  </si>
  <si>
    <t xml:space="preserve">CJ ICM FZCO </t>
  </si>
  <si>
    <t>100519331100003</t>
  </si>
  <si>
    <t>Wall Calendar</t>
  </si>
  <si>
    <t xml:space="preserve">RIF TRUST INVESTMENTS LLC </t>
  </si>
  <si>
    <t>100065352500003</t>
  </si>
  <si>
    <t>Ceramic Mug with Lid and Cork Base</t>
  </si>
  <si>
    <t>Continental Middle East DMCC</t>
  </si>
  <si>
    <t>100377505100003</t>
  </si>
  <si>
    <t>Trophy - RONY DOMINIC</t>
  </si>
  <si>
    <t>24-0037</t>
  </si>
  <si>
    <t>24-0038</t>
  </si>
  <si>
    <t>Blu Orbit</t>
  </si>
  <si>
    <t>Designing Charges</t>
  </si>
  <si>
    <t>24-0039</t>
  </si>
  <si>
    <t>24-0040</t>
  </si>
  <si>
    <t>24-0041</t>
  </si>
  <si>
    <t>24-0042</t>
  </si>
  <si>
    <t>24-0043</t>
  </si>
  <si>
    <t>24-0044</t>
  </si>
  <si>
    <t>24-0045</t>
  </si>
  <si>
    <t>24-0046</t>
  </si>
  <si>
    <t>24-0047</t>
  </si>
  <si>
    <t>24-0048</t>
  </si>
  <si>
    <t>24-0049</t>
  </si>
  <si>
    <t>24-0050</t>
  </si>
  <si>
    <t xml:space="preserve">AMANI INVESTMENTS L.L.C - FZ </t>
  </si>
  <si>
    <t xml:space="preserve">Metal Pen , Signage </t>
  </si>
  <si>
    <t>Enara Properties</t>
  </si>
  <si>
    <t>Signage</t>
  </si>
  <si>
    <t xml:space="preserve">Business Card - JBS ( Natalie Pringle ) </t>
  </si>
  <si>
    <t>3 fold Flyer , Business Card</t>
  </si>
  <si>
    <t>PHARMAPAL DRUG STORE L.L.C</t>
  </si>
  <si>
    <t>100336122500003</t>
  </si>
  <si>
    <t>GLEN</t>
  </si>
  <si>
    <t>Table Cloth - DBSJ , Table Runner</t>
  </si>
  <si>
    <t>Display Stand - AAG</t>
  </si>
  <si>
    <t>Ms. Eunice Lara Rosete</t>
  </si>
  <si>
    <t xml:space="preserve">Repair of 2 Trophies </t>
  </si>
  <si>
    <t xml:space="preserve">AUSTRAL INTERNATIONAL DMCC </t>
  </si>
  <si>
    <t>100494671900003</t>
  </si>
  <si>
    <t>Customized Small Envelope , Letterhead</t>
  </si>
  <si>
    <t>Aram Precious Metals Trading FZE</t>
  </si>
  <si>
    <t xml:space="preserve"> 104020641700003</t>
  </si>
  <si>
    <t>Letterhead</t>
  </si>
  <si>
    <t>Austral International FZE</t>
  </si>
  <si>
    <t xml:space="preserve"> 100566746200003</t>
  </si>
  <si>
    <t>LAYAN TRADING FZE</t>
  </si>
  <si>
    <t>104149170300003</t>
  </si>
  <si>
    <t>Sea Centre Shipping Services LLC</t>
  </si>
  <si>
    <t>104020118600003</t>
  </si>
  <si>
    <t>Recycled 15W Wireless Charger Multi - Cable Set</t>
  </si>
  <si>
    <t>24-0051</t>
  </si>
  <si>
    <t>24-0052</t>
  </si>
  <si>
    <t>24-0053</t>
  </si>
  <si>
    <t>24-0054</t>
  </si>
  <si>
    <t>24-0055</t>
  </si>
  <si>
    <t>24-0056</t>
  </si>
  <si>
    <t>Service award certificates</t>
  </si>
  <si>
    <t>Business card , Pocket Folder , Letterhead</t>
  </si>
  <si>
    <t>Ms. Karine Leonian</t>
  </si>
  <si>
    <t>Business Cards ( Waleed Asfour )</t>
  </si>
  <si>
    <t>Business Cards ( Madhu Mala )</t>
  </si>
  <si>
    <t>Business Cards ( Varghese Mathew )</t>
  </si>
  <si>
    <t>Huxley Associates Global Limited</t>
  </si>
  <si>
    <t>24-0057</t>
  </si>
  <si>
    <t>100349055200003</t>
  </si>
  <si>
    <t>Anti Stress Balls</t>
  </si>
  <si>
    <t>DUNECREST AMERICAN SCHOOL L.L.C</t>
  </si>
  <si>
    <t>24-0058</t>
  </si>
  <si>
    <t xml:space="preserve">100249843200003 </t>
  </si>
  <si>
    <t>24-0059</t>
  </si>
  <si>
    <t>24-0060</t>
  </si>
  <si>
    <t>24-0061</t>
  </si>
  <si>
    <t>24-0062</t>
  </si>
  <si>
    <t>24-0063</t>
  </si>
  <si>
    <t>24-0064</t>
  </si>
  <si>
    <t>24-0065</t>
  </si>
  <si>
    <t>24-0066</t>
  </si>
  <si>
    <t>24-0067</t>
  </si>
  <si>
    <t>24-0068</t>
  </si>
  <si>
    <t>24-0069</t>
  </si>
  <si>
    <t>24-0070</t>
  </si>
  <si>
    <t>24-0071</t>
  </si>
  <si>
    <t>24-0072</t>
  </si>
  <si>
    <t>24-0073</t>
  </si>
  <si>
    <t xml:space="preserve">Tristar Transport LLC </t>
  </si>
  <si>
    <t>100044062600003</t>
  </si>
  <si>
    <t>RFID Sliding Card Holder , Wood &amp; Crystal Trophy , Wooden Trophy with Diamond Crystal on Top , Non Woven Bag</t>
  </si>
  <si>
    <t xml:space="preserve">Metal Pen ( White / Blue ) </t>
  </si>
  <si>
    <t>Business card</t>
  </si>
  <si>
    <t>A5 Booklet - DBSJP (Dec/Jan)</t>
  </si>
  <si>
    <t>Instagram Frame - Taaleem</t>
  </si>
  <si>
    <t>Signage - Italian Furniture (without light)</t>
  </si>
  <si>
    <t>Orthopro Clinic</t>
  </si>
  <si>
    <t>Rollup Banner</t>
  </si>
  <si>
    <t>E and S Luxury Car Rental LLC</t>
  </si>
  <si>
    <t>100204025900003</t>
  </si>
  <si>
    <t>Glass Door Sticker ( Plotter Cut Sticker )</t>
  </si>
  <si>
    <t>Tote Bags , Metal Pens , Sticker , A4 Flyers , MBA Flyer - Trifold</t>
  </si>
  <si>
    <t>Board Supply January, 2024</t>
  </si>
  <si>
    <t>Unique World Business Centre LLC</t>
  </si>
  <si>
    <t>100048520900003</t>
  </si>
  <si>
    <t xml:space="preserve">Shory Technology L.L.C </t>
  </si>
  <si>
    <t>100435244700003</t>
  </si>
  <si>
    <t>Sampling Charges</t>
  </si>
  <si>
    <t>CLARION SCHOOL LLC</t>
  </si>
  <si>
    <t>100003895800003</t>
  </si>
  <si>
    <t>Paper Cups with Lids</t>
  </si>
  <si>
    <t>SPH Global Holdings LLC</t>
  </si>
  <si>
    <t>Corporate Media Kit ( Island Tuckshop Pvt Ltd )</t>
  </si>
  <si>
    <t>100533217400003</t>
  </si>
  <si>
    <t>24-0074</t>
  </si>
  <si>
    <t>24-0075</t>
  </si>
  <si>
    <t>24-0076</t>
  </si>
  <si>
    <t>24-0077</t>
  </si>
  <si>
    <t xml:space="preserve"> 100249843200003 </t>
  </si>
  <si>
    <t>Lanyard (Customized)</t>
  </si>
  <si>
    <t>HOLO MORTGAGE CONSULTANT</t>
  </si>
  <si>
    <t>100594103200003</t>
  </si>
  <si>
    <t>Business Card ( RICHARD ZUCCALA , LORNA BINNIE, MARITES SUNDIAM , MICHAEL HUNTER )</t>
  </si>
  <si>
    <t>Rollup Banners (Roadshow) , A4 Flyer , A3 Poster</t>
  </si>
  <si>
    <t xml:space="preserve">BorgRollsWarner Middle East LLC </t>
  </si>
  <si>
    <t>100279643900003</t>
  </si>
  <si>
    <t>Gift box ( Notebook - Premium , Metal Ballpoint Pen )</t>
  </si>
  <si>
    <t>24-0078</t>
  </si>
  <si>
    <t>24-0079</t>
  </si>
  <si>
    <t>World Data Feasibility Studies Consultancies</t>
  </si>
  <si>
    <t>MIRA REAL ESTATE BROKERS L.L.C</t>
  </si>
  <si>
    <t xml:space="preserve"> 104048906200003</t>
  </si>
  <si>
    <t>Paper Bag (50% Advance Invoice)</t>
  </si>
  <si>
    <t xml:space="preserve">E V OFFSHORE LIMITED (DUBAI BRANCH) </t>
  </si>
  <si>
    <t>100277137400003</t>
  </si>
  <si>
    <t>4 in 1 Charging Cable</t>
  </si>
  <si>
    <t>Feb</t>
  </si>
  <si>
    <t>Flags with Eyelets , Lanyard (Customized) , Certificate Holder , Grid Lined Notebook 7mm x 7mm , Non Woven Bag , Journal (Landscape)</t>
  </si>
  <si>
    <t>24-0080</t>
  </si>
  <si>
    <t>24-0081</t>
  </si>
  <si>
    <t>24-0082</t>
  </si>
  <si>
    <t>24-0083</t>
  </si>
  <si>
    <t>24-0084</t>
  </si>
  <si>
    <t xml:space="preserve">SPECIALISED SPORTS EQUIPMENT LLC </t>
  </si>
  <si>
    <t>100245948300003</t>
  </si>
  <si>
    <t>Showroom Signage Change</t>
  </si>
  <si>
    <t>104048906200003</t>
  </si>
  <si>
    <t>Paper Bag ( 50% Final Payment )</t>
  </si>
  <si>
    <t>Al Tayer Insignia LLC</t>
  </si>
  <si>
    <t>100052630900003</t>
  </si>
  <si>
    <t>Trophy</t>
  </si>
  <si>
    <t>Trophy - 10 years of  Partnership - Al Fardan Group</t>
  </si>
  <si>
    <t xml:space="preserve"> 100377505100003</t>
  </si>
  <si>
    <t>Business Cards ( Preeti D’souza )</t>
  </si>
  <si>
    <t>24-0085</t>
  </si>
  <si>
    <t>24-0086</t>
  </si>
  <si>
    <t>24-0087</t>
  </si>
  <si>
    <t>J C S ARTIFICIAL FLOWERS &amp; PLANTS TRADING L.L.C</t>
  </si>
  <si>
    <t>Clear Sticker , Safety Vest</t>
  </si>
  <si>
    <t>Lane Community College</t>
  </si>
  <si>
    <t>A3 Desktop Rollup</t>
  </si>
  <si>
    <t>Gift Voucher</t>
  </si>
  <si>
    <t>24-0088</t>
  </si>
  <si>
    <t>24-0089</t>
  </si>
  <si>
    <t>Tappy Toes Nursery DWC-LLC</t>
  </si>
  <si>
    <t>Polo Shirt (Customized) , Round Neck T-Shirt</t>
  </si>
  <si>
    <t>ANB AUTOMOBILES L.L.C</t>
  </si>
  <si>
    <t>Kraft Paper Bag</t>
  </si>
  <si>
    <t>104061690400003</t>
  </si>
  <si>
    <t>100433257100003</t>
  </si>
  <si>
    <t>24-0090</t>
  </si>
  <si>
    <t>24-0091</t>
  </si>
  <si>
    <t>Receipts - AAG</t>
  </si>
  <si>
    <t>Business card ( Right Trademark )</t>
  </si>
  <si>
    <t>24-0092</t>
  </si>
  <si>
    <t>24-0093</t>
  </si>
  <si>
    <t>Business cards ( MTA )</t>
  </si>
  <si>
    <t>24-0094</t>
  </si>
  <si>
    <t>24-0095</t>
  </si>
  <si>
    <t>24-0096</t>
  </si>
  <si>
    <t>24-0097</t>
  </si>
  <si>
    <t>24-0098</t>
  </si>
  <si>
    <t>24-0099</t>
  </si>
  <si>
    <t>24-0100</t>
  </si>
  <si>
    <t>24-0101</t>
  </si>
  <si>
    <t>24-0102</t>
  </si>
  <si>
    <t>Krishna International FZCO</t>
  </si>
  <si>
    <t>Wedding Luggage Tags</t>
  </si>
  <si>
    <t>One Blue Clover FZCO</t>
  </si>
  <si>
    <t xml:space="preserve">Letterhead </t>
  </si>
  <si>
    <t>Selfie Frame - DBSJP , Prop - #Outstanding</t>
  </si>
  <si>
    <t>Griffith College</t>
  </si>
  <si>
    <t>Brochure</t>
  </si>
  <si>
    <t>Roll Up - AAG</t>
  </si>
  <si>
    <t>NCR Book , Business Cards</t>
  </si>
  <si>
    <t>Letterhead - FICHTE</t>
  </si>
  <si>
    <t>Flex to be changed for existing light box</t>
  </si>
  <si>
    <t>Thermo Fisher Scientific S.P.A.</t>
  </si>
  <si>
    <t>IT 07817950152</t>
  </si>
  <si>
    <t>Flyer , Recycled 6-in-1 Charging Cable</t>
  </si>
  <si>
    <t>24-0103</t>
  </si>
  <si>
    <t>24-0104</t>
  </si>
  <si>
    <t>24-0105</t>
  </si>
  <si>
    <t>24-0106</t>
  </si>
  <si>
    <t>DYNAMIC EMPLOYMENT SERVICES L.L.C</t>
  </si>
  <si>
    <t>Parking Signage</t>
  </si>
  <si>
    <t>Flyer -  Taylor Wessing</t>
  </si>
  <si>
    <t>Dubai Roadshow Millenium Downtown, 17th Feb 2024</t>
  </si>
  <si>
    <t xml:space="preserve">Abu Dhabi Roadshow 18 Feb 2024, InterContinental </t>
  </si>
  <si>
    <t>24-0107</t>
  </si>
  <si>
    <t>24-0108</t>
  </si>
  <si>
    <t>Journal - DBSEH</t>
  </si>
  <si>
    <t>Golden Tower Technologies</t>
  </si>
  <si>
    <t>Crescent Real Estate</t>
  </si>
  <si>
    <t>24-0109</t>
  </si>
  <si>
    <t>24-0110</t>
  </si>
  <si>
    <t>24-0111</t>
  </si>
  <si>
    <t>24-0112</t>
  </si>
  <si>
    <t>24-0113</t>
  </si>
  <si>
    <t>24-0114</t>
  </si>
  <si>
    <t>24-0115</t>
  </si>
  <si>
    <t>24-0116</t>
  </si>
  <si>
    <t>24-0117</t>
  </si>
  <si>
    <t>24-0118</t>
  </si>
  <si>
    <t xml:space="preserve">Indo Tausch Trading DMCC </t>
  </si>
  <si>
    <t>Business Cards , ID Cards</t>
  </si>
  <si>
    <t>Top Curve Flags - Al Salaam Charter School</t>
  </si>
  <si>
    <t>24-0119</t>
  </si>
  <si>
    <t>Rollup Banners (GIS) , Designing charges</t>
  </si>
  <si>
    <t>Round Neck Tshirts (Wellbeing) - Charter School</t>
  </si>
  <si>
    <t>Business Cards ( Dipak M Shelke )</t>
  </si>
  <si>
    <t>Vertical Matt Veneer Wooden Plaque</t>
  </si>
  <si>
    <t>Ali Salim Ali Salim Alqaydi</t>
  </si>
  <si>
    <t>A4 Pocket Folder , A4 Envelope , DL Envelope , A5 Notebook , Pens (Plastic) , Ceramic Mugs , Plastic Folders (transcluscent)</t>
  </si>
  <si>
    <t>Name Tags , Expo Cards</t>
  </si>
  <si>
    <t>IDP Excellence Awards - 21-Feb-24</t>
  </si>
  <si>
    <t>24-0120</t>
  </si>
  <si>
    <t>24-0121</t>
  </si>
  <si>
    <t>IDP Business Cards -  (Abu Dhabi)</t>
  </si>
  <si>
    <t xml:space="preserve">IDP Business Cards - (Dubai ) </t>
  </si>
  <si>
    <t xml:space="preserve">Business Cards - Dubai </t>
  </si>
  <si>
    <t>24-0122</t>
  </si>
  <si>
    <t>24-0123</t>
  </si>
  <si>
    <t>24-0124</t>
  </si>
  <si>
    <t>24-0125</t>
  </si>
  <si>
    <t>24-0126</t>
  </si>
  <si>
    <t>Liquid Telecommunications International FZE</t>
  </si>
  <si>
    <t xml:space="preserve">Gift Box - Black  , Paper Bag </t>
  </si>
  <si>
    <t>24-0127</t>
  </si>
  <si>
    <t>24-0128</t>
  </si>
  <si>
    <t>24-0129</t>
  </si>
  <si>
    <t>24-0130</t>
  </si>
  <si>
    <t>Gift Box - Black , Paper Bag</t>
  </si>
  <si>
    <t>AL RASHED UNITED DMCC</t>
  </si>
  <si>
    <t>Business card , Ribbons with printing , Paper Bag , Paper Stickers , Wrapping Paper</t>
  </si>
  <si>
    <t>Big Card, Small Card, Thank You Card</t>
  </si>
  <si>
    <t>Brochure 2024 , Courier Charges to Abu Dhabi</t>
  </si>
  <si>
    <t>24-0131</t>
  </si>
  <si>
    <t>24-0132</t>
  </si>
  <si>
    <t>24-0133</t>
  </si>
  <si>
    <t>24-0134</t>
  </si>
  <si>
    <t xml:space="preserve">ADIRONDACK ARCHITECTURAL MODELS INDUSTRY L.L.C </t>
  </si>
  <si>
    <t>Sampling Charges - Polo Shirt</t>
  </si>
  <si>
    <t>A4 Envelopes (customized) , DL Envelopes (customized) , Top spiral Notebook</t>
  </si>
  <si>
    <t>24-0135</t>
  </si>
  <si>
    <t>Navitas SAE FZ-LLC</t>
  </si>
  <si>
    <t>Table cloth - Bridal Satin , A4 Flyer (ICN)</t>
  </si>
  <si>
    <t>Board Supply February, 2024</t>
  </si>
  <si>
    <t>Mar</t>
  </si>
  <si>
    <t>24-0136</t>
  </si>
  <si>
    <t>24-0137</t>
  </si>
  <si>
    <t>24-0138</t>
  </si>
  <si>
    <t>Customized Vest - Taaleem</t>
  </si>
  <si>
    <t>Receipt Voucher</t>
  </si>
  <si>
    <t>Metal Pen , A4 Notepad</t>
  </si>
  <si>
    <t>Website Designing and Development ( 75% Advance Invoice )</t>
  </si>
  <si>
    <t>Al Naser International FZE</t>
  </si>
  <si>
    <t>24-0139</t>
  </si>
  <si>
    <t>24-0140</t>
  </si>
  <si>
    <t>24-0141</t>
  </si>
  <si>
    <t>Website Designing and Development ( 25% Final Invoice )</t>
  </si>
  <si>
    <t>24-0142</t>
  </si>
  <si>
    <t>24-0143</t>
  </si>
  <si>
    <t>24-0144</t>
  </si>
  <si>
    <t>Business cards (Taaleem)</t>
  </si>
  <si>
    <t>100282822400003</t>
  </si>
  <si>
    <t>Rollup Banner , A3 Desktop Rollup , A4 Flyer (ICN)</t>
  </si>
  <si>
    <t>24-0145</t>
  </si>
  <si>
    <t>24-0146</t>
  </si>
  <si>
    <t>24-0147</t>
  </si>
  <si>
    <t>Business Card - DBSJ</t>
  </si>
  <si>
    <t>Student Gift Set of A5 Notebook and Pen With Bamboo Element , Jute Bag</t>
  </si>
  <si>
    <t>24-0148</t>
  </si>
  <si>
    <t>Brochure - Pre Departure</t>
  </si>
  <si>
    <t>24-0149</t>
  </si>
  <si>
    <t>Black Mug</t>
  </si>
  <si>
    <t>Business Cards (Jomer Pinohermoso)</t>
  </si>
  <si>
    <t>24-0150</t>
  </si>
  <si>
    <t>Business Cards (HAKIM LABRAHMI)</t>
  </si>
  <si>
    <t>24-0151</t>
  </si>
  <si>
    <t>Leaflet - 3 fold (DBSJ)</t>
  </si>
  <si>
    <t>24-0152</t>
  </si>
  <si>
    <t>A5 Envelopes</t>
  </si>
  <si>
    <t>GOOD VIBES TRANSPORT L.L.C</t>
  </si>
  <si>
    <t>24-0153</t>
  </si>
  <si>
    <t>24-0154</t>
  </si>
  <si>
    <t>24-0155</t>
  </si>
  <si>
    <t>100483620900003</t>
  </si>
  <si>
    <t>Job card</t>
  </si>
  <si>
    <t>Business cards -Taaleem (Nora Ghannam , Alan Williamson)</t>
  </si>
  <si>
    <t>The Woolwich Institute</t>
  </si>
  <si>
    <t>24-0156</t>
  </si>
  <si>
    <t>24-0157</t>
  </si>
  <si>
    <t>24-0158</t>
  </si>
  <si>
    <t>100484375900003</t>
  </si>
  <si>
    <t>Business Card (Amit Nangpal)</t>
  </si>
  <si>
    <t>Jute Bag</t>
  </si>
  <si>
    <t xml:space="preserve">Technological University of the Shannon - Ireland </t>
  </si>
  <si>
    <t>24-0159</t>
  </si>
  <si>
    <t>Business Cards (Alejandro Celli)</t>
  </si>
  <si>
    <t>24-0160</t>
  </si>
  <si>
    <t>March 13,2024</t>
  </si>
  <si>
    <t>Taaleem Items</t>
  </si>
  <si>
    <t>24-0161</t>
  </si>
  <si>
    <t>GIS Tshirts</t>
  </si>
  <si>
    <t>24-0162</t>
  </si>
  <si>
    <t>DBSJP Journal 23</t>
  </si>
  <si>
    <t>Nanjing Stationery</t>
  </si>
  <si>
    <t>24-0163</t>
  </si>
  <si>
    <t>Note Books 50</t>
  </si>
  <si>
    <t>24-0164</t>
  </si>
  <si>
    <t>24-0165</t>
  </si>
  <si>
    <t>24-0166</t>
  </si>
  <si>
    <t>24-0167</t>
  </si>
  <si>
    <t>BC Ifthikar</t>
  </si>
  <si>
    <t>BC Yulia</t>
  </si>
  <si>
    <t>Taylor Wessing Journal</t>
  </si>
  <si>
    <t>AAG Gift Hampera</t>
  </si>
  <si>
    <t>24-0168</t>
  </si>
  <si>
    <t>24-0169</t>
  </si>
  <si>
    <t>24-0170</t>
  </si>
  <si>
    <t>24-0171</t>
  </si>
  <si>
    <t>24-0172</t>
  </si>
  <si>
    <t>24-0173</t>
  </si>
  <si>
    <t>24-0174</t>
  </si>
  <si>
    <t>24-0175</t>
  </si>
  <si>
    <t>24-0176</t>
  </si>
  <si>
    <t>24-0177</t>
  </si>
  <si>
    <t>24-0178</t>
  </si>
  <si>
    <t>Pacific Link</t>
  </si>
  <si>
    <t>Office Branding</t>
  </si>
  <si>
    <t>DBSJ Flyer</t>
  </si>
  <si>
    <t>BC Anugha</t>
  </si>
  <si>
    <t xml:space="preserve">BinGhatti </t>
  </si>
  <si>
    <t>Non Woven Bags</t>
  </si>
  <si>
    <t>Byyu Gifts Trading</t>
  </si>
  <si>
    <t>RU/Tags/A6 Cards/Tent Cards</t>
  </si>
  <si>
    <t>Navitas- Murdoch University</t>
  </si>
  <si>
    <t>BC</t>
  </si>
  <si>
    <t>Navitas - Murdoch University</t>
  </si>
  <si>
    <t>Pens/Bags/Flyers</t>
  </si>
  <si>
    <t xml:space="preserve">Grandmatic </t>
  </si>
  <si>
    <t>Office Signage</t>
  </si>
  <si>
    <t>Instagram Frame.</t>
  </si>
  <si>
    <t xml:space="preserve">Grandmatic Technical </t>
  </si>
  <si>
    <t>Bin Ghatti</t>
  </si>
  <si>
    <t>Byyus Gift Trading</t>
  </si>
  <si>
    <t>24-0179</t>
  </si>
  <si>
    <t>24-0180</t>
  </si>
  <si>
    <t>24-0181</t>
  </si>
  <si>
    <t>24-0182</t>
  </si>
  <si>
    <t>24-0183</t>
  </si>
  <si>
    <t>24-0184</t>
  </si>
  <si>
    <t>24-0185</t>
  </si>
  <si>
    <t>24-0186</t>
  </si>
  <si>
    <t>Dummy Cheque (DBSEH)</t>
  </si>
  <si>
    <t>Journal (DBSEH)</t>
  </si>
  <si>
    <t>Business card - FICHTE</t>
  </si>
  <si>
    <t>A6 Ramadan Cards -Power Lease/Ikonic</t>
  </si>
  <si>
    <t>POWER LEASE VEHICLE RENTAL DMCC</t>
  </si>
  <si>
    <t>Menlo Electric FZE</t>
  </si>
  <si>
    <t>A3 &amp; A4 ENVELOPES</t>
  </si>
  <si>
    <t xml:space="preserve">Dubai Academic Health Corporation (DAHC) </t>
  </si>
  <si>
    <t>A4 &amp; A5 Paper Bags</t>
  </si>
  <si>
    <t>Sticker on CRETA Signage</t>
  </si>
  <si>
    <t>Polo shirts</t>
  </si>
  <si>
    <t>24-0187</t>
  </si>
  <si>
    <t>24-0188</t>
  </si>
  <si>
    <t>24-0189</t>
  </si>
  <si>
    <t>24-0190</t>
  </si>
  <si>
    <t>Notebooks &amp; Business cards</t>
  </si>
  <si>
    <t>Byyu Gift Trading LLC</t>
  </si>
  <si>
    <t>Tshirts (Holi)</t>
  </si>
  <si>
    <t>A4 Notebook (PECUNIA)</t>
  </si>
  <si>
    <t xml:space="preserve">Brochure (Dubai School) </t>
  </si>
  <si>
    <t>24-0191</t>
  </si>
  <si>
    <t>24-0192</t>
  </si>
  <si>
    <t>24-0193</t>
  </si>
  <si>
    <t>24-0194</t>
  </si>
  <si>
    <t>Table Cloth</t>
  </si>
  <si>
    <t>Name boards HO</t>
  </si>
  <si>
    <t>Name boards Br.</t>
  </si>
  <si>
    <t>Gulftainer</t>
  </si>
  <si>
    <t>Bags</t>
  </si>
  <si>
    <t>Column Labels</t>
  </si>
  <si>
    <t>Dubai Academic Health /MBRU</t>
  </si>
  <si>
    <t>Menlo Electricals FZCo</t>
  </si>
  <si>
    <t xml:space="preserve">Gulftainer </t>
  </si>
  <si>
    <t>24-0195</t>
  </si>
  <si>
    <t>24-0196</t>
  </si>
  <si>
    <t>24-0197</t>
  </si>
  <si>
    <t>24-0198</t>
  </si>
  <si>
    <t>24-0199</t>
  </si>
  <si>
    <t>24-0200</t>
  </si>
  <si>
    <t>24-0201</t>
  </si>
  <si>
    <t>24-0202</t>
  </si>
  <si>
    <t>24-0203</t>
  </si>
  <si>
    <t>24-0204</t>
  </si>
  <si>
    <t>24-0205</t>
  </si>
  <si>
    <t>Thermo Fisher Scientific Middle East</t>
  </si>
  <si>
    <t>100225882800003</t>
  </si>
  <si>
    <t>Vacuum Mug With Cork Base - White</t>
  </si>
  <si>
    <t>Canvas print on frame (JAS)</t>
  </si>
  <si>
    <t>Pens(Plastic)</t>
  </si>
  <si>
    <t>Business Card - JBS</t>
  </si>
  <si>
    <t>KOTUG MIDDLE EAST DMCC</t>
  </si>
  <si>
    <t>100336526700003</t>
  </si>
  <si>
    <t>Ceramic Mug, Business Cards</t>
  </si>
  <si>
    <t>100290916400003</t>
  </si>
  <si>
    <t>Momentum Logistics</t>
  </si>
  <si>
    <t xml:space="preserve">Gulftainer Company Limited - Iraq Branch </t>
  </si>
  <si>
    <t>Momentum Company Limited Saudi Arabia</t>
  </si>
  <si>
    <t>310562221900003</t>
  </si>
  <si>
    <t>PLUS971 CYBER SECURITY L.L.C</t>
  </si>
  <si>
    <t>24-0206</t>
  </si>
  <si>
    <t>24-0207</t>
  </si>
  <si>
    <t>24-0208</t>
  </si>
  <si>
    <t>24-0209</t>
  </si>
  <si>
    <t>100583350200003</t>
  </si>
  <si>
    <t>Black Swan Business Setup Services LLC</t>
  </si>
  <si>
    <t>100054016900003</t>
  </si>
  <si>
    <t>Printing of Logo on Client provided items, MousePads</t>
  </si>
  <si>
    <t>Karlita Baby Shower Poster</t>
  </si>
  <si>
    <t>DHR MENA FZ-LLC</t>
  </si>
  <si>
    <t>100345098600003</t>
  </si>
  <si>
    <t>Gift Set, back pack and NFC card</t>
  </si>
  <si>
    <t>24-0210</t>
  </si>
  <si>
    <t>24-0211</t>
  </si>
  <si>
    <t>24-0212</t>
  </si>
  <si>
    <t>24-0213</t>
  </si>
  <si>
    <t>24-0214</t>
  </si>
  <si>
    <t>24-0215</t>
  </si>
  <si>
    <t>24-0216</t>
  </si>
  <si>
    <t>24-0217</t>
  </si>
  <si>
    <t>24-0218</t>
  </si>
  <si>
    <t>Flyer</t>
  </si>
  <si>
    <t>MAERSK LOGISTICS AND SERVICES L.L.C</t>
  </si>
  <si>
    <t>Safety Jacket &amp; Safety Shoes</t>
  </si>
  <si>
    <t>AL WASEEF INDUSTRIES LLC</t>
  </si>
  <si>
    <t>100524667100003</t>
  </si>
  <si>
    <t>Lanyard</t>
  </si>
  <si>
    <t>Paper Bag</t>
  </si>
  <si>
    <t>CACOGES</t>
  </si>
  <si>
    <t>Notebooks &amp; Caps</t>
  </si>
  <si>
    <t>100482284500003</t>
  </si>
  <si>
    <t>Business Cards</t>
  </si>
  <si>
    <t>Coloring Book - DBSJ</t>
  </si>
  <si>
    <t>Apr</t>
  </si>
  <si>
    <t>Client Name</t>
  </si>
  <si>
    <t>Month</t>
  </si>
  <si>
    <t>24-0219</t>
  </si>
  <si>
    <t>24-0220</t>
  </si>
  <si>
    <t>24-0221</t>
  </si>
  <si>
    <t>24-0222</t>
  </si>
  <si>
    <t>24-0223</t>
  </si>
  <si>
    <t>24-0224</t>
  </si>
  <si>
    <t>24-0225</t>
  </si>
  <si>
    <t>Roll up</t>
  </si>
  <si>
    <t>Booth branding (Shell scheme)</t>
  </si>
  <si>
    <t>Roll up, A3 Posters, Certificates</t>
  </si>
  <si>
    <t>24-0226</t>
  </si>
  <si>
    <t>24-0227</t>
  </si>
  <si>
    <t>24-0228</t>
  </si>
  <si>
    <t>24-0229</t>
  </si>
  <si>
    <t>24-0230</t>
  </si>
  <si>
    <t>24-0231</t>
  </si>
  <si>
    <t>24-0232</t>
  </si>
  <si>
    <t>24-0233</t>
  </si>
  <si>
    <t>24-0234</t>
  </si>
  <si>
    <t>24-0235</t>
  </si>
  <si>
    <t>24-0236</t>
  </si>
  <si>
    <t>Tote bags, Pens, Tritan Water Bottle, Notebook</t>
  </si>
  <si>
    <t>Coloring Book - Dubai School</t>
  </si>
  <si>
    <t>Gift Box - 50% advance</t>
  </si>
  <si>
    <t>Gift Box - 50% balance</t>
  </si>
  <si>
    <t>Aplus Global FZE LLC</t>
  </si>
  <si>
    <t>100462479500003</t>
  </si>
  <si>
    <t>A4 Sticker</t>
  </si>
  <si>
    <t>MEINHARDT (SINGAPORE) PTE LTD (DUBAI BR)</t>
  </si>
  <si>
    <t>100357115300003</t>
  </si>
  <si>
    <t>Safety Vest - Customized</t>
  </si>
  <si>
    <t>Polo Shirt - (Customized)</t>
  </si>
  <si>
    <t>Roll up, A3  Desktop Roll up, flyer</t>
  </si>
  <si>
    <t>ID Holders and Lanyard</t>
  </si>
  <si>
    <t>24-0237</t>
  </si>
  <si>
    <t>24-0238</t>
  </si>
  <si>
    <t>24-0239</t>
  </si>
  <si>
    <t>24-0240</t>
  </si>
  <si>
    <t>24-0241</t>
  </si>
  <si>
    <t>24-0242</t>
  </si>
  <si>
    <t>Curvetop Flags</t>
  </si>
  <si>
    <t>NARJIS Printing and Publishing</t>
  </si>
  <si>
    <t>100556794400003</t>
  </si>
  <si>
    <t>Business Card - PERI</t>
  </si>
  <si>
    <t>Letterhead (Obaid Almaazmi)</t>
  </si>
  <si>
    <t>20240415 - Fast - Migration  (Roll Up, A3 Posters, Certificates)</t>
  </si>
  <si>
    <t>Mr. Waiz (Amity)</t>
  </si>
  <si>
    <t>Volleyball Jersey sets</t>
  </si>
  <si>
    <t>24-0243</t>
  </si>
  <si>
    <t>24-0244</t>
  </si>
  <si>
    <t>24-0245</t>
  </si>
  <si>
    <t>24-0246</t>
  </si>
  <si>
    <t>24-0247</t>
  </si>
  <si>
    <t>24-0248</t>
  </si>
  <si>
    <t>24-0249</t>
  </si>
  <si>
    <t>24-0250</t>
  </si>
  <si>
    <t>24-0251</t>
  </si>
  <si>
    <t>24-0252</t>
  </si>
  <si>
    <t>24-0253</t>
  </si>
  <si>
    <t>24-0254</t>
  </si>
  <si>
    <t>24-0255</t>
  </si>
  <si>
    <t>Unique World Business Centre LLC -(HO)</t>
  </si>
  <si>
    <t>Supplies done in April, 2024</t>
  </si>
  <si>
    <t>Unique World Business Centre LLC -(Br.)</t>
  </si>
  <si>
    <t>Poster Board for Easel</t>
  </si>
  <si>
    <t>Business Cards -Shabeek Yusuf</t>
  </si>
  <si>
    <t>Finhub Middle East</t>
  </si>
  <si>
    <t>AL SHEMAIL GAR. &amp; PERFUMES TR LLC</t>
  </si>
  <si>
    <t>100066699800003</t>
  </si>
  <si>
    <t>Paper Sticker</t>
  </si>
  <si>
    <t>Pledge Card, Tent Card, Roll Up</t>
  </si>
  <si>
    <t>Floor Stickers</t>
  </si>
  <si>
    <t xml:space="preserve">Brochure (Destination Guide) </t>
  </si>
  <si>
    <t>NotePad (top glue) - Taaleem</t>
  </si>
  <si>
    <t>Roll Up with designing charges</t>
  </si>
  <si>
    <t>A5 Acrylic Display Stand (Raha School)</t>
  </si>
  <si>
    <t>Yearbook DBSJP</t>
  </si>
  <si>
    <t>May</t>
  </si>
  <si>
    <t>24-0256</t>
  </si>
  <si>
    <t>24-0257</t>
  </si>
  <si>
    <t>24-0258</t>
  </si>
  <si>
    <t>24-0259</t>
  </si>
  <si>
    <t>24-0260</t>
  </si>
  <si>
    <t>24-0261</t>
  </si>
  <si>
    <t>24-0225-A</t>
  </si>
  <si>
    <t>Balloons and cup sleeve</t>
  </si>
  <si>
    <t>24-0226-A</t>
  </si>
  <si>
    <t>104020641700003</t>
  </si>
  <si>
    <t>24-0227-A</t>
  </si>
  <si>
    <t>AL NASER INTERNATIONAL FZE</t>
  </si>
  <si>
    <t>24-0228-A</t>
  </si>
  <si>
    <t>100566746200003</t>
  </si>
  <si>
    <t>Signage, Acrylic Signboard</t>
  </si>
  <si>
    <t>24-0229-A</t>
  </si>
  <si>
    <t>104146932900003</t>
  </si>
  <si>
    <t>Round Neck Tshirts</t>
  </si>
  <si>
    <t xml:space="preserve">Gamayun Consultancy Services FZE </t>
  </si>
  <si>
    <t>104014823900003</t>
  </si>
  <si>
    <t xml:space="preserve">Business card </t>
  </si>
  <si>
    <t>Roll up Banner,  A3 Desktop roll up, Table Runner</t>
  </si>
  <si>
    <t>Business cards - Ali El Sayed</t>
  </si>
  <si>
    <t>Posters</t>
  </si>
  <si>
    <t>24-0262</t>
  </si>
  <si>
    <t>24-0263</t>
  </si>
  <si>
    <t>24-0264</t>
  </si>
  <si>
    <t>24-0265</t>
  </si>
  <si>
    <t>24-0266</t>
  </si>
  <si>
    <t>24-0267</t>
  </si>
  <si>
    <t>24-0268</t>
  </si>
  <si>
    <t>24-0269</t>
  </si>
  <si>
    <t>24-0270</t>
  </si>
  <si>
    <t>24-0271</t>
  </si>
  <si>
    <t>24-0272</t>
  </si>
  <si>
    <t>24-0273</t>
  </si>
  <si>
    <t>24-0274</t>
  </si>
  <si>
    <t>24-0275</t>
  </si>
  <si>
    <t>24-0276</t>
  </si>
  <si>
    <t>24-0277</t>
  </si>
  <si>
    <t>24-0278</t>
  </si>
  <si>
    <t>24-0279</t>
  </si>
  <si>
    <t>24-0280</t>
  </si>
  <si>
    <t>24-0281</t>
  </si>
  <si>
    <t>24-0282</t>
  </si>
  <si>
    <t>24-0283</t>
  </si>
  <si>
    <t>24-0284</t>
  </si>
  <si>
    <t>24-0285</t>
  </si>
  <si>
    <t>24-0286</t>
  </si>
  <si>
    <t>24-0287</t>
  </si>
  <si>
    <t>TETR, College of Business</t>
  </si>
  <si>
    <t>Brochure, Tote bags,notebooks, pens, business card, table cloth, desktop roll up</t>
  </si>
  <si>
    <t>100267612800003</t>
  </si>
  <si>
    <t>Ortho Cast Model Box</t>
  </si>
  <si>
    <t>Poster, PVC Badge</t>
  </si>
  <si>
    <t>MIGHTHOUSE REALTY L.L.C</t>
  </si>
  <si>
    <t>A4 Envelope, A5 Notebook, Metal Pen</t>
  </si>
  <si>
    <t>Thank you Card, Dummy Cheque, Stickers, Plaque, Notebook</t>
  </si>
  <si>
    <t>Azalee Flower Boutique Limited</t>
  </si>
  <si>
    <t>Flower Box</t>
  </si>
  <si>
    <t>Brochure (Hourani)</t>
  </si>
  <si>
    <t>Business card, Letterhead - FICHTE</t>
  </si>
  <si>
    <t>Continental Family voucher / Envelope</t>
  </si>
  <si>
    <t>Access Card printing</t>
  </si>
  <si>
    <t>Graduation Tickets, Easel poster, Certificate A4</t>
  </si>
  <si>
    <t>Brochure, Tote bags,notebooks, pens, business card, booth branding</t>
  </si>
  <si>
    <t>Photo booth - Floor standing - DBF</t>
  </si>
  <si>
    <t>Table cloth - JAS</t>
  </si>
  <si>
    <t xml:space="preserve">Round Neck Tshirts  (Dubai College UAE) </t>
  </si>
  <si>
    <t>Ecotag</t>
  </si>
  <si>
    <t>ECOTAG Box - Sampling Charges</t>
  </si>
  <si>
    <t>Booth branding - Reprinting</t>
  </si>
  <si>
    <t xml:space="preserve">BECKMAN COULTER INTERNATIONAL S.A. (DUBAI BR) </t>
  </si>
  <si>
    <t xml:space="preserve">ID card with die cut for lanyard hook </t>
  </si>
  <si>
    <t>24-0288</t>
  </si>
  <si>
    <t>24-0289</t>
  </si>
  <si>
    <t>24-0290</t>
  </si>
  <si>
    <t>24-0291</t>
  </si>
  <si>
    <t>24-0292</t>
  </si>
  <si>
    <t>24-0293</t>
  </si>
  <si>
    <t>24-0294</t>
  </si>
  <si>
    <t>24-0295</t>
  </si>
  <si>
    <t>24-0296</t>
  </si>
  <si>
    <t>24-0297</t>
  </si>
  <si>
    <t>24-0298</t>
  </si>
  <si>
    <t>24-0299</t>
  </si>
  <si>
    <t>24-0300</t>
  </si>
  <si>
    <t>24-0301</t>
  </si>
  <si>
    <t>Portrait Wooden Plaques with Box</t>
  </si>
  <si>
    <t>PMMUE Eduservices Private Limited</t>
  </si>
  <si>
    <t>Brochure &amp; Business Cards</t>
  </si>
  <si>
    <t>3 fold Flyer</t>
  </si>
  <si>
    <t>24-0302</t>
  </si>
  <si>
    <t>24-0303</t>
  </si>
  <si>
    <t>24-0304</t>
  </si>
  <si>
    <t>24-0305</t>
  </si>
  <si>
    <t>24-0306</t>
  </si>
  <si>
    <t>24-0307</t>
  </si>
  <si>
    <t>24-0308</t>
  </si>
  <si>
    <t>24-0309</t>
  </si>
  <si>
    <t>24-0310</t>
  </si>
  <si>
    <t>24-0311</t>
  </si>
  <si>
    <t>24-0312</t>
  </si>
  <si>
    <t>24-0313</t>
  </si>
  <si>
    <t>24-0314</t>
  </si>
  <si>
    <t>24-0315</t>
  </si>
  <si>
    <t>24-0316</t>
  </si>
  <si>
    <t>24-0317</t>
  </si>
  <si>
    <t>24-0318</t>
  </si>
  <si>
    <t>24-0319</t>
  </si>
  <si>
    <t>24-0320</t>
  </si>
  <si>
    <t>24-0321</t>
  </si>
  <si>
    <t>24-0322</t>
  </si>
  <si>
    <t>24-0323</t>
  </si>
  <si>
    <t>24-0324</t>
  </si>
  <si>
    <t xml:space="preserve">JAS Board </t>
  </si>
  <si>
    <t>Business Card - DBS</t>
  </si>
  <si>
    <t>Canvas printing  - Jamil Azzam</t>
  </si>
  <si>
    <t>Tote Bags, Sticker, A4 Flyer</t>
  </si>
  <si>
    <t xml:space="preserve">A5 Flyer </t>
  </si>
  <si>
    <t>Journal (DBSEH), Admission Card(DBSEH)</t>
  </si>
  <si>
    <t>Tshirts (Customized)</t>
  </si>
  <si>
    <t>Backpack - GSD 2024 Giveaway (GT KCT)</t>
  </si>
  <si>
    <t>Trophies and Hoodies</t>
  </si>
  <si>
    <t xml:space="preserve"> 100484375900003</t>
  </si>
  <si>
    <t>JBS G12 Graduation Program 2024 Book</t>
  </si>
  <si>
    <t>Office Re-branding - PHASE II</t>
  </si>
  <si>
    <t>Office Re-branding - PHASE II -8th Floor</t>
  </si>
  <si>
    <t>20240508 - Sanji - Cassol - Aussizz - Al Tareeq</t>
  </si>
  <si>
    <t>Parking Permit</t>
  </si>
  <si>
    <t>Raha School - Designing charges</t>
  </si>
  <si>
    <t xml:space="preserve">Recycled Notebook with Pen </t>
  </si>
  <si>
    <t>Board Supplies done in May, 2024</t>
  </si>
  <si>
    <t>Right Fit Tailoring</t>
  </si>
  <si>
    <t>Website Designing and Development</t>
  </si>
  <si>
    <t>24-0325</t>
  </si>
  <si>
    <t>24-0326</t>
  </si>
  <si>
    <t>24-0327</t>
  </si>
  <si>
    <t>Polo Shirts - Kids</t>
  </si>
  <si>
    <t>Brochure - SRH International College,Brochures  ICN, Paper bag</t>
  </si>
  <si>
    <t>Void</t>
  </si>
  <si>
    <t>24-0328</t>
  </si>
  <si>
    <t>24-0329</t>
  </si>
  <si>
    <t>Booth branding (Shell scheme) - Designing charges</t>
  </si>
  <si>
    <t>24-0330</t>
  </si>
  <si>
    <t>IDP Business Cards</t>
  </si>
  <si>
    <t>24-0331</t>
  </si>
  <si>
    <t xml:space="preserve">Hoodie with zipper </t>
  </si>
  <si>
    <t>24-0332</t>
  </si>
  <si>
    <t>Dublin Training - Roll up - A3 Posters - Certificates</t>
  </si>
  <si>
    <t>24-0333</t>
  </si>
  <si>
    <t>Pop Up Banner</t>
  </si>
  <si>
    <t>24-0334</t>
  </si>
  <si>
    <t>Balloons (Helium)</t>
  </si>
  <si>
    <t>Onboard Sky Freight Services L.L.C</t>
  </si>
  <si>
    <t>24-0335</t>
  </si>
  <si>
    <t>24-0336</t>
  </si>
  <si>
    <t>24-0337</t>
  </si>
  <si>
    <t>24-0338</t>
  </si>
  <si>
    <t>A4 size, Total 16 pages</t>
  </si>
  <si>
    <t>Yearbook (Raha School)</t>
  </si>
  <si>
    <t>A5 Notepad (Top Glue)</t>
  </si>
  <si>
    <t>24-0339</t>
  </si>
  <si>
    <t>3 fold flyer, Business card</t>
  </si>
  <si>
    <t>24-0340</t>
  </si>
  <si>
    <t xml:space="preserve">Designing Charges - GIS year book, Designing Charges - UIS year book, </t>
  </si>
  <si>
    <t>Jun</t>
  </si>
  <si>
    <t>24-0341</t>
  </si>
  <si>
    <t xml:space="preserve">Ribbon with printing </t>
  </si>
  <si>
    <t>Access cards (Client supplied)</t>
  </si>
  <si>
    <t>100249843200003</t>
  </si>
  <si>
    <t>24-0342</t>
  </si>
  <si>
    <t>24-0343</t>
  </si>
  <si>
    <t>100511338400003</t>
  </si>
  <si>
    <t>Mug</t>
  </si>
  <si>
    <t>24-0344</t>
  </si>
  <si>
    <t>A4 Notepad (PECUNIA), Pen (Metal), A4 Pocket folder, A4 Notepad (PECUNIA)</t>
  </si>
  <si>
    <t>No of invoice</t>
  </si>
  <si>
    <t>Row Labels</t>
  </si>
  <si>
    <t>Sum of No of invoice</t>
  </si>
  <si>
    <t>Total Sum of INVOICE SUB-TOTAL</t>
  </si>
  <si>
    <t>Total Sum of No of invoice</t>
  </si>
  <si>
    <t>Blackswan business center  L.L.C</t>
  </si>
  <si>
    <t xml:space="preserve">No of Invoices </t>
  </si>
  <si>
    <t xml:space="preserve">Average Amount </t>
  </si>
  <si>
    <t>Average /month</t>
  </si>
  <si>
    <t>TOP 10</t>
  </si>
  <si>
    <t>THE NEXT 20- GROUP A</t>
  </si>
  <si>
    <t>THEY GAVE US BUSINESS TOO !!!</t>
  </si>
  <si>
    <t>Void/ Business cards (Taaleem)</t>
  </si>
  <si>
    <t>void</t>
  </si>
  <si>
    <t>Total invoices</t>
  </si>
  <si>
    <t>24-0345</t>
  </si>
  <si>
    <t xml:space="preserve">Students Course Guide , Metal Pens, A4 Flyers , </t>
  </si>
  <si>
    <t>24-0346</t>
  </si>
  <si>
    <t>24-0347</t>
  </si>
  <si>
    <t>24-0348</t>
  </si>
  <si>
    <t>24-0349</t>
  </si>
  <si>
    <t>24-0350</t>
  </si>
  <si>
    <t>Coloring Book</t>
  </si>
  <si>
    <t>A5 prints- Taaleem</t>
  </si>
  <si>
    <t>Leaflet - GIS</t>
  </si>
  <si>
    <t>Patient Profile Books</t>
  </si>
  <si>
    <t>T-shirts</t>
  </si>
  <si>
    <t>24-0351</t>
  </si>
  <si>
    <t>MAERSK LOGISTICS AND SERVICES FZE</t>
  </si>
  <si>
    <t>100386934200003</t>
  </si>
  <si>
    <t>24-0352</t>
  </si>
  <si>
    <t>24-0353</t>
  </si>
  <si>
    <t>24-0354</t>
  </si>
  <si>
    <t>2024 - REA Advertising - Month wise Customer wise Sales  History ( WITHOUT VAT)</t>
  </si>
  <si>
    <t>24-0355</t>
  </si>
  <si>
    <t>24-0356</t>
  </si>
  <si>
    <t>24-0357</t>
  </si>
  <si>
    <t>Double Wall Vacuum Water bottle ,Eco-neutral A5 Cork Fabric Hard Cover Notebook and Pen Set-Red, Bookmark,Desk Calendar 2025</t>
  </si>
  <si>
    <t>24-0358</t>
  </si>
  <si>
    <t>24-0359</t>
  </si>
  <si>
    <t xml:space="preserve"> 100056728700003</t>
  </si>
  <si>
    <t>Paper bag and Pennant</t>
  </si>
  <si>
    <t>Stickers</t>
  </si>
  <si>
    <t>Business cards</t>
  </si>
  <si>
    <t>24-0360</t>
  </si>
  <si>
    <t>24-0361</t>
  </si>
  <si>
    <t>MSB Private School</t>
  </si>
  <si>
    <t>100536270000003</t>
  </si>
  <si>
    <t>Notebooks</t>
  </si>
  <si>
    <t xml:space="preserve">Spiral Notebooks,Pen (Plastic), Water bottle, Mug with cork base with lid, Jute Bag </t>
  </si>
  <si>
    <t>24-0362</t>
  </si>
  <si>
    <t>24-0363</t>
  </si>
  <si>
    <t>Wall Sticker - Phone bhooth</t>
  </si>
  <si>
    <t>SWISS BUSINESS COUNCIL (DMCC BRANCH)</t>
  </si>
  <si>
    <t>100212272700003</t>
  </si>
  <si>
    <t>Membership Directory 2025-26</t>
  </si>
  <si>
    <t>24-0364</t>
  </si>
  <si>
    <t>24-0365</t>
  </si>
  <si>
    <t>24-0366</t>
  </si>
  <si>
    <t>Brochure - (DBSEH)</t>
  </si>
  <si>
    <t xml:space="preserve">Santhome Round Neck Tshirt (Premium) </t>
  </si>
  <si>
    <t xml:space="preserve">Flyer </t>
  </si>
  <si>
    <t>AUSTRAL INTERNATIONAL DMCC</t>
  </si>
  <si>
    <t>AUSTRAL INTERNATIONAL FZE</t>
  </si>
  <si>
    <t>GULFTAINER</t>
  </si>
  <si>
    <t>GULTAINER COMPANY LIMITED - IRAQ BRANCH</t>
  </si>
  <si>
    <t>MOMENTUM COMPANY LIMITED SAUDI ARABIA</t>
  </si>
  <si>
    <t>MOMENTUM LOGISTICS</t>
  </si>
  <si>
    <t>NAVITAS - MURDOCH UNIVERSITY</t>
  </si>
  <si>
    <t>NAVITAS MIDDLE EAST FZ - LLC</t>
  </si>
  <si>
    <t>NAVITAS SAE FZ - LLC</t>
  </si>
  <si>
    <t>MURDOCH</t>
  </si>
  <si>
    <t>THERMO FISHER SCIENTIFIC MIDDLE EAST</t>
  </si>
  <si>
    <t>THERMO FISHER SCIENTIFIC S.P.A</t>
  </si>
  <si>
    <t>THERMO FISHER</t>
  </si>
  <si>
    <t>UNIQUE WORLD BUSINESS CENTRE LLC</t>
  </si>
  <si>
    <t>UNIQUE WORLD BUSINESS CENTRE LLC-(BR)</t>
  </si>
  <si>
    <t>UNIQUE WORLD BUSINESS CENTRE LLC-(HO)</t>
  </si>
  <si>
    <t>UNIQUE WORLD BUSINESS</t>
  </si>
  <si>
    <t>24-0367</t>
  </si>
  <si>
    <t>24-0368</t>
  </si>
  <si>
    <t>24-0369</t>
  </si>
  <si>
    <t>24-0370</t>
  </si>
  <si>
    <t xml:space="preserve">Staff ID Card priting, Lanyard (Ready made) </t>
  </si>
  <si>
    <t>Flyer – Dubai School</t>
  </si>
  <si>
    <t>A5 Notepad (top glue)  Taaleem</t>
  </si>
  <si>
    <t>24-0371</t>
  </si>
  <si>
    <t>VIP Magnetic cord  lanyard</t>
  </si>
  <si>
    <t>24-0372</t>
  </si>
  <si>
    <t>24-0373</t>
  </si>
  <si>
    <t>24-0374</t>
  </si>
  <si>
    <t>24-0375</t>
  </si>
  <si>
    <t>24-0376</t>
  </si>
  <si>
    <t>24-0377</t>
  </si>
  <si>
    <t>Brochure - 7 fold JBS</t>
  </si>
  <si>
    <t>Flags &amp; Banners (GIS)</t>
  </si>
  <si>
    <t>TETR College of Business</t>
  </si>
  <si>
    <t>Cotton tote bag, Cork base Mug</t>
  </si>
  <si>
    <t>Year Book -GIS</t>
  </si>
  <si>
    <t>Kaizen Business Consultants</t>
  </si>
  <si>
    <t>100596449700003</t>
  </si>
  <si>
    <t>24-0378</t>
  </si>
  <si>
    <t>24-0379</t>
  </si>
  <si>
    <t>24-0380</t>
  </si>
  <si>
    <t>Change of Fabric for Backdrop &amp; Flag</t>
  </si>
  <si>
    <t>RIMO Pharmaceuticals DMCC</t>
  </si>
  <si>
    <t xml:space="preserve">Office signage </t>
  </si>
  <si>
    <t>24-0381</t>
  </si>
  <si>
    <t>24-0382</t>
  </si>
  <si>
    <t>24-0383</t>
  </si>
  <si>
    <t>24-0384</t>
  </si>
  <si>
    <t>24-0385</t>
  </si>
  <si>
    <t>24-0386</t>
  </si>
  <si>
    <t>24-0387</t>
  </si>
  <si>
    <t>24-0388</t>
  </si>
  <si>
    <t>24-0389</t>
  </si>
  <si>
    <t>A4 Paper Bag - Vertical</t>
  </si>
  <si>
    <t xml:space="preserve">Directory signage, Mr. Selvam's office wall branding, Entrance Glass door branding, Rollup </t>
  </si>
  <si>
    <t xml:space="preserve">Sticker on supplied board </t>
  </si>
  <si>
    <t>IN</t>
  </si>
  <si>
    <t xml:space="preserve"> 100540543400003</t>
  </si>
  <si>
    <t>Medical Complaints &amp; History Cards</t>
  </si>
  <si>
    <t>Al Jalila Foundation</t>
  </si>
  <si>
    <t>100347786400003</t>
  </si>
  <si>
    <t>Diary - TWIN NOTE, Metal Pen , Name board, Tissue box with tissues , A4 Certificate Holder, Pocket folder , PU Leather Holder, Notepad (top glue), Tea Coaster , Shopping Paper Bag</t>
  </si>
  <si>
    <t>Frankfinn Institute of Air Hostess Training FZ LLC</t>
  </si>
  <si>
    <t>24-0390</t>
  </si>
  <si>
    <t>24-0391</t>
  </si>
  <si>
    <t>24-0392</t>
  </si>
  <si>
    <t>24-0393</t>
  </si>
  <si>
    <t>Rollups, Signage</t>
  </si>
  <si>
    <t>100241312600003</t>
  </si>
  <si>
    <t>Gardner Denver FZE</t>
  </si>
  <si>
    <t>100035896800003</t>
  </si>
  <si>
    <t>'100542487200003</t>
  </si>
  <si>
    <t>Instagram frames - DBSJ , Star stickers</t>
  </si>
  <si>
    <t xml:space="preserve">Metal Pen, Twin Note Book , </t>
  </si>
  <si>
    <t>Dummy</t>
  </si>
  <si>
    <t>Name board</t>
  </si>
  <si>
    <t>24-0394</t>
  </si>
  <si>
    <t>24-0395</t>
  </si>
  <si>
    <t>24-0396</t>
  </si>
  <si>
    <t>24-0397</t>
  </si>
  <si>
    <t>Yearbook (UIS)</t>
  </si>
  <si>
    <t>Rollups, Lanyard</t>
  </si>
  <si>
    <t xml:space="preserve">Website Designing and Development </t>
  </si>
  <si>
    <t>24-0398</t>
  </si>
  <si>
    <t>Business Cards and Letterhead</t>
  </si>
  <si>
    <t>BNI Polaris</t>
  </si>
  <si>
    <t>24-0399</t>
  </si>
  <si>
    <t>Card +Envelope</t>
  </si>
  <si>
    <t>24-0400</t>
  </si>
  <si>
    <t xml:space="preserve"> 104146932900003</t>
  </si>
  <si>
    <t>Gift tag with die cut</t>
  </si>
  <si>
    <t>24-0401</t>
  </si>
  <si>
    <t>24-0402</t>
  </si>
  <si>
    <t>24-0403</t>
  </si>
  <si>
    <t>Table Cloth-Trinity College Dublin</t>
  </si>
  <si>
    <t>Four Corners Printing Press LLC</t>
  </si>
  <si>
    <t>Water Dispenser cover</t>
  </si>
  <si>
    <t>Genenis Digital Assets Limited</t>
  </si>
  <si>
    <t>Jul</t>
  </si>
  <si>
    <t>24-0404</t>
  </si>
  <si>
    <t>24-0405</t>
  </si>
  <si>
    <t>24-0406</t>
  </si>
  <si>
    <t>Saint Vincent Group GT LLC</t>
  </si>
  <si>
    <t xml:space="preserve"> 100272379700003</t>
  </si>
  <si>
    <t>Executive Formal Shirts (Long sleeves)</t>
  </si>
  <si>
    <t xml:space="preserve">A5 Booklet – DBSEH </t>
  </si>
  <si>
    <t xml:space="preserve"> </t>
  </si>
  <si>
    <t>24-0342 A</t>
  </si>
  <si>
    <t>24-0407</t>
  </si>
  <si>
    <t>24-0408</t>
  </si>
  <si>
    <t>Roll Up banner</t>
  </si>
  <si>
    <t>24-0409</t>
  </si>
  <si>
    <t>24-0410</t>
  </si>
  <si>
    <t>24-0411</t>
  </si>
  <si>
    <t>24-0412</t>
  </si>
  <si>
    <t>BorgRollsWarner Middle East LLC</t>
  </si>
  <si>
    <t>Certificate</t>
  </si>
  <si>
    <t>Sports bibs</t>
  </si>
  <si>
    <t>CHINT MIDDLE EAST AND AFRICA DMCC</t>
  </si>
  <si>
    <t xml:space="preserve"> 100444367500003</t>
  </si>
  <si>
    <t>24-0413</t>
  </si>
  <si>
    <t>A5 Envelope</t>
  </si>
  <si>
    <t>24-0414</t>
  </si>
  <si>
    <t>Designing charges, Designing charges - 6 months</t>
  </si>
  <si>
    <t>24-0415</t>
  </si>
  <si>
    <t>BNI</t>
  </si>
  <si>
    <t>24-0416</t>
  </si>
  <si>
    <t>24-0417</t>
  </si>
  <si>
    <t>24-0418</t>
  </si>
  <si>
    <t>24-0419</t>
  </si>
  <si>
    <t>24-0420</t>
  </si>
  <si>
    <t>24-0421</t>
  </si>
  <si>
    <t>24-0422</t>
  </si>
  <si>
    <t>24-0423</t>
  </si>
  <si>
    <t>24-0424</t>
  </si>
  <si>
    <t>24-0425</t>
  </si>
  <si>
    <t>24-0426</t>
  </si>
  <si>
    <t>24-0427</t>
  </si>
  <si>
    <t>Rollup,  Agenda card , Table Tent , Name badges , Certificate , Wide Flame Crystal Awards, Table tent ,  Recycled Bluetooth Speaker, A5 Cue Cards</t>
  </si>
  <si>
    <t>Waterline Freight Solutions LLC</t>
  </si>
  <si>
    <t xml:space="preserve"> 100361059700003</t>
  </si>
  <si>
    <t/>
  </si>
  <si>
    <t>Medical Regulations Gate</t>
  </si>
  <si>
    <t>Door Branding</t>
  </si>
  <si>
    <t>Beyond Infinity Technical Services Contracting LLC</t>
  </si>
  <si>
    <t>Ducon Industries FZCO (Dubai Branch)</t>
  </si>
  <si>
    <t>100386329500003</t>
  </si>
  <si>
    <t>Ducon ODL Concept Brochure</t>
  </si>
  <si>
    <t xml:space="preserve">ID card ,  ID card holder (men), Reel badge (Male), Lanyard (Ready made) (female), </t>
  </si>
  <si>
    <t xml:space="preserve"> 100494671900003</t>
  </si>
  <si>
    <t>GAGANDEEP</t>
  </si>
  <si>
    <t>24-0428</t>
  </si>
  <si>
    <t>24-0429</t>
  </si>
  <si>
    <t>24-0430</t>
  </si>
  <si>
    <t>24-0431</t>
  </si>
  <si>
    <t xml:space="preserve">Brochure folder ,Non woven bag (Horizontal) </t>
  </si>
  <si>
    <t>MAV Access LLC</t>
  </si>
  <si>
    <t>100595462100003</t>
  </si>
  <si>
    <t xml:space="preserve">Coverall </t>
  </si>
  <si>
    <t>100246622300003</t>
  </si>
  <si>
    <t xml:space="preserve">Paper bags </t>
  </si>
  <si>
    <t xml:space="preserve">Non Woven Bag, Lanyard (Customized) </t>
  </si>
  <si>
    <t>24-0432</t>
  </si>
  <si>
    <t>24-0433</t>
  </si>
  <si>
    <t>24-0434</t>
  </si>
  <si>
    <t>24-0435</t>
  </si>
  <si>
    <t>24-0436</t>
  </si>
  <si>
    <t>24-0437</t>
  </si>
  <si>
    <t>Rollups - Al Ghad Nursery - Abu Dhabi, Spiral Notebook (side spiral)</t>
  </si>
  <si>
    <t>UAE Flag - ESE – Dubai| Al Maktoum Primary School,  UAE Flag</t>
  </si>
  <si>
    <t>24-0438</t>
  </si>
  <si>
    <t>ORIGA GENERAL CONTRACTING LLC</t>
  </si>
  <si>
    <t>100548855400003</t>
  </si>
  <si>
    <t>ARAM</t>
  </si>
  <si>
    <t>24-0439</t>
  </si>
  <si>
    <t>24-0440</t>
  </si>
  <si>
    <t>Rock Painting Kit</t>
  </si>
  <si>
    <t>Slap sticks</t>
  </si>
  <si>
    <t>24-0441</t>
  </si>
  <si>
    <t>24-0442</t>
  </si>
  <si>
    <t>FAST PLANET FREIGHT BROKER L.L.C</t>
  </si>
  <si>
    <t>104081861700003</t>
  </si>
  <si>
    <t>Selfie Frame - JAS School</t>
  </si>
  <si>
    <t>24-0443</t>
  </si>
  <si>
    <t>24-0444</t>
  </si>
  <si>
    <t>24-0445</t>
  </si>
  <si>
    <t>24-0446</t>
  </si>
  <si>
    <t>24-0447</t>
  </si>
  <si>
    <t>Maintenance Brochure</t>
  </si>
  <si>
    <t>VOXTEL COMMUNICATIONS DMCC</t>
  </si>
  <si>
    <t>100326328000003</t>
  </si>
  <si>
    <t>BLUE TANGERINE MARKETING MANAGEMENT</t>
  </si>
  <si>
    <t>100520639400003</t>
  </si>
  <si>
    <t>2D Designing charges - Exhibition stand</t>
  </si>
  <si>
    <t>24-0448</t>
  </si>
  <si>
    <t>24-0449</t>
  </si>
  <si>
    <t>24-0450</t>
  </si>
  <si>
    <t>24-0451</t>
  </si>
  <si>
    <t>24-0452</t>
  </si>
  <si>
    <t>24-0453</t>
  </si>
  <si>
    <t>24-0454</t>
  </si>
  <si>
    <t>24-0455</t>
  </si>
  <si>
    <t>Brochure - DBSJ</t>
  </si>
  <si>
    <t>Locke Lifestyle Properties</t>
  </si>
  <si>
    <t>Metal badge</t>
  </si>
  <si>
    <t>Hans Larsen Insulated Drinkware gift set</t>
  </si>
  <si>
    <t>Selfie Frame, Props, Balloons</t>
  </si>
  <si>
    <t>IBM Global Middle East FZCO</t>
  </si>
  <si>
    <t>Designing</t>
  </si>
  <si>
    <t>Polo shirts , Rollup, Brochure - 4 fold - OE</t>
  </si>
  <si>
    <t>24-0456</t>
  </si>
  <si>
    <t>24-0457</t>
  </si>
  <si>
    <t>Paper Cups (Double Wall)</t>
  </si>
  <si>
    <t>24-0458</t>
  </si>
  <si>
    <t xml:space="preserve">Trophy </t>
  </si>
  <si>
    <t>24-0459</t>
  </si>
  <si>
    <t>24-0460</t>
  </si>
  <si>
    <t>24-0461</t>
  </si>
  <si>
    <t>Aug</t>
  </si>
  <si>
    <t>THE SUB 1500  and less</t>
  </si>
  <si>
    <t>24-0462</t>
  </si>
  <si>
    <t>24-0463</t>
  </si>
  <si>
    <t>24-0464</t>
  </si>
  <si>
    <t>24-0465</t>
  </si>
  <si>
    <t>24-0466</t>
  </si>
  <si>
    <t>24-0467</t>
  </si>
  <si>
    <t>24-0468</t>
  </si>
  <si>
    <t>24-0469</t>
  </si>
  <si>
    <t>24-0470</t>
  </si>
  <si>
    <t>24-0471</t>
  </si>
  <si>
    <t xml:space="preserve">A4 Envelope </t>
  </si>
  <si>
    <t xml:space="preserve">Lanyards (customized) </t>
  </si>
  <si>
    <t>Hard cover notebook  - Spiral binding - Charter School</t>
  </si>
  <si>
    <t>IDP Education Ltd. (Abu Dhabi)</t>
  </si>
  <si>
    <t>IELTS Printing - Daisy</t>
  </si>
  <si>
    <t xml:space="preserve">Bunting Flags (Raha School) </t>
  </si>
  <si>
    <t>Concept Video Boards</t>
  </si>
  <si>
    <t xml:space="preserve">Color Pencil box </t>
  </si>
  <si>
    <t>July</t>
  </si>
  <si>
    <t>June</t>
  </si>
  <si>
    <t>24-0472</t>
  </si>
  <si>
    <t>Metal Badges</t>
  </si>
  <si>
    <t>KF MARIYA</t>
  </si>
  <si>
    <t>24-0473</t>
  </si>
  <si>
    <t>Certificates with Frmes</t>
  </si>
  <si>
    <t>The Luxury Real Estate</t>
  </si>
  <si>
    <t>24-0474</t>
  </si>
  <si>
    <t>24-0475</t>
  </si>
  <si>
    <t>24-0476</t>
  </si>
  <si>
    <t>24-0477</t>
  </si>
  <si>
    <t>24-0478</t>
  </si>
  <si>
    <t>24-0479</t>
  </si>
  <si>
    <t>24-0480</t>
  </si>
  <si>
    <t>24-0481</t>
  </si>
  <si>
    <t>24-0482</t>
  </si>
  <si>
    <t>24-0483</t>
  </si>
  <si>
    <t>Brochure sample</t>
  </si>
  <si>
    <t>Taaleem LAPita</t>
  </si>
  <si>
    <t>Hult Investments FZ-LLC</t>
  </si>
  <si>
    <t>Ceramic Mug with Cork Bottom - black</t>
  </si>
  <si>
    <t>Washroom Signages</t>
  </si>
  <si>
    <t xml:space="preserve">Polo Shirt </t>
  </si>
  <si>
    <t>Ms. Ghenwa</t>
  </si>
  <si>
    <t>Round Neck Tshirts (Premium)</t>
  </si>
  <si>
    <t>Miss. Tamara Devenport</t>
  </si>
  <si>
    <t>Career Tree</t>
  </si>
  <si>
    <t>24-0484</t>
  </si>
  <si>
    <t>24-0485</t>
  </si>
  <si>
    <t>24-0486</t>
  </si>
  <si>
    <t>24-0487</t>
  </si>
  <si>
    <t>24-0488</t>
  </si>
  <si>
    <t>24-0489</t>
  </si>
  <si>
    <t>24-0490</t>
  </si>
  <si>
    <t>24-0491</t>
  </si>
  <si>
    <t>24-0492</t>
  </si>
  <si>
    <t>Metal Badges 20</t>
  </si>
  <si>
    <t>Miss Connie</t>
  </si>
  <si>
    <t>Seed Plant and Sticker</t>
  </si>
  <si>
    <t>Al Jalila Foundation in support of Medical Education and Research</t>
  </si>
  <si>
    <t>Ahmed Adventure Book Eng 200 Ara 200</t>
  </si>
  <si>
    <t xml:space="preserve">Instagram frames - DBSJ </t>
  </si>
  <si>
    <t>Taaleem Signing Event</t>
  </si>
  <si>
    <t>Jill Giveways</t>
  </si>
  <si>
    <t>PVC Stickers</t>
  </si>
  <si>
    <t xml:space="preserve">Envelope </t>
  </si>
  <si>
    <t>DUMMY INVOICE - for 50% balance</t>
  </si>
  <si>
    <t>.</t>
  </si>
  <si>
    <t>24-0493</t>
  </si>
  <si>
    <t>Folder/A4 Envelope/DL Envelope</t>
  </si>
  <si>
    <t>Mayer Brown LLP ( DIFC Branch)</t>
  </si>
  <si>
    <t>24-0494</t>
  </si>
  <si>
    <t>24-0495</t>
  </si>
  <si>
    <t>Note book/Folder/pens</t>
  </si>
  <si>
    <t>24-0496</t>
  </si>
  <si>
    <t xml:space="preserve">Ahmed Books Arabic </t>
  </si>
  <si>
    <t>24-0497</t>
  </si>
  <si>
    <t>24-0498</t>
  </si>
  <si>
    <t>24-0499</t>
  </si>
  <si>
    <t>24-0500</t>
  </si>
  <si>
    <t>24-0501</t>
  </si>
  <si>
    <t>24-0502</t>
  </si>
  <si>
    <t>24-0503</t>
  </si>
  <si>
    <t>24-0504</t>
  </si>
  <si>
    <t>24-0505</t>
  </si>
  <si>
    <t>24-0506</t>
  </si>
  <si>
    <t>24-0507</t>
  </si>
  <si>
    <t>24-0508</t>
  </si>
  <si>
    <t>24-0509</t>
  </si>
  <si>
    <t>Halapark Uniforms</t>
  </si>
  <si>
    <t>Interdev Technology LLC</t>
  </si>
  <si>
    <t>Embroidery on Polo Shirts</t>
  </si>
  <si>
    <t>PERI BC 300 * 12</t>
  </si>
  <si>
    <t>DBS J - Back to School</t>
  </si>
  <si>
    <t>Dubai School Khawaneej - Back to School</t>
  </si>
  <si>
    <t>Dubai School Nad Al Sheba - Back to School</t>
  </si>
  <si>
    <t xml:space="preserve">Dubai School Barsha </t>
  </si>
  <si>
    <t xml:space="preserve">GIS - Back to School </t>
  </si>
  <si>
    <t>Polo Shirt (Customized) - Drivers</t>
  </si>
  <si>
    <t>ID card holders (customized)</t>
  </si>
  <si>
    <t>Collaterals _ Moheb</t>
  </si>
  <si>
    <t>Road show Ruby</t>
  </si>
  <si>
    <t>April</t>
  </si>
  <si>
    <t>March</t>
  </si>
  <si>
    <t>February</t>
  </si>
  <si>
    <t>January</t>
  </si>
  <si>
    <t>August</t>
  </si>
  <si>
    <t>September</t>
  </si>
  <si>
    <t>October</t>
  </si>
  <si>
    <t>November</t>
  </si>
  <si>
    <t>December</t>
  </si>
  <si>
    <t>24-0510</t>
  </si>
  <si>
    <t>Website modification</t>
  </si>
  <si>
    <t>24-0511</t>
  </si>
  <si>
    <t>Paper Bags + sample</t>
  </si>
  <si>
    <t xml:space="preserve">Deakin University </t>
  </si>
  <si>
    <t>24-0512</t>
  </si>
  <si>
    <t>Brochures</t>
  </si>
  <si>
    <t xml:space="preserve">Event Lab </t>
  </si>
  <si>
    <t>24-0513</t>
  </si>
  <si>
    <t>At Your Service Productions LLC</t>
  </si>
  <si>
    <t>24-0514</t>
  </si>
  <si>
    <t>24-0515</t>
  </si>
  <si>
    <t>DS Khawaneej Dates and Bus Frame</t>
  </si>
  <si>
    <t>24-0516</t>
  </si>
  <si>
    <t>Travel Kit</t>
  </si>
  <si>
    <t>Pens and Note Book</t>
  </si>
  <si>
    <t>24-0517</t>
  </si>
  <si>
    <t>24-0518</t>
  </si>
  <si>
    <t xml:space="preserve">Brochures/Folders/RU </t>
  </si>
  <si>
    <t>Polo Shirts and Pin badges- 50 % Advance</t>
  </si>
  <si>
    <t>24-0519</t>
  </si>
  <si>
    <t>Tshirts/Hoodies/Vests</t>
  </si>
  <si>
    <t>24-0520</t>
  </si>
  <si>
    <t>MDF Panel</t>
  </si>
  <si>
    <t>24-0521</t>
  </si>
  <si>
    <t>24-0522</t>
  </si>
  <si>
    <t>24-0523</t>
  </si>
  <si>
    <t>24-0524</t>
  </si>
  <si>
    <t>24-0525</t>
  </si>
  <si>
    <t>24-0526</t>
  </si>
  <si>
    <t>24-0527</t>
  </si>
  <si>
    <t>24-0528</t>
  </si>
  <si>
    <t>24-0529</t>
  </si>
  <si>
    <t>24-0530</t>
  </si>
  <si>
    <t>24-0531</t>
  </si>
  <si>
    <t>24-0532</t>
  </si>
  <si>
    <t>24-0533</t>
  </si>
  <si>
    <t>24-0534</t>
  </si>
  <si>
    <t>24-0535</t>
  </si>
  <si>
    <t>24-0536</t>
  </si>
  <si>
    <t>24-0537</t>
  </si>
  <si>
    <t>24-0538</t>
  </si>
  <si>
    <t>24-0539</t>
  </si>
  <si>
    <t>24-0540</t>
  </si>
  <si>
    <t>24-0541</t>
  </si>
  <si>
    <t>Pens and Folders</t>
  </si>
  <si>
    <t>GULFTAINER COMPANY LIMITED</t>
  </si>
  <si>
    <t>Calendars 2025</t>
  </si>
  <si>
    <t>Boards - Augst</t>
  </si>
  <si>
    <t>Curve Flags- RAHA</t>
  </si>
  <si>
    <t>Brochure CORWIN</t>
  </si>
  <si>
    <t>LH-FICHTE/OBAID</t>
  </si>
  <si>
    <t>Taaleem A5 Note Books</t>
  </si>
  <si>
    <t>EDU Brand &amp; Bin Khaldoon Institute</t>
  </si>
  <si>
    <t>Year Book JAS</t>
  </si>
  <si>
    <t>Mascot Book mark and acrylic</t>
  </si>
  <si>
    <t>Glass Branding - Showroom timings</t>
  </si>
  <si>
    <t>Business card- Amanda</t>
  </si>
  <si>
    <t>Taaleem Gift Boxes</t>
  </si>
  <si>
    <t>VOID - ADDED TO INV 508</t>
  </si>
  <si>
    <t>Symbiosis International University</t>
  </si>
  <si>
    <t>24-0542</t>
  </si>
  <si>
    <t>24-0543</t>
  </si>
  <si>
    <t>24-0544</t>
  </si>
  <si>
    <t>24-0545</t>
  </si>
  <si>
    <t>24-0546</t>
  </si>
  <si>
    <t>24-0547</t>
  </si>
  <si>
    <t>24-0548</t>
  </si>
  <si>
    <t>24-0549</t>
  </si>
  <si>
    <t>24-0550</t>
  </si>
  <si>
    <t>24-0551</t>
  </si>
  <si>
    <t>24-0552</t>
  </si>
  <si>
    <t>ID card printing</t>
  </si>
  <si>
    <t>Desk Calendar 2025 - CST</t>
  </si>
  <si>
    <t xml:space="preserve">Metal badge - White &amp; Tote bag - Cotton canvas bag </t>
  </si>
  <si>
    <t>Technological University of the Shannon | TUS</t>
  </si>
  <si>
    <t>Brochure, Desktop Rollup, Rollup Banner, Table cloth &amp; A5 flyer</t>
  </si>
  <si>
    <t>A4 Flyer</t>
  </si>
  <si>
    <t xml:space="preserve">Aurantius Real Estate </t>
  </si>
  <si>
    <t>24-0553</t>
  </si>
  <si>
    <t>24-0554</t>
  </si>
  <si>
    <t>24-0555</t>
  </si>
  <si>
    <t>24-0556</t>
  </si>
  <si>
    <t xml:space="preserve">Payment voucher - World Data </t>
  </si>
  <si>
    <t xml:space="preserve">VL MEA Marketing Management Ltd </t>
  </si>
  <si>
    <t>Lanyard, A5 Notebook - Veralto &amp; A5 Notebook - HACH</t>
  </si>
  <si>
    <t xml:space="preserve">Rollup Banner, A3 Desktop Rollup &amp; A4 Flyer </t>
  </si>
  <si>
    <t xml:space="preserve">Office Door Glass Branding, Recreating CACOGES logo &amp; Website Designing and Development </t>
  </si>
  <si>
    <t>Pop Up Banner - RAHA School</t>
  </si>
  <si>
    <t>Mr. Helmi Abdullah</t>
  </si>
  <si>
    <t xml:space="preserve">A4 Landscape Farewell book </t>
  </si>
  <si>
    <t>Trifold flyer</t>
  </si>
  <si>
    <t>24-0557</t>
  </si>
  <si>
    <t>24-0558</t>
  </si>
  <si>
    <t>24-0559</t>
  </si>
  <si>
    <t>24-0560</t>
  </si>
  <si>
    <t>24-0561</t>
  </si>
  <si>
    <t>24-0562</t>
  </si>
  <si>
    <t>24-0563</t>
  </si>
  <si>
    <t>24-0564</t>
  </si>
  <si>
    <t>24-0565</t>
  </si>
  <si>
    <t>24-0566</t>
  </si>
  <si>
    <t>24-0567</t>
  </si>
  <si>
    <t>24-0568</t>
  </si>
  <si>
    <t>24-0569</t>
  </si>
  <si>
    <t>Dummy Cheque</t>
  </si>
  <si>
    <t>Polo Shirts (Kids)</t>
  </si>
  <si>
    <t>Unique Pathfinders General Trading LLC</t>
  </si>
  <si>
    <t>Chair Covers - Baboon VC (customized)</t>
  </si>
  <si>
    <t>Outdoor Signage</t>
  </si>
  <si>
    <t>Event Lab FZ LLC</t>
  </si>
  <si>
    <t xml:space="preserve">Polo Shirt &amp; Pin badges </t>
  </si>
  <si>
    <t>Warehouse Delivery Note</t>
  </si>
  <si>
    <t>Brochure-1.	Family Businesses in the Emirate of Dubai, Brochure-2.	Spotlight: Private Wealth &amp; Family Offices, Notepad - Top Glue &amp; Gift tags</t>
  </si>
  <si>
    <t>Notepad left spiral - Taaleem</t>
  </si>
  <si>
    <t>Luggage Tags - PVC &amp; Car Sunshade</t>
  </si>
  <si>
    <t>Flyers, A4 Flyer, Bookmark, Peel off sticker, A3 Desktop Rollup, Rollup Banner, Pens (Metal), Table Cloth, Transportation, Bank charges previously deducted &amp; Bank charges for current Invoice</t>
  </si>
  <si>
    <t>Momentum Logistics LLC</t>
  </si>
  <si>
    <t>Desk Calendar 2025</t>
  </si>
  <si>
    <t>24-0570</t>
  </si>
  <si>
    <t>24-0571</t>
  </si>
  <si>
    <t>24-0572</t>
  </si>
  <si>
    <t>24-0573</t>
  </si>
  <si>
    <t>24-0574</t>
  </si>
  <si>
    <t>24-0575</t>
  </si>
  <si>
    <t>24-0576</t>
  </si>
  <si>
    <t>Gulftainer Company Limited</t>
  </si>
  <si>
    <t>Gulftainer Company Limited - Iraq Branch</t>
  </si>
  <si>
    <t>TAM TRADING FZ-LLC</t>
  </si>
  <si>
    <t>Brochure ( Offset Printing )</t>
  </si>
  <si>
    <t>UKCBC</t>
  </si>
  <si>
    <t>Sampling cost for Brochures</t>
  </si>
  <si>
    <t>24-0577</t>
  </si>
  <si>
    <t>24-0578</t>
  </si>
  <si>
    <t>24-0579</t>
  </si>
  <si>
    <t>24-0580</t>
  </si>
  <si>
    <t>24-0581</t>
  </si>
  <si>
    <t>24-0582</t>
  </si>
  <si>
    <t>24-0583</t>
  </si>
  <si>
    <t>24-0584</t>
  </si>
  <si>
    <t>24-0585</t>
  </si>
  <si>
    <t>24-0586</t>
  </si>
  <si>
    <t>24-0587</t>
  </si>
  <si>
    <t>24-0588</t>
  </si>
  <si>
    <t>24-0589</t>
  </si>
  <si>
    <t>24-0590</t>
  </si>
  <si>
    <t>24-0591</t>
  </si>
  <si>
    <t>24-0592</t>
  </si>
  <si>
    <t>24-0593</t>
  </si>
  <si>
    <t>24-0594</t>
  </si>
  <si>
    <t>24-0595</t>
  </si>
  <si>
    <t>24-0596</t>
  </si>
  <si>
    <t>24-0597</t>
  </si>
  <si>
    <t>24-0598</t>
  </si>
  <si>
    <t>24-0599</t>
  </si>
  <si>
    <t>Volunteer's vest (customized), Business Cards - Abu Dhabi</t>
  </si>
  <si>
    <t>Onestep Global Ingress Private Limited</t>
  </si>
  <si>
    <t xml:space="preserve">Desktop Rollup, A4 flyer  </t>
  </si>
  <si>
    <t xml:space="preserve">George Brown College </t>
  </si>
  <si>
    <t>Brochure, Delivery charges (Abu Dhabi/Dubai)</t>
  </si>
  <si>
    <t>Tshirts  - Raha International School</t>
  </si>
  <si>
    <t>Rollup Banners - Dubai School</t>
  </si>
  <si>
    <t xml:space="preserve">Tshirt (round neck) </t>
  </si>
  <si>
    <t>Payment voucher - Aurantius</t>
  </si>
  <si>
    <t xml:space="preserve">Flyer, MBA trifold Flyer, Stickers, Metal Pens, Student course guide, Tote Bag    </t>
  </si>
  <si>
    <t>Eco-neutral A5 Cork Fabric Hard Cover Notebook and Pen Set - Red, Bookmark, Desk Calendar 2025</t>
  </si>
  <si>
    <t>Table Cloth, Rollup Banner, X banner</t>
  </si>
  <si>
    <t>A4 Flyer  - Shelby's stock</t>
  </si>
  <si>
    <t>A4 Flyer - HRM</t>
  </si>
  <si>
    <t>Campus branding: Phase 1</t>
  </si>
  <si>
    <t>Flag Pole and base, Transportation</t>
  </si>
  <si>
    <t>24-0600</t>
  </si>
  <si>
    <t>Polo Shirts (Customized) and Reel Badges</t>
  </si>
  <si>
    <t>24-0601</t>
  </si>
  <si>
    <t>24-0602</t>
  </si>
  <si>
    <t>24-0603</t>
  </si>
  <si>
    <t>24-0604</t>
  </si>
  <si>
    <t>24-0605</t>
  </si>
  <si>
    <t>24-0606</t>
  </si>
  <si>
    <t>24-0607</t>
  </si>
  <si>
    <t>24-0608</t>
  </si>
  <si>
    <t>24-0609</t>
  </si>
  <si>
    <t>24-0610</t>
  </si>
  <si>
    <t>24-0611</t>
  </si>
  <si>
    <t>24-0612</t>
  </si>
  <si>
    <t>24-0613</t>
  </si>
  <si>
    <t>24-0614</t>
  </si>
  <si>
    <t>24-0615</t>
  </si>
  <si>
    <t>24-0616</t>
  </si>
  <si>
    <t>24-0617</t>
  </si>
  <si>
    <t>24-0618</t>
  </si>
  <si>
    <t>24-0619</t>
  </si>
  <si>
    <t>24-0621</t>
  </si>
  <si>
    <t>24-0622</t>
  </si>
  <si>
    <t>24-0623</t>
  </si>
  <si>
    <t>24-0624</t>
  </si>
  <si>
    <t>24-0626</t>
  </si>
  <si>
    <t>24-0627</t>
  </si>
  <si>
    <t xml:space="preserve"> BLACKSWAN BUSINESS CENTER L.L.C</t>
  </si>
  <si>
    <t xml:space="preserve">Mug </t>
  </si>
  <si>
    <t xml:space="preserve">Advertising Flag and Installation charges for 2 Flags </t>
  </si>
  <si>
    <t xml:space="preserve">Letter Prints for Taaleem box </t>
  </si>
  <si>
    <t xml:space="preserve">DBSEH-My Activity  Book </t>
  </si>
  <si>
    <t>Dubai School-Coloring Book</t>
  </si>
  <si>
    <t>8 fold brochure  - Dubai School,Qty : 300 English and Qty : 300 Arabic</t>
  </si>
  <si>
    <t>Taaleem Cancer A6 card</t>
  </si>
  <si>
    <t>Booth branding - BNI 27-28th Sept 2024</t>
  </si>
  <si>
    <t>Sunbeam homes</t>
  </si>
  <si>
    <t>JNT Car Rentals</t>
  </si>
  <si>
    <t>A4 Flyers</t>
  </si>
  <si>
    <t>Supplies done in September, 2024</t>
  </si>
  <si>
    <t>DEAKIN University</t>
  </si>
  <si>
    <t>Brochure Shipment Charges and Brochure (Additional Printed)</t>
  </si>
  <si>
    <t>Business Card and Delivery Charge</t>
  </si>
  <si>
    <t xml:space="preserve">3 fold Flyer and Brochure </t>
  </si>
  <si>
    <t xml:space="preserve">Non woven Bag (Vertical) </t>
  </si>
  <si>
    <t>Peel off Stickers</t>
  </si>
  <si>
    <t>Dubai and Abu Dhabi Roadshow 22 Sept 24</t>
  </si>
  <si>
    <t>Void see inv 24-0624</t>
  </si>
  <si>
    <t>24-0628</t>
  </si>
  <si>
    <t>24-0629</t>
  </si>
  <si>
    <t>24-0630</t>
  </si>
  <si>
    <t>24-0631</t>
  </si>
  <si>
    <t>24-0632</t>
  </si>
  <si>
    <t>24-0633</t>
  </si>
  <si>
    <t>24-0634</t>
  </si>
  <si>
    <t>Business cards, Delivery Charge</t>
  </si>
  <si>
    <t>Navitas SAE FZ LLC</t>
  </si>
  <si>
    <t xml:space="preserve">Stickers with die-cut </t>
  </si>
  <si>
    <t>Flags</t>
  </si>
  <si>
    <t>Access cards</t>
  </si>
  <si>
    <t>24-0635</t>
  </si>
  <si>
    <t>Desk Calendar 2025 - Passenger and Truck Calendars</t>
  </si>
  <si>
    <t>Void see inv 24-0619</t>
  </si>
  <si>
    <t>24-0636</t>
  </si>
  <si>
    <t>UCAS Flyers and SES Flyers</t>
  </si>
  <si>
    <t>24-0637</t>
  </si>
  <si>
    <t>24-0638</t>
  </si>
  <si>
    <t xml:space="preserve">DBS Mira-A5 flyer, Rollup and Business cards   </t>
  </si>
  <si>
    <t>24-0639</t>
  </si>
  <si>
    <t>24-0640</t>
  </si>
  <si>
    <t>24-0641</t>
  </si>
  <si>
    <t>24-0642</t>
  </si>
  <si>
    <t>24-0643</t>
  </si>
  <si>
    <t>24-0644</t>
  </si>
  <si>
    <t>24-0645</t>
  </si>
  <si>
    <t>24-0646</t>
  </si>
  <si>
    <t>DS Khawaneej-A. Banner with installation (tape)</t>
  </si>
  <si>
    <t>McMaster-Booth branding - Sharjah Expo 9-12th Oct 2024</t>
  </si>
  <si>
    <t xml:space="preserve">A4 Flyers </t>
  </si>
  <si>
    <t xml:space="preserve">DBSJP- Paper Cups </t>
  </si>
  <si>
    <t>Taaleem Teachers A6 card</t>
  </si>
  <si>
    <t xml:space="preserve">Genz Stickers </t>
  </si>
  <si>
    <t xml:space="preserve">Spiral Notebooks, Pen (Plastic), Water bottle, Mug with cork base with lid and Jute Bag </t>
  </si>
  <si>
    <t>24-0620</t>
  </si>
  <si>
    <t>24-0625</t>
  </si>
  <si>
    <t>24-0647</t>
  </si>
  <si>
    <t>24-0648</t>
  </si>
  <si>
    <t>24-0649</t>
  </si>
  <si>
    <t>24-0650</t>
  </si>
  <si>
    <t>24-0651</t>
  </si>
  <si>
    <t>Royex Technologies L.L.C</t>
  </si>
  <si>
    <t>24-0652</t>
  </si>
  <si>
    <t xml:space="preserve">Stress ball, Metal Pen  </t>
  </si>
  <si>
    <t>24-0653</t>
  </si>
  <si>
    <t>Business Card, Canada Flag</t>
  </si>
  <si>
    <t>24-0654</t>
  </si>
  <si>
    <t>24-0655</t>
  </si>
  <si>
    <t xml:space="preserve">DBS J-Leaflet – 3 fold(Offset)  </t>
  </si>
  <si>
    <t>24-0656</t>
  </si>
  <si>
    <t>Binghatti Developers FZE</t>
  </si>
  <si>
    <t>Non woven Bag</t>
  </si>
  <si>
    <t xml:space="preserve">MAV Access LLC </t>
  </si>
  <si>
    <t>24-0657</t>
  </si>
  <si>
    <t>Coverall</t>
  </si>
  <si>
    <t>DM</t>
  </si>
  <si>
    <t>24-0658</t>
  </si>
  <si>
    <t>Business Cards-Tamer Salim</t>
  </si>
  <si>
    <t>24-0659</t>
  </si>
  <si>
    <t>Polo shirts (kids)</t>
  </si>
  <si>
    <t>24-0660</t>
  </si>
  <si>
    <t>24-0661</t>
  </si>
  <si>
    <t>24-0662</t>
  </si>
  <si>
    <t>24-0663</t>
  </si>
  <si>
    <t>24-0664</t>
  </si>
  <si>
    <t>Student and Staff ID PVC Card</t>
  </si>
  <si>
    <t xml:space="preserve">Metal badge  - LEMON Pin Badges </t>
  </si>
  <si>
    <t>Healy Consultants</t>
  </si>
  <si>
    <t>Vinyl Stickers</t>
  </si>
  <si>
    <t>Mobile Business Company JSC</t>
  </si>
  <si>
    <t>Embroidery</t>
  </si>
  <si>
    <t>Business cards-Julius Reyes</t>
  </si>
  <si>
    <t>24-0665</t>
  </si>
  <si>
    <t>Rollup Banner, A5 Flyer, Rollup Banners (Standard), Fascia Branding</t>
  </si>
  <si>
    <t>24-0666</t>
  </si>
  <si>
    <t>VOID See Inv 24-0667</t>
  </si>
  <si>
    <t>Tshirts - Raha International School</t>
  </si>
  <si>
    <t>24-0667</t>
  </si>
  <si>
    <t>24-0668</t>
  </si>
  <si>
    <t xml:space="preserve">Flyer - 2 fold  (Al Rashed - English, Chinese and Al Nahi - English, Chinese, Arabic)   </t>
  </si>
  <si>
    <t>24-0669</t>
  </si>
  <si>
    <t>Flower Box, Vehicle branding ( Mitsubishi Xpander,Suzuki Ertiga)</t>
  </si>
  <si>
    <t>SABARISH</t>
  </si>
  <si>
    <t>Regent Institute Middle East FZ-LLC</t>
  </si>
  <si>
    <t>24-0670</t>
  </si>
  <si>
    <t>Trifold Flyer - Rime Patson-Trifold Flyer - RCL Patson</t>
  </si>
  <si>
    <t>24-0671</t>
  </si>
  <si>
    <t xml:space="preserve">Vinyl sticker on 5mm foamboard </t>
  </si>
  <si>
    <t>24-0672</t>
  </si>
  <si>
    <t>Technological University of the Shannon TUS</t>
  </si>
  <si>
    <t xml:space="preserve">A5 Hardcover Ruled Notebook Glossy, Pen (Metal), Rollup Banner  </t>
  </si>
  <si>
    <t>24-0673</t>
  </si>
  <si>
    <t>Abdos Lamitubes Manufacturing LLC</t>
  </si>
  <si>
    <t>Note Book(Engraving and Debossing), Pen (Metal)</t>
  </si>
  <si>
    <t>24-0674</t>
  </si>
  <si>
    <t xml:space="preserve">ECOTAG Box </t>
  </si>
  <si>
    <t>24-0675</t>
  </si>
  <si>
    <t>Wall Calendar 2025</t>
  </si>
  <si>
    <t>24-0676</t>
  </si>
  <si>
    <t>IELTS Printing - Taaeen, Transcend and International Foundation Group</t>
  </si>
  <si>
    <t>24-0677</t>
  </si>
  <si>
    <t xml:space="preserve">Applus </t>
  </si>
  <si>
    <t xml:space="preserve">Sample cost – Sunshade </t>
  </si>
  <si>
    <t>24-0678</t>
  </si>
  <si>
    <t>24-0679</t>
  </si>
  <si>
    <t xml:space="preserve">Pen (Plastic), Business cards and A6 Cards </t>
  </si>
  <si>
    <t>24-0680</t>
  </si>
  <si>
    <t>24-0681</t>
  </si>
  <si>
    <t>Pens, Tote Bag and Transportation to Abu Dhabi</t>
  </si>
  <si>
    <t>Axis Workshop</t>
  </si>
  <si>
    <t>24-0682</t>
  </si>
  <si>
    <t>Car Mat</t>
  </si>
  <si>
    <t>24-0683</t>
  </si>
  <si>
    <t>A5 Envelope (Individual name printing)</t>
  </si>
  <si>
    <t>24-0684</t>
  </si>
  <si>
    <t>Warriors Cricket</t>
  </si>
  <si>
    <t>24-0685</t>
  </si>
  <si>
    <t>24-0686</t>
  </si>
  <si>
    <t>24-0687</t>
  </si>
  <si>
    <t>24-0688</t>
  </si>
  <si>
    <t>24-0689</t>
  </si>
  <si>
    <t>24-0690</t>
  </si>
  <si>
    <t>24-0691</t>
  </si>
  <si>
    <t>24-0692</t>
  </si>
  <si>
    <t>24-0693</t>
  </si>
  <si>
    <t>24-0694</t>
  </si>
  <si>
    <t>24-0695</t>
  </si>
  <si>
    <t>24-0696</t>
  </si>
  <si>
    <t>24-0697</t>
  </si>
  <si>
    <t>24-0698</t>
  </si>
  <si>
    <t>Top Spiral Notebook, A4 Envelopes (customized), A4 Notepad (PECUNIA)</t>
  </si>
  <si>
    <t>APPLUS RTD GULF DMCC</t>
  </si>
  <si>
    <t xml:space="preserve">Sunshade - Material : Silver/Black - Polyester </t>
  </si>
  <si>
    <t>The University of Manchester Worldwide Limited</t>
  </si>
  <si>
    <t xml:space="preserve">Tyvek Wrist band with QR code </t>
  </si>
  <si>
    <t>EMA Lubricants Company Ltd</t>
  </si>
  <si>
    <t>Notebooks - NB01, Notebooks - NB05, Notebooks - NB07, Notebooks - NB11</t>
  </si>
  <si>
    <t xml:space="preserve">GMR - Indo Tausch Trading DMCC </t>
  </si>
  <si>
    <t>Business Card - Vikkas Verma</t>
  </si>
  <si>
    <t xml:space="preserve">Business cards - 1000 x 1 names, 500 x 10 names </t>
  </si>
  <si>
    <t xml:space="preserve">Tote Bag- Color: Black </t>
  </si>
  <si>
    <t>Gift Card</t>
  </si>
  <si>
    <t>AUT International Group</t>
  </si>
  <si>
    <t>Zoom Me Global</t>
  </si>
  <si>
    <t>24-0699</t>
  </si>
  <si>
    <t>24-0700</t>
  </si>
  <si>
    <t>24-0701</t>
  </si>
  <si>
    <t>24-0702</t>
  </si>
  <si>
    <t>24-0703</t>
  </si>
  <si>
    <t>24-0704</t>
  </si>
  <si>
    <t>24-0705</t>
  </si>
  <si>
    <t>24-0706</t>
  </si>
  <si>
    <t>24-0707</t>
  </si>
  <si>
    <t>24-0708</t>
  </si>
  <si>
    <t>24-0709</t>
  </si>
  <si>
    <t>24-0710</t>
  </si>
  <si>
    <t>24-0711</t>
  </si>
  <si>
    <t>24-0712</t>
  </si>
  <si>
    <t>24-0713</t>
  </si>
  <si>
    <t>24-0714</t>
  </si>
  <si>
    <t>24-0715</t>
  </si>
  <si>
    <t>24-0716</t>
  </si>
  <si>
    <t>24-0717</t>
  </si>
  <si>
    <t>24-0718</t>
  </si>
  <si>
    <t xml:space="preserve">Flyers – PigCAM Datasheet </t>
  </si>
  <si>
    <t>Mc Master, Mascot Bookmark, Brochure - Grad Studies Brochure 2025, Rollup Banner, Transportation to Abu Dhabi</t>
  </si>
  <si>
    <t>Business cards (Julius Reyes)</t>
  </si>
  <si>
    <t>Business cards (Karishma Joshi)</t>
  </si>
  <si>
    <t>Polo Shirt (Premium) Santhome Dryand Cool - Polo Shirt (Customized)</t>
  </si>
  <si>
    <t>Supplies done in October, 2024</t>
  </si>
  <si>
    <t xml:space="preserve">Mc Master - 3 fold Flyer </t>
  </si>
  <si>
    <t xml:space="preserve">Jerin Jersey </t>
  </si>
  <si>
    <t>Campus branding  (1. Vinyl Sticker on Glass( Grey Back) - 1055.5 cm x 245 cm, 2. Vinyl Sticker on Glass (Grey back) - 714 cm x 137 cm, 3. One way Vision sticker- 340 cm x 134 cm × 2 sides)</t>
  </si>
  <si>
    <t xml:space="preserve">A4 Envelopes (IELTS Dubai &amp; IELTS Abu Dhabi) </t>
  </si>
  <si>
    <t>Certificates (Size: A4)</t>
  </si>
  <si>
    <t xml:space="preserve">A5 Flyer (IELTS Offer) - QR Code Stickers for Roll Up </t>
  </si>
  <si>
    <t>Crystal Trophy (MIP Recognition Award) (7 Qty)</t>
  </si>
  <si>
    <t>Contitech Fluids</t>
  </si>
  <si>
    <t xml:space="preserve">Sticker installation of  hose display - Painting of base </t>
  </si>
  <si>
    <t>24-0719</t>
  </si>
  <si>
    <t>KHF Automotive Trading LLC</t>
  </si>
  <si>
    <t xml:space="preserve">Catalogue, Leaflets - 3 Fold, Posters </t>
  </si>
  <si>
    <t>24-0720</t>
  </si>
  <si>
    <t>8 fold brochure - Offset printing – Dubai School</t>
  </si>
  <si>
    <t>AMK International DMCC</t>
  </si>
  <si>
    <t>24-0721</t>
  </si>
  <si>
    <t>Designing of Logo</t>
  </si>
  <si>
    <t>24-0722</t>
  </si>
  <si>
    <t>A4 Pocket Folder-UIS sample</t>
  </si>
  <si>
    <t>24-0723</t>
  </si>
  <si>
    <t>Metal badge - Black</t>
  </si>
  <si>
    <t>24-0724</t>
  </si>
  <si>
    <t>Desk Calendar 2025-Wall Calendar</t>
  </si>
  <si>
    <t>24-0725</t>
  </si>
  <si>
    <t>24-0726</t>
  </si>
  <si>
    <t>24-0727</t>
  </si>
  <si>
    <t>AJF Achievements poster for GF-Ahmed's Adventure Book ('1850- English ,'1850- Arabic)</t>
  </si>
  <si>
    <t xml:space="preserve">8 fold brochure (Additional) </t>
  </si>
  <si>
    <t>Business Cards '( Watson Lobo )</t>
  </si>
  <si>
    <t>VOID See Inv 24-0729</t>
  </si>
  <si>
    <t>24-0728</t>
  </si>
  <si>
    <t>24-0729</t>
  </si>
  <si>
    <t>Recycled Stainless Steel Vacuum Bottle with Loop</t>
  </si>
  <si>
    <t>Business Cards '( Khaled Abo Naga )</t>
  </si>
  <si>
    <t>Crystal Trophy (MIP Recognition Award)-Hamdi Mechichi, Sarah Hijazi</t>
  </si>
  <si>
    <t>24-0730</t>
  </si>
  <si>
    <t>VOID See Inv 24-0712</t>
  </si>
  <si>
    <t>24-0731</t>
  </si>
  <si>
    <t xml:space="preserve">Gift Box </t>
  </si>
  <si>
    <t>24-0732</t>
  </si>
  <si>
    <t>Vehicle Branding</t>
  </si>
  <si>
    <t>24-0733</t>
  </si>
  <si>
    <t>24-0734</t>
  </si>
  <si>
    <t>BNI Diwali Banner</t>
  </si>
  <si>
    <t>24-0735</t>
  </si>
  <si>
    <t>BNI Palms report</t>
  </si>
  <si>
    <t>Recognition trophies</t>
  </si>
  <si>
    <t>24-0736</t>
  </si>
  <si>
    <t>24-0737</t>
  </si>
  <si>
    <t>24-0738</t>
  </si>
  <si>
    <t>24-0739</t>
  </si>
  <si>
    <t>24-0740</t>
  </si>
  <si>
    <t>24-0741</t>
  </si>
  <si>
    <t>24-0742</t>
  </si>
  <si>
    <t>24-0743</t>
  </si>
  <si>
    <t>24-0744</t>
  </si>
  <si>
    <t>24-0745</t>
  </si>
  <si>
    <t>24-0746</t>
  </si>
  <si>
    <t>24-0747</t>
  </si>
  <si>
    <t>24-0748</t>
  </si>
  <si>
    <t>24-0749</t>
  </si>
  <si>
    <t>24-0750</t>
  </si>
  <si>
    <t>Big Card</t>
  </si>
  <si>
    <t>Spiral note book - A5, Desk Calendar 2025</t>
  </si>
  <si>
    <t xml:space="preserve">Flags - RIF Group - 3 nos, RIF Properties - 3 nos, RIF Capital - 3 nos, RIF Trust - 3 nos, RIF Sports - 3 nos </t>
  </si>
  <si>
    <t xml:space="preserve">Polo shirt (Uniform) - Small - 14, Medium - 26, Large - 48, X Large - 22  </t>
  </si>
  <si>
    <t>Murdoch University</t>
  </si>
  <si>
    <t>MURDOCH Dubai Grads - Print assets</t>
  </si>
  <si>
    <t xml:space="preserve">Polo Shirt, Recycled Plastic Pen - Black, Stainless steel badges - Individual names, Business Card </t>
  </si>
  <si>
    <t>Buildmate Technical Services LLC</t>
  </si>
  <si>
    <t xml:space="preserve">Wall Signage </t>
  </si>
  <si>
    <r>
      <t xml:space="preserve">Business cards - </t>
    </r>
    <r>
      <rPr>
        <b/>
        <sz val="11"/>
        <color theme="1"/>
        <rFont val="Calibri"/>
        <family val="2"/>
        <scheme val="minor"/>
      </rPr>
      <t>Anil T Pillai</t>
    </r>
  </si>
  <si>
    <t>Bauble (Red)</t>
  </si>
  <si>
    <t xml:space="preserve">Rollup Banner - Size: 200x85cm </t>
  </si>
  <si>
    <t xml:space="preserve">DEAKIN University </t>
  </si>
  <si>
    <t>24-0751</t>
  </si>
  <si>
    <t>24-0752</t>
  </si>
  <si>
    <t>24-0753</t>
  </si>
  <si>
    <t>24-0754</t>
  </si>
  <si>
    <t>24-0755</t>
  </si>
  <si>
    <t>24-0756</t>
  </si>
  <si>
    <t>24-0757</t>
  </si>
  <si>
    <t>24-0758</t>
  </si>
  <si>
    <t>24-0759</t>
  </si>
  <si>
    <t>24-0760</t>
  </si>
  <si>
    <t>24-0761</t>
  </si>
  <si>
    <t>24-0762</t>
  </si>
  <si>
    <t>24-0763</t>
  </si>
  <si>
    <t>Course Guide (PG), Course Guide (UG), Brochure</t>
  </si>
  <si>
    <t>Eternal Home Building material Trading LLC</t>
  </si>
  <si>
    <t>Sample of Notebook and Pen</t>
  </si>
  <si>
    <t xml:space="preserve">Computer Stationery - Preprinted Receipt </t>
  </si>
  <si>
    <t>Oilmar Shipping and Chartering DMCC</t>
  </si>
  <si>
    <t xml:space="preserve">Tote bag </t>
  </si>
  <si>
    <t xml:space="preserve">St Mary's Konkani Community </t>
  </si>
  <si>
    <t>Roll Up banner- Size - 85 x 200 CM</t>
  </si>
  <si>
    <t>BNI Palms report - Member Acrylic Name Board</t>
  </si>
  <si>
    <t>Hoodies (Customized)</t>
  </si>
  <si>
    <t>Certificates - Excellence Awards - Rollup Banner</t>
  </si>
  <si>
    <t>Rollup Banner (Standard)- Table tent - Summit Agenda- Name Tent Cards- Certificate of Attendance- Name badge - Name Badge Cover- Trophy - Plaque</t>
  </si>
  <si>
    <t>VOID See Inv 24-0718</t>
  </si>
  <si>
    <t>24-0764</t>
  </si>
  <si>
    <t>Merit Freight Systems Co. LLC</t>
  </si>
  <si>
    <t>Delivery Order</t>
  </si>
  <si>
    <t>August Real Estate Brokers LLC</t>
  </si>
  <si>
    <t>24-0765</t>
  </si>
  <si>
    <t>24-0766</t>
  </si>
  <si>
    <t>Navitas Murdoch University</t>
  </si>
  <si>
    <t>Trane BVBA (Abu Dhabi Branch)</t>
  </si>
  <si>
    <t>Brochure, Size : A4</t>
  </si>
  <si>
    <t>24-0767</t>
  </si>
  <si>
    <t>24-0768</t>
  </si>
  <si>
    <t xml:space="preserve">Trinity College Dublin- Tabletop Banner, Business card  </t>
  </si>
  <si>
    <t>J C S ARTIFICIAL FLOWERS &amp; PLANTS TRADING L.L.C- (Shajara)</t>
  </si>
  <si>
    <t xml:space="preserve">L Flag (Advertising Flag) </t>
  </si>
  <si>
    <t>24-0769</t>
  </si>
  <si>
    <t>A4 Flyer, Metal Pens, Polo Shirt</t>
  </si>
  <si>
    <t>24-0770</t>
  </si>
  <si>
    <t>24-0771</t>
  </si>
  <si>
    <t>24-0772</t>
  </si>
  <si>
    <t>Business Cards '( Mohammad Shbaita )</t>
  </si>
  <si>
    <t>Al Suhail Ship Maintenance Services</t>
  </si>
  <si>
    <t>Backdrop – Self standing - Roll up Banner</t>
  </si>
  <si>
    <t>Square Tissue box cover - Rectangle Tissue box cover</t>
  </si>
  <si>
    <t>24-0773</t>
  </si>
  <si>
    <t>24-0774</t>
  </si>
  <si>
    <t>24-0775</t>
  </si>
  <si>
    <t xml:space="preserve">Metal Pen  </t>
  </si>
  <si>
    <t xml:space="preserve">Twin Note Book </t>
  </si>
  <si>
    <t>Excelsior Escapes and Events</t>
  </si>
  <si>
    <t>Flyers</t>
  </si>
  <si>
    <t xml:space="preserve">Paper Cups (Double Wall) </t>
  </si>
  <si>
    <t>24-0776</t>
  </si>
  <si>
    <t>24-0777</t>
  </si>
  <si>
    <t>24-0778</t>
  </si>
  <si>
    <t>24-0779</t>
  </si>
  <si>
    <t>24-0780</t>
  </si>
  <si>
    <t>24-0781</t>
  </si>
  <si>
    <t>24-0782</t>
  </si>
  <si>
    <t>24-0783</t>
  </si>
  <si>
    <t>24-0784</t>
  </si>
  <si>
    <t>24-0785</t>
  </si>
  <si>
    <t>24-0786</t>
  </si>
  <si>
    <t>24-0787</t>
  </si>
  <si>
    <t>24-0788</t>
  </si>
  <si>
    <t>24-0789</t>
  </si>
  <si>
    <t>24-0790</t>
  </si>
  <si>
    <t>Main door glass sticker and acrylic signage</t>
  </si>
  <si>
    <t>Roll up, A4 Flyer</t>
  </si>
  <si>
    <t xml:space="preserve">Calendar 2024 - CACOGES, Calendar 2024 - CCJF, Agenda Book - EXCO CEMAC, Agenda Book - CCJF, Pen - EXCO CACOGES, Pen - CCJF  </t>
  </si>
  <si>
    <t>Supplies done in November, 2024</t>
  </si>
  <si>
    <t>Business card, Poster</t>
  </si>
  <si>
    <t>Certificate, Poster</t>
  </si>
  <si>
    <t>Wooden Plaque, Greeting Cards (FOC)</t>
  </si>
  <si>
    <t>Business Cards ( Sajid Nisar )</t>
  </si>
  <si>
    <t>30 Second Trophies, Substitute Name Tag, Acrylic Name Tag, Palms Report, Recognition Certificate</t>
  </si>
  <si>
    <t>ICL Polo Shirts</t>
  </si>
  <si>
    <t>Palms Report, ICL Recognition Medal</t>
  </si>
  <si>
    <t>Business Card (100 x 3 Names)</t>
  </si>
  <si>
    <t>Backdrop –  230 x 230 cm</t>
  </si>
  <si>
    <t>Students Course Guide (12 x 12 Art work)</t>
  </si>
  <si>
    <t>24-0791</t>
  </si>
  <si>
    <t xml:space="preserve">A4 folder to A5 - Landscape, Business cards, Rollup Banner </t>
  </si>
  <si>
    <r>
      <t>Business Card -</t>
    </r>
    <r>
      <rPr>
        <b/>
        <sz val="11"/>
        <color theme="1"/>
        <rFont val="Calibri"/>
        <family val="2"/>
        <scheme val="minor"/>
      </rPr>
      <t xml:space="preserve"> Randhir Raina</t>
    </r>
  </si>
  <si>
    <t>24-0792</t>
  </si>
  <si>
    <t>24-0793</t>
  </si>
  <si>
    <t>24-0794</t>
  </si>
  <si>
    <t>24-0795</t>
  </si>
  <si>
    <t xml:space="preserve">Meeting Expenses 06/Dec/2024- Recognition Trophies, Acrylic name tags, Palms report, Recognition Certificate </t>
  </si>
  <si>
    <t>Business Card - PERI (500 x 6 names-200 x 4 names)</t>
  </si>
  <si>
    <t xml:space="preserve">Business Card, Pen, Badge, Trophy </t>
  </si>
  <si>
    <t>24-0796</t>
  </si>
  <si>
    <t>Blue and Clear Trophy - Small</t>
  </si>
  <si>
    <t>24-0797</t>
  </si>
  <si>
    <r>
      <t>Business card (</t>
    </r>
    <r>
      <rPr>
        <b/>
        <sz val="11"/>
        <color theme="1"/>
        <rFont val="Calibri"/>
        <family val="2"/>
        <scheme val="minor"/>
      </rPr>
      <t>Gurmeet Singh</t>
    </r>
    <r>
      <rPr>
        <sz val="11"/>
        <color theme="1"/>
        <rFont val="Calibri"/>
        <family val="2"/>
        <scheme val="minor"/>
      </rPr>
      <t>)</t>
    </r>
  </si>
  <si>
    <t>24-0798</t>
  </si>
  <si>
    <t>24-0799</t>
  </si>
  <si>
    <t>24-0800</t>
  </si>
  <si>
    <t>24-0801</t>
  </si>
  <si>
    <t>24-0802</t>
  </si>
  <si>
    <t>Campus branding, Glass branding, Supply and printing of L banner flag</t>
  </si>
  <si>
    <t xml:space="preserve">Damco Solutions </t>
  </si>
  <si>
    <t xml:space="preserve">Rollup Banner, Table Cloth, Business Card  </t>
  </si>
  <si>
    <t>Business Cards- Basmah Al-Khawaja</t>
  </si>
  <si>
    <t>Meeting Expenses of 13/Dec/2024 - Palms report</t>
  </si>
  <si>
    <t xml:space="preserve">Business Cards (200 x10 ) </t>
  </si>
  <si>
    <t>24-0803</t>
  </si>
  <si>
    <t>24-0804</t>
  </si>
  <si>
    <t>24-0805</t>
  </si>
  <si>
    <t>24-0806</t>
  </si>
  <si>
    <t>24-0807</t>
  </si>
  <si>
    <t>24-0808</t>
  </si>
  <si>
    <t>24-0809</t>
  </si>
  <si>
    <t>24-0810</t>
  </si>
  <si>
    <t>24-0811</t>
  </si>
  <si>
    <t>24-0812</t>
  </si>
  <si>
    <t>24-0813</t>
  </si>
  <si>
    <t>24-0814</t>
  </si>
  <si>
    <t>Notebook A5 PU, Pens(Metal), Non woven bag</t>
  </si>
  <si>
    <t>Kumon Dubai Knowledge Park Study Centre</t>
  </si>
  <si>
    <t>Desk Calendar</t>
  </si>
  <si>
    <t>Beekeepers Foundation</t>
  </si>
  <si>
    <t>Backdrop, Curvetop flag</t>
  </si>
  <si>
    <t>JNT Car Rental L.L.C</t>
  </si>
  <si>
    <t>Business Card (Dinesh Mangale)</t>
  </si>
  <si>
    <t>GREENFIELD INTERNATIONAL LLC</t>
  </si>
  <si>
    <t>OM110001805X</t>
  </si>
  <si>
    <t xml:space="preserve">Polo shirts (kids and adults) </t>
  </si>
  <si>
    <t>Business Cards (Neetu Singh)</t>
  </si>
  <si>
    <t xml:space="preserve">FY24 MEA EU CIS Excellence award (Trophy) </t>
  </si>
  <si>
    <t xml:space="preserve">Mr Sanup </t>
  </si>
  <si>
    <t xml:space="preserve">Polo Shirts </t>
  </si>
  <si>
    <t>Keychains</t>
  </si>
  <si>
    <t>A4 Flyer - Honours Course</t>
  </si>
  <si>
    <t>Business cards- New design (Amanda Budran)</t>
  </si>
  <si>
    <t>24-0815</t>
  </si>
  <si>
    <t>24-0816</t>
  </si>
  <si>
    <t>Applus Technical Services LLC</t>
  </si>
  <si>
    <t xml:space="preserve">Sunshade </t>
  </si>
  <si>
    <t xml:space="preserve">Meeting Expenses 20/Dec/2024 </t>
  </si>
  <si>
    <t>24-0817</t>
  </si>
  <si>
    <t>A4 Envelopes (customized), A4 Notepad, Top Spiral Notebook</t>
  </si>
  <si>
    <t>24-0818</t>
  </si>
  <si>
    <t>24-0819</t>
  </si>
  <si>
    <t>24-0820</t>
  </si>
  <si>
    <t>24-0821</t>
  </si>
  <si>
    <t>24-0822</t>
  </si>
  <si>
    <t>24-0823</t>
  </si>
  <si>
    <t>24-0824</t>
  </si>
  <si>
    <t>24-0825</t>
  </si>
  <si>
    <t>Trophies Qty 33</t>
  </si>
  <si>
    <t>Trophies Qty 1</t>
  </si>
  <si>
    <t>EDGE Technical Solution L.L.C</t>
  </si>
  <si>
    <t>Premium Acrylic Certificate Display</t>
  </si>
  <si>
    <t>Business cards (200 x 4 names)</t>
  </si>
  <si>
    <t xml:space="preserve">Certificate </t>
  </si>
  <si>
    <t>Trophies Qty 2, Delivery charge</t>
  </si>
  <si>
    <t>24-0826</t>
  </si>
  <si>
    <t>Metal Pen- Pecunia, Aurantius</t>
  </si>
  <si>
    <t>24-0827</t>
  </si>
  <si>
    <t>24-0828</t>
  </si>
  <si>
    <t>24-0829</t>
  </si>
  <si>
    <t>24-0830</t>
  </si>
  <si>
    <t>24-0831</t>
  </si>
  <si>
    <t>24-0832</t>
  </si>
  <si>
    <t>24-0833</t>
  </si>
  <si>
    <t>24-0834</t>
  </si>
  <si>
    <t>24-0835</t>
  </si>
  <si>
    <t>24-0836</t>
  </si>
  <si>
    <t>24-0837</t>
  </si>
  <si>
    <t>HSE Excellence Award plaque</t>
  </si>
  <si>
    <t>Supplies done in December, 2024</t>
  </si>
  <si>
    <t xml:space="preserve">Gemmabel Padilla </t>
  </si>
  <si>
    <t>Mugs (2 tone) with individual names</t>
  </si>
  <si>
    <t>Business Cards - 500 x 3 names</t>
  </si>
  <si>
    <t>Access cards printing</t>
  </si>
  <si>
    <t>Flyer (GCU London)</t>
  </si>
  <si>
    <t>Rollup Banner (QR code)</t>
  </si>
  <si>
    <t xml:space="preserve">Cap - Red, Cotton Bags, Tritan Water Bottle, Lanyards (customized), Round neck Tshirt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</si>
</sst>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mmmm\ d\,\ yyyy;@"/>
    <numFmt numFmtId="166" formatCode="[$-409]d\-mmm\-yy;@"/>
    <numFmt numFmtId="167" formatCode="_(* #,##0.000_);_(* \(#,##0.000\);_(* &quot;-&quot;???_);_(@_)"/>
    <numFmt numFmtId="168" formatCode="[$-409]d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C7CE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17" borderId="0" applyNumberFormat="0" applyBorder="0" applyAlignment="0" applyProtection="0"/>
  </cellStyleXfs>
  <cellXfs count="3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2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4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0" fillId="0" borderId="1" xfId="2" applyNumberFormat="1" applyFont="1" applyBorder="1"/>
    <xf numFmtId="43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43" fontId="0" fillId="0" borderId="0" xfId="2" applyNumberFormat="1" applyFont="1"/>
    <xf numFmtId="43" fontId="0" fillId="0" borderId="0" xfId="2" applyNumberFormat="1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43" fontId="2" fillId="2" borderId="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0" applyAlignment="1">
      <alignment horizontal="left"/>
    </xf>
    <xf numFmtId="43" fontId="0" fillId="0" borderId="1" xfId="2" applyNumberFormat="1" applyFont="1" applyFill="1" applyBorder="1"/>
    <xf numFmtId="43" fontId="0" fillId="0" borderId="1" xfId="2" applyNumberFormat="1" applyFont="1" applyFill="1" applyBorder="1" applyAlignment="1">
      <alignment horizontal="center"/>
    </xf>
    <xf numFmtId="0" fontId="0" fillId="0" borderId="0" xfId="0" pivotButton="1"/>
    <xf numFmtId="43" fontId="0" fillId="0" borderId="0" xfId="0" applyNumberFormat="1"/>
    <xf numFmtId="43" fontId="0" fillId="0" borderId="0" xfId="1" applyFont="1" applyAlignment="1">
      <alignment horizontal="center"/>
    </xf>
    <xf numFmtId="164" fontId="0" fillId="0" borderId="0" xfId="0" applyNumberFormat="1"/>
    <xf numFmtId="49" fontId="0" fillId="0" borderId="1" xfId="0" quotePrefix="1" applyNumberFormat="1" applyBorder="1" applyAlignment="1">
      <alignment horizontal="center"/>
    </xf>
    <xf numFmtId="43" fontId="6" fillId="2" borderId="1" xfId="2" applyNumberFormat="1" applyFont="1" applyFill="1" applyBorder="1" applyAlignment="1">
      <alignment horizontal="center" vertical="center" wrapText="1"/>
    </xf>
    <xf numFmtId="43" fontId="7" fillId="2" borderId="1" xfId="2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49" fontId="0" fillId="3" borderId="1" xfId="0" quotePrefix="1" applyNumberForma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43" fontId="0" fillId="3" borderId="1" xfId="1" applyFont="1" applyFill="1" applyBorder="1"/>
    <xf numFmtId="165" fontId="0" fillId="3" borderId="1" xfId="0" applyNumberFormat="1" applyFill="1" applyBorder="1" applyAlignment="1">
      <alignment horizontal="center" vertical="top"/>
    </xf>
    <xf numFmtId="49" fontId="0" fillId="3" borderId="1" xfId="0" quotePrefix="1" applyNumberForma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43" fontId="0" fillId="3" borderId="1" xfId="1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horizontal="center" vertical="top"/>
    </xf>
    <xf numFmtId="49" fontId="0" fillId="0" borderId="1" xfId="0" quotePrefix="1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43" fontId="0" fillId="3" borderId="0" xfId="1" applyFont="1" applyFill="1"/>
    <xf numFmtId="0" fontId="0" fillId="3" borderId="0" xfId="0" applyFill="1" applyAlignment="1">
      <alignment horizontal="center"/>
    </xf>
    <xf numFmtId="43" fontId="2" fillId="3" borderId="0" xfId="1" applyFont="1" applyFill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/>
    </xf>
    <xf numFmtId="43" fontId="0" fillId="5" borderId="1" xfId="2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top"/>
    </xf>
    <xf numFmtId="43" fontId="0" fillId="0" borderId="1" xfId="2" applyNumberFormat="1" applyFont="1" applyFill="1" applyBorder="1" applyAlignment="1">
      <alignment vertical="top"/>
    </xf>
    <xf numFmtId="43" fontId="0" fillId="0" borderId="1" xfId="2" applyNumberFormat="1" applyFont="1" applyBorder="1" applyAlignment="1">
      <alignment vertical="top"/>
    </xf>
    <xf numFmtId="43" fontId="0" fillId="0" borderId="1" xfId="2" applyNumberFormat="1" applyFon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2" fontId="0" fillId="0" borderId="1" xfId="0" applyNumberFormat="1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top"/>
    </xf>
    <xf numFmtId="1" fontId="0" fillId="5" borderId="1" xfId="0" applyNumberFormat="1" applyFill="1" applyBorder="1" applyAlignment="1">
      <alignment horizontal="center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 vertical="center"/>
    </xf>
    <xf numFmtId="43" fontId="10" fillId="5" borderId="1" xfId="2" applyNumberFormat="1" applyFont="1" applyFill="1" applyBorder="1" applyAlignment="1">
      <alignment horizontal="center"/>
    </xf>
    <xf numFmtId="0" fontId="2" fillId="7" borderId="0" xfId="0" applyFont="1" applyFill="1"/>
    <xf numFmtId="43" fontId="2" fillId="7" borderId="0" xfId="1" applyFont="1" applyFill="1"/>
    <xf numFmtId="0" fontId="0" fillId="7" borderId="0" xfId="0" applyFill="1"/>
    <xf numFmtId="0" fontId="0" fillId="0" borderId="4" xfId="0" applyBorder="1"/>
    <xf numFmtId="0" fontId="2" fillId="0" borderId="4" xfId="0" applyFont="1" applyBorder="1"/>
    <xf numFmtId="43" fontId="0" fillId="0" borderId="4" xfId="1" applyFont="1" applyBorder="1"/>
    <xf numFmtId="43" fontId="2" fillId="7" borderId="4" xfId="1" applyFont="1" applyFill="1" applyBorder="1"/>
    <xf numFmtId="0" fontId="0" fillId="0" borderId="0" xfId="0" pivotButton="1" applyAlignment="1">
      <alignment horizontal="center"/>
    </xf>
    <xf numFmtId="43" fontId="0" fillId="6" borderId="1" xfId="2" applyNumberFormat="1" applyFont="1" applyFill="1" applyBorder="1"/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top"/>
    </xf>
    <xf numFmtId="166" fontId="0" fillId="5" borderId="1" xfId="0" applyNumberFormat="1" applyFill="1" applyBorder="1" applyAlignment="1">
      <alignment horizontal="center" vertical="top"/>
    </xf>
    <xf numFmtId="166" fontId="0" fillId="0" borderId="0" xfId="0" applyNumberFormat="1" applyAlignment="1">
      <alignment horizontal="center" vertical="center"/>
    </xf>
    <xf numFmtId="2" fontId="0" fillId="0" borderId="0" xfId="0" quotePrefix="1" applyNumberFormat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2" fontId="0" fillId="5" borderId="1" xfId="0" quotePrefix="1" applyNumberForma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2" fillId="0" borderId="6" xfId="0" applyFont="1" applyBorder="1"/>
    <xf numFmtId="43" fontId="0" fillId="0" borderId="2" xfId="1" applyFont="1" applyBorder="1"/>
    <xf numFmtId="43" fontId="0" fillId="0" borderId="6" xfId="1" applyFont="1" applyBorder="1"/>
    <xf numFmtId="0" fontId="2" fillId="0" borderId="0" xfId="0" applyFont="1"/>
    <xf numFmtId="43" fontId="2" fillId="0" borderId="10" xfId="1" applyFont="1" applyBorder="1" applyAlignment="1">
      <alignment horizontal="center"/>
    </xf>
    <xf numFmtId="43" fontId="2" fillId="0" borderId="8" xfId="1" applyFont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43" fontId="2" fillId="0" borderId="9" xfId="1" applyFont="1" applyBorder="1" applyAlignment="1">
      <alignment horizontal="center"/>
    </xf>
    <xf numFmtId="43" fontId="3" fillId="10" borderId="13" xfId="1" applyFont="1" applyFill="1" applyBorder="1"/>
    <xf numFmtId="43" fontId="3" fillId="10" borderId="14" xfId="1" applyFont="1" applyFill="1" applyBorder="1"/>
    <xf numFmtId="0" fontId="0" fillId="11" borderId="0" xfId="0" applyFill="1"/>
    <xf numFmtId="43" fontId="3" fillId="11" borderId="13" xfId="1" applyFont="1" applyFill="1" applyBorder="1"/>
    <xf numFmtId="0" fontId="0" fillId="10" borderId="11" xfId="0" applyFill="1" applyBorder="1"/>
    <xf numFmtId="43" fontId="3" fillId="10" borderId="17" xfId="1" applyFont="1" applyFill="1" applyBorder="1"/>
    <xf numFmtId="43" fontId="0" fillId="10" borderId="1" xfId="1" applyFont="1" applyFill="1" applyBorder="1"/>
    <xf numFmtId="43" fontId="0" fillId="10" borderId="1" xfId="0" applyNumberFormat="1" applyFill="1" applyBorder="1"/>
    <xf numFmtId="43" fontId="3" fillId="10" borderId="1" xfId="1" applyFont="1" applyFill="1" applyBorder="1"/>
    <xf numFmtId="43" fontId="3" fillId="11" borderId="17" xfId="1" applyFont="1" applyFill="1" applyBorder="1"/>
    <xf numFmtId="43" fontId="0" fillId="11" borderId="1" xfId="1" applyFont="1" applyFill="1" applyBorder="1"/>
    <xf numFmtId="43" fontId="0" fillId="11" borderId="1" xfId="0" applyNumberFormat="1" applyFill="1" applyBorder="1"/>
    <xf numFmtId="43" fontId="3" fillId="11" borderId="1" xfId="1" applyFont="1" applyFill="1" applyBorder="1"/>
    <xf numFmtId="43" fontId="11" fillId="11" borderId="1" xfId="0" applyNumberFormat="1" applyFont="1" applyFill="1" applyBorder="1"/>
    <xf numFmtId="0" fontId="3" fillId="6" borderId="12" xfId="0" applyFont="1" applyFill="1" applyBorder="1" applyAlignment="1">
      <alignment horizontal="center"/>
    </xf>
    <xf numFmtId="43" fontId="0" fillId="12" borderId="1" xfId="0" applyNumberFormat="1" applyFill="1" applyBorder="1"/>
    <xf numFmtId="43" fontId="0" fillId="12" borderId="1" xfId="1" applyFont="1" applyFill="1" applyBorder="1"/>
    <xf numFmtId="43" fontId="3" fillId="12" borderId="1" xfId="1" applyFont="1" applyFill="1" applyBorder="1"/>
    <xf numFmtId="43" fontId="11" fillId="12" borderId="1" xfId="0" applyNumberFormat="1" applyFont="1" applyFill="1" applyBorder="1"/>
    <xf numFmtId="43" fontId="0" fillId="13" borderId="1" xfId="0" applyNumberFormat="1" applyFill="1" applyBorder="1"/>
    <xf numFmtId="43" fontId="0" fillId="13" borderId="1" xfId="1" applyFont="1" applyFill="1" applyBorder="1"/>
    <xf numFmtId="43" fontId="3" fillId="13" borderId="1" xfId="1" applyFont="1" applyFill="1" applyBorder="1"/>
    <xf numFmtId="0" fontId="10" fillId="3" borderId="0" xfId="0" applyFont="1" applyFill="1"/>
    <xf numFmtId="166" fontId="10" fillId="5" borderId="1" xfId="0" applyNumberFormat="1" applyFont="1" applyFill="1" applyBorder="1" applyAlignment="1">
      <alignment horizontal="center" vertical="center"/>
    </xf>
    <xf numFmtId="2" fontId="10" fillId="5" borderId="1" xfId="0" quotePrefix="1" applyNumberFormat="1" applyFont="1" applyFill="1" applyBorder="1" applyAlignment="1">
      <alignment horizontal="center"/>
    </xf>
    <xf numFmtId="43" fontId="11" fillId="13" borderId="1" xfId="0" applyNumberFormat="1" applyFont="1" applyFill="1" applyBorder="1"/>
    <xf numFmtId="0" fontId="0" fillId="3" borderId="1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0" xfId="0" applyBorder="1" applyAlignment="1">
      <alignment horizontal="left"/>
    </xf>
    <xf numFmtId="0" fontId="10" fillId="14" borderId="1" xfId="0" applyFont="1" applyFill="1" applyBorder="1"/>
    <xf numFmtId="0" fontId="10" fillId="14" borderId="1" xfId="0" applyFont="1" applyFill="1" applyBorder="1" applyAlignment="1">
      <alignment horizontal="center" vertical="center"/>
    </xf>
    <xf numFmtId="166" fontId="10" fillId="14" borderId="1" xfId="0" applyNumberFormat="1" applyFont="1" applyFill="1" applyBorder="1" applyAlignment="1">
      <alignment horizontal="center" vertical="center"/>
    </xf>
    <xf numFmtId="2" fontId="10" fillId="14" borderId="1" xfId="0" quotePrefix="1" applyNumberFormat="1" applyFont="1" applyFill="1" applyBorder="1" applyAlignment="1">
      <alignment horizontal="center"/>
    </xf>
    <xf numFmtId="43" fontId="10" fillId="14" borderId="1" xfId="2" applyNumberFormat="1" applyFont="1" applyFill="1" applyBorder="1" applyAlignment="1">
      <alignment horizontal="center"/>
    </xf>
    <xf numFmtId="0" fontId="10" fillId="14" borderId="0" xfId="0" applyFont="1" applyFill="1"/>
    <xf numFmtId="2" fontId="0" fillId="5" borderId="0" xfId="0" quotePrefix="1" applyNumberFormat="1" applyFill="1" applyAlignment="1">
      <alignment horizontal="center"/>
    </xf>
    <xf numFmtId="0" fontId="0" fillId="5" borderId="0" xfId="0" applyFill="1"/>
    <xf numFmtId="0" fontId="0" fillId="10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49" fontId="0" fillId="5" borderId="1" xfId="0" quotePrefix="1" applyNumberFormat="1" applyFill="1" applyBorder="1" applyAlignment="1">
      <alignment horizontal="center"/>
    </xf>
    <xf numFmtId="0" fontId="2" fillId="0" borderId="11" xfId="0" applyFont="1" applyBorder="1"/>
    <xf numFmtId="43" fontId="0" fillId="0" borderId="2" xfId="1" applyFont="1" applyBorder="1" applyAlignment="1">
      <alignment horizontal="center"/>
    </xf>
    <xf numFmtId="43" fontId="0" fillId="10" borderId="16" xfId="1" applyFont="1" applyFill="1" applyBorder="1"/>
    <xf numFmtId="43" fontId="0" fillId="11" borderId="16" xfId="1" applyFont="1" applyFill="1" applyBorder="1"/>
    <xf numFmtId="43" fontId="2" fillId="2" borderId="1" xfId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center" vertical="center" wrapText="1"/>
    </xf>
    <xf numFmtId="43" fontId="0" fillId="0" borderId="1" xfId="1" applyFont="1" applyFill="1" applyBorder="1"/>
    <xf numFmtId="43" fontId="0" fillId="0" borderId="1" xfId="1" applyFont="1" applyBorder="1"/>
    <xf numFmtId="43" fontId="0" fillId="5" borderId="1" xfId="1" applyFont="1" applyFill="1" applyBorder="1"/>
    <xf numFmtId="43" fontId="0" fillId="0" borderId="1" xfId="1" applyFont="1" applyFill="1" applyBorder="1" applyAlignment="1">
      <alignment vertical="top"/>
    </xf>
    <xf numFmtId="43" fontId="0" fillId="0" borderId="1" xfId="1" applyFont="1" applyBorder="1" applyAlignment="1">
      <alignment vertical="top"/>
    </xf>
    <xf numFmtId="43" fontId="0" fillId="8" borderId="1" xfId="1" applyFont="1" applyFill="1" applyBorder="1"/>
    <xf numFmtId="43" fontId="10" fillId="14" borderId="1" xfId="1" applyFont="1" applyFill="1" applyBorder="1"/>
    <xf numFmtId="43" fontId="10" fillId="5" borderId="1" xfId="1" applyFont="1" applyFill="1" applyBorder="1"/>
    <xf numFmtId="2" fontId="0" fillId="0" borderId="11" xfId="0" quotePrefix="1" applyNumberFormat="1" applyBorder="1" applyAlignment="1">
      <alignment horizontal="center"/>
    </xf>
    <xf numFmtId="41" fontId="0" fillId="0" borderId="0" xfId="1" applyNumberFormat="1" applyFont="1"/>
    <xf numFmtId="41" fontId="2" fillId="0" borderId="5" xfId="1" applyNumberFormat="1" applyFont="1" applyBorder="1" applyAlignment="1">
      <alignment horizontal="center"/>
    </xf>
    <xf numFmtId="41" fontId="2" fillId="0" borderId="7" xfId="1" applyNumberFormat="1" applyFont="1" applyBorder="1" applyAlignment="1">
      <alignment horizontal="center" wrapText="1"/>
    </xf>
    <xf numFmtId="41" fontId="3" fillId="10" borderId="15" xfId="1" applyNumberFormat="1" applyFont="1" applyFill="1" applyBorder="1"/>
    <xf numFmtId="41" fontId="3" fillId="11" borderId="13" xfId="1" applyNumberFormat="1" applyFont="1" applyFill="1" applyBorder="1"/>
    <xf numFmtId="43" fontId="2" fillId="0" borderId="20" xfId="1" applyFont="1" applyBorder="1" applyAlignment="1">
      <alignment horizontal="center"/>
    </xf>
    <xf numFmtId="43" fontId="2" fillId="0" borderId="21" xfId="1" applyFont="1" applyBorder="1" applyAlignment="1">
      <alignment horizontal="center" wrapText="1"/>
    </xf>
    <xf numFmtId="43" fontId="2" fillId="0" borderId="1" xfId="1" applyFont="1" applyFill="1" applyBorder="1" applyAlignment="1">
      <alignment horizontal="center" wrapText="1"/>
    </xf>
    <xf numFmtId="0" fontId="12" fillId="0" borderId="1" xfId="0" applyFont="1" applyBorder="1" applyAlignment="1">
      <alignment vertical="center"/>
    </xf>
    <xf numFmtId="0" fontId="0" fillId="6" borderId="0" xfId="0" applyFill="1"/>
    <xf numFmtId="43" fontId="0" fillId="0" borderId="10" xfId="1" applyFont="1" applyBorder="1"/>
    <xf numFmtId="0" fontId="13" fillId="0" borderId="1" xfId="0" applyFont="1" applyBorder="1" applyAlignment="1">
      <alignment vertical="center"/>
    </xf>
    <xf numFmtId="167" fontId="0" fillId="0" borderId="1" xfId="1" applyNumberFormat="1" applyFont="1" applyBorder="1"/>
    <xf numFmtId="43" fontId="3" fillId="3" borderId="1" xfId="1" applyFont="1" applyFill="1" applyBorder="1"/>
    <xf numFmtId="41" fontId="3" fillId="3" borderId="1" xfId="1" applyNumberFormat="1" applyFont="1" applyFill="1" applyBorder="1"/>
    <xf numFmtId="0" fontId="3" fillId="3" borderId="1" xfId="0" applyFont="1" applyFill="1" applyBorder="1"/>
    <xf numFmtId="4" fontId="0" fillId="0" borderId="1" xfId="0" applyNumberFormat="1" applyBorder="1"/>
    <xf numFmtId="0" fontId="0" fillId="11" borderId="1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43" fontId="11" fillId="13" borderId="1" xfId="1" applyFont="1" applyFill="1" applyBorder="1"/>
    <xf numFmtId="43" fontId="0" fillId="9" borderId="0" xfId="1" applyFont="1" applyFill="1" applyAlignment="1">
      <alignment horizontal="center"/>
    </xf>
    <xf numFmtId="41" fontId="3" fillId="12" borderId="1" xfId="1" applyNumberFormat="1" applyFont="1" applyFill="1" applyBorder="1"/>
    <xf numFmtId="41" fontId="3" fillId="13" borderId="1" xfId="1" applyNumberFormat="1" applyFont="1" applyFill="1" applyBorder="1"/>
    <xf numFmtId="168" fontId="14" fillId="3" borderId="1" xfId="0" applyNumberFormat="1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4" fillId="3" borderId="1" xfId="0" applyFont="1" applyFill="1" applyBorder="1"/>
    <xf numFmtId="2" fontId="0" fillId="0" borderId="2" xfId="0" quotePrefix="1" applyNumberFormat="1" applyBorder="1" applyAlignment="1">
      <alignment horizontal="center"/>
    </xf>
    <xf numFmtId="43" fontId="0" fillId="0" borderId="2" xfId="2" applyNumberFormat="1" applyFont="1" applyBorder="1" applyAlignment="1">
      <alignment horizontal="center"/>
    </xf>
    <xf numFmtId="0" fontId="0" fillId="12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10" fillId="13" borderId="1" xfId="0" applyFont="1" applyFill="1" applyBorder="1" applyAlignment="1">
      <alignment horizontal="left"/>
    </xf>
    <xf numFmtId="43" fontId="10" fillId="13" borderId="1" xfId="1" applyFont="1" applyFill="1" applyBorder="1"/>
    <xf numFmtId="0" fontId="10" fillId="13" borderId="1" xfId="0" applyFont="1" applyFill="1" applyBorder="1"/>
    <xf numFmtId="41" fontId="2" fillId="0" borderId="1" xfId="1" applyNumberFormat="1" applyFont="1" applyBorder="1"/>
    <xf numFmtId="0" fontId="0" fillId="0" borderId="1" xfId="0" quotePrefix="1" applyBorder="1"/>
    <xf numFmtId="0" fontId="6" fillId="0" borderId="1" xfId="0" applyFont="1" applyBorder="1"/>
    <xf numFmtId="2" fontId="0" fillId="0" borderId="1" xfId="0" applyNumberFormat="1" applyBorder="1"/>
    <xf numFmtId="2" fontId="0" fillId="12" borderId="1" xfId="0" applyNumberFormat="1" applyFill="1" applyBorder="1"/>
    <xf numFmtId="2" fontId="0" fillId="3" borderId="1" xfId="0" applyNumberFormat="1" applyFill="1" applyBorder="1"/>
    <xf numFmtId="0" fontId="0" fillId="0" borderId="1" xfId="0" pivotButton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166" fontId="0" fillId="15" borderId="1" xfId="0" applyNumberFormat="1" applyFill="1" applyBorder="1" applyAlignment="1">
      <alignment horizontal="center" vertical="center"/>
    </xf>
    <xf numFmtId="2" fontId="0" fillId="15" borderId="1" xfId="0" quotePrefix="1" applyNumberFormat="1" applyFill="1" applyBorder="1" applyAlignment="1">
      <alignment horizontal="center"/>
    </xf>
    <xf numFmtId="0" fontId="0" fillId="15" borderId="1" xfId="0" applyFill="1" applyBorder="1"/>
    <xf numFmtId="43" fontId="0" fillId="15" borderId="1" xfId="1" applyFont="1" applyFill="1" applyBorder="1"/>
    <xf numFmtId="43" fontId="0" fillId="15" borderId="1" xfId="2" applyNumberFormat="1" applyFon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43" fontId="11" fillId="15" borderId="1" xfId="2" applyNumberFormat="1" applyFon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43" fontId="1" fillId="15" borderId="1" xfId="1" applyFont="1" applyFill="1" applyBorder="1"/>
    <xf numFmtId="0" fontId="13" fillId="15" borderId="1" xfId="0" applyFont="1" applyFill="1" applyBorder="1" applyAlignment="1">
      <alignment vertical="center"/>
    </xf>
    <xf numFmtId="0" fontId="16" fillId="15" borderId="1" xfId="0" applyFont="1" applyFill="1" applyBorder="1" applyAlignment="1">
      <alignment vertical="center"/>
    </xf>
    <xf numFmtId="168" fontId="0" fillId="15" borderId="1" xfId="0" applyNumberFormat="1" applyFill="1" applyBorder="1" applyAlignment="1">
      <alignment horizontal="center"/>
    </xf>
    <xf numFmtId="0" fontId="15" fillId="15" borderId="1" xfId="0" applyFont="1" applyFill="1" applyBorder="1"/>
    <xf numFmtId="49" fontId="0" fillId="15" borderId="1" xfId="0" quotePrefix="1" applyNumberFormat="1" applyFill="1" applyBorder="1" applyAlignment="1">
      <alignment horizontal="center"/>
    </xf>
    <xf numFmtId="43" fontId="10" fillId="15" borderId="1" xfId="2" applyNumberFormat="1" applyFont="1" applyFill="1" applyBorder="1" applyAlignment="1">
      <alignment horizontal="center"/>
    </xf>
    <xf numFmtId="0" fontId="14" fillId="0" borderId="0" xfId="0" applyFont="1"/>
    <xf numFmtId="0" fontId="14" fillId="5" borderId="0" xfId="0" applyFont="1" applyFill="1"/>
    <xf numFmtId="0" fontId="0" fillId="0" borderId="11" xfId="0" applyBorder="1"/>
    <xf numFmtId="0" fontId="14" fillId="3" borderId="11" xfId="0" applyFont="1" applyFill="1" applyBorder="1"/>
    <xf numFmtId="0" fontId="14" fillId="0" borderId="11" xfId="0" applyFont="1" applyBorder="1"/>
    <xf numFmtId="0" fontId="16" fillId="0" borderId="11" xfId="0" applyFont="1" applyBorder="1"/>
    <xf numFmtId="0" fontId="14" fillId="3" borderId="11" xfId="0" applyFont="1" applyFill="1" applyBorder="1" applyAlignment="1">
      <alignment vertical="center"/>
    </xf>
    <xf numFmtId="43" fontId="11" fillId="15" borderId="1" xfId="1" applyFont="1" applyFill="1" applyBorder="1"/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 vertical="center"/>
    </xf>
    <xf numFmtId="15" fontId="3" fillId="16" borderId="1" xfId="0" applyNumberFormat="1" applyFont="1" applyFill="1" applyBorder="1" applyAlignment="1">
      <alignment horizontal="center"/>
    </xf>
    <xf numFmtId="2" fontId="3" fillId="16" borderId="1" xfId="0" applyNumberFormat="1" applyFont="1" applyFill="1" applyBorder="1" applyAlignment="1">
      <alignment horizontal="center"/>
    </xf>
    <xf numFmtId="43" fontId="3" fillId="16" borderId="1" xfId="1" applyFont="1" applyFill="1" applyBorder="1"/>
    <xf numFmtId="43" fontId="3" fillId="16" borderId="1" xfId="2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15" borderId="2" xfId="0" applyFill="1" applyBorder="1" applyAlignment="1">
      <alignment horizontal="center" vertical="center"/>
    </xf>
    <xf numFmtId="166" fontId="0" fillId="15" borderId="2" xfId="0" applyNumberFormat="1" applyFill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/>
    </xf>
    <xf numFmtId="0" fontId="0" fillId="15" borderId="2" xfId="0" applyFill="1" applyBorder="1"/>
    <xf numFmtId="43" fontId="0" fillId="15" borderId="2" xfId="1" applyFont="1" applyFill="1" applyBorder="1"/>
    <xf numFmtId="43" fontId="0" fillId="15" borderId="2" xfId="2" applyNumberFormat="1" applyFont="1" applyFill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left" vertical="center"/>
    </xf>
    <xf numFmtId="0" fontId="14" fillId="3" borderId="1" xfId="0" applyFont="1" applyFill="1" applyBorder="1" applyAlignment="1">
      <alignment vertical="center"/>
    </xf>
    <xf numFmtId="0" fontId="16" fillId="0" borderId="1" xfId="0" applyFont="1" applyBorder="1"/>
    <xf numFmtId="0" fontId="14" fillId="15" borderId="1" xfId="0" applyFont="1" applyFill="1" applyBorder="1"/>
    <xf numFmtId="0" fontId="14" fillId="15" borderId="1" xfId="0" applyFont="1" applyFill="1" applyBorder="1" applyAlignment="1">
      <alignment horizontal="left"/>
    </xf>
    <xf numFmtId="0" fontId="14" fillId="15" borderId="1" xfId="0" applyFont="1" applyFill="1" applyBorder="1" applyAlignment="1">
      <alignment vertical="center"/>
    </xf>
    <xf numFmtId="0" fontId="0" fillId="0" borderId="20" xfId="0" applyBorder="1"/>
    <xf numFmtId="0" fontId="0" fillId="0" borderId="22" xfId="0" applyBorder="1"/>
    <xf numFmtId="0" fontId="0" fillId="0" borderId="23" xfId="0" applyBorder="1"/>
    <xf numFmtId="43" fontId="2" fillId="6" borderId="4" xfId="0" applyNumberFormat="1" applyFont="1" applyFill="1" applyBorder="1"/>
    <xf numFmtId="0" fontId="2" fillId="0" borderId="12" xfId="0" applyFont="1" applyBorder="1" applyAlignment="1">
      <alignment horizontal="center"/>
    </xf>
    <xf numFmtId="43" fontId="0" fillId="0" borderId="12" xfId="1" applyFont="1" applyBorder="1"/>
    <xf numFmtId="43" fontId="0" fillId="0" borderId="24" xfId="1" applyFont="1" applyBorder="1"/>
    <xf numFmtId="43" fontId="0" fillId="0" borderId="25" xfId="1" applyFont="1" applyBorder="1"/>
    <xf numFmtId="0" fontId="10" fillId="0" borderId="0" xfId="0" applyFont="1"/>
    <xf numFmtId="43" fontId="10" fillId="0" borderId="0" xfId="1" applyFont="1" applyBorder="1"/>
    <xf numFmtId="43" fontId="10" fillId="0" borderId="0" xfId="0" applyNumberFormat="1" applyFont="1"/>
    <xf numFmtId="0" fontId="0" fillId="0" borderId="12" xfId="0" applyBorder="1"/>
    <xf numFmtId="0" fontId="0" fillId="0" borderId="24" xfId="0" applyBorder="1"/>
    <xf numFmtId="43" fontId="0" fillId="0" borderId="25" xfId="0" applyNumberFormat="1" applyBorder="1"/>
    <xf numFmtId="0" fontId="0" fillId="0" borderId="25" xfId="0" applyBorder="1"/>
    <xf numFmtId="0" fontId="0" fillId="16" borderId="0" xfId="0" applyFill="1"/>
    <xf numFmtId="0" fontId="14" fillId="3" borderId="1" xfId="0" applyFont="1" applyFill="1" applyBorder="1" applyAlignment="1">
      <alignment horizontal="left"/>
    </xf>
    <xf numFmtId="0" fontId="17" fillId="3" borderId="1" xfId="0" applyFont="1" applyFill="1" applyBorder="1"/>
    <xf numFmtId="0" fontId="18" fillId="15" borderId="1" xfId="0" applyFont="1" applyFill="1" applyBorder="1"/>
    <xf numFmtId="0" fontId="16" fillId="5" borderId="1" xfId="0" applyFont="1" applyFill="1" applyBorder="1"/>
    <xf numFmtId="0" fontId="0" fillId="15" borderId="19" xfId="0" applyFill="1" applyBorder="1" applyAlignment="1">
      <alignment horizontal="center" vertical="center"/>
    </xf>
    <xf numFmtId="0" fontId="14" fillId="0" borderId="2" xfId="0" applyFont="1" applyBorder="1"/>
    <xf numFmtId="0" fontId="19" fillId="17" borderId="1" xfId="4" applyBorder="1"/>
    <xf numFmtId="15" fontId="0" fillId="15" borderId="1" xfId="0" applyNumberFormat="1" applyFill="1" applyBorder="1" applyAlignment="1">
      <alignment horizontal="center" vertical="center"/>
    </xf>
    <xf numFmtId="168" fontId="0" fillId="15" borderId="1" xfId="0" applyNumberFormat="1" applyFill="1" applyBorder="1" applyAlignment="1">
      <alignment horizontal="center" vertical="center"/>
    </xf>
    <xf numFmtId="2" fontId="19" fillId="17" borderId="1" xfId="4" applyNumberFormat="1" applyBorder="1" applyAlignment="1">
      <alignment horizontal="center"/>
    </xf>
    <xf numFmtId="1" fontId="19" fillId="17" borderId="1" xfId="4" applyNumberFormat="1" applyBorder="1" applyAlignment="1">
      <alignment horizontal="center"/>
    </xf>
    <xf numFmtId="43" fontId="0" fillId="15" borderId="0" xfId="0" applyNumberFormat="1" applyFill="1"/>
    <xf numFmtId="0" fontId="0" fillId="15" borderId="0" xfId="0" applyFill="1"/>
    <xf numFmtId="43" fontId="0" fillId="15" borderId="1" xfId="0" applyNumberFormat="1" applyFill="1" applyBorder="1"/>
    <xf numFmtId="9" fontId="0" fillId="15" borderId="2" xfId="3" applyFont="1" applyFill="1" applyBorder="1"/>
    <xf numFmtId="43" fontId="0" fillId="15" borderId="2" xfId="0" applyNumberFormat="1" applyFill="1" applyBorder="1"/>
    <xf numFmtId="0" fontId="0" fillId="15" borderId="11" xfId="0" applyFill="1" applyBorder="1"/>
    <xf numFmtId="1" fontId="19" fillId="17" borderId="0" xfId="4" applyNumberFormat="1" applyAlignment="1">
      <alignment horizontal="center" vertical="center"/>
    </xf>
    <xf numFmtId="0" fontId="19" fillId="17" borderId="1" xfId="4" applyBorder="1" applyAlignment="1">
      <alignment horizontal="left"/>
    </xf>
    <xf numFmtId="0" fontId="14" fillId="15" borderId="0" xfId="0" applyFont="1" applyFill="1"/>
    <xf numFmtId="1" fontId="19" fillId="17" borderId="1" xfId="4" applyNumberFormat="1" applyBorder="1" applyAlignment="1">
      <alignment horizontal="center" vertical="center"/>
    </xf>
    <xf numFmtId="1" fontId="19" fillId="17" borderId="11" xfId="4" applyNumberFormat="1" applyBorder="1" applyAlignment="1">
      <alignment horizontal="center" vertical="center"/>
    </xf>
    <xf numFmtId="2" fontId="19" fillId="17" borderId="11" xfId="4" applyNumberFormat="1" applyBorder="1" applyAlignment="1">
      <alignment horizontal="center"/>
    </xf>
    <xf numFmtId="0" fontId="19" fillId="18" borderId="1" xfId="0" applyFont="1" applyFill="1" applyBorder="1"/>
    <xf numFmtId="2" fontId="19" fillId="18" borderId="1" xfId="4" applyNumberFormat="1" applyFill="1" applyBorder="1" applyAlignment="1">
      <alignment horizontal="center"/>
    </xf>
    <xf numFmtId="1" fontId="19" fillId="18" borderId="1" xfId="0" applyNumberFormat="1" applyFont="1" applyFill="1" applyBorder="1" applyAlignment="1">
      <alignment horizontal="center"/>
    </xf>
    <xf numFmtId="43" fontId="0" fillId="15" borderId="10" xfId="1" applyFont="1" applyFill="1" applyBorder="1"/>
    <xf numFmtId="1" fontId="19" fillId="18" borderId="1" xfId="4" applyNumberFormat="1" applyFill="1" applyBorder="1" applyAlignment="1">
      <alignment horizontal="center"/>
    </xf>
    <xf numFmtId="166" fontId="14" fillId="15" borderId="0" xfId="0" applyNumberFormat="1" applyFont="1" applyFill="1" applyAlignment="1">
      <alignment horizontal="center"/>
    </xf>
    <xf numFmtId="2" fontId="0" fillId="15" borderId="1" xfId="0" applyNumberFormat="1" applyFill="1" applyBorder="1"/>
    <xf numFmtId="0" fontId="19" fillId="0" borderId="1" xfId="0" applyFont="1" applyBorder="1"/>
    <xf numFmtId="0" fontId="0" fillId="15" borderId="18" xfId="0" applyFill="1" applyBorder="1"/>
    <xf numFmtId="2" fontId="0" fillId="18" borderId="1" xfId="0" applyNumberFormat="1" applyFill="1" applyBorder="1" applyAlignment="1">
      <alignment horizontal="center"/>
    </xf>
    <xf numFmtId="0" fontId="0" fillId="18" borderId="1" xfId="0" applyFill="1" applyBorder="1"/>
    <xf numFmtId="1" fontId="0" fillId="18" borderId="1" xfId="0" applyNumberFormat="1" applyFill="1" applyBorder="1" applyAlignment="1">
      <alignment horizontal="center"/>
    </xf>
    <xf numFmtId="0" fontId="20" fillId="5" borderId="1" xfId="0" applyFont="1" applyFill="1" applyBorder="1"/>
    <xf numFmtId="0" fontId="21" fillId="5" borderId="18" xfId="0" applyFont="1" applyFill="1" applyBorder="1"/>
    <xf numFmtId="0" fontId="0" fillId="18" borderId="11" xfId="0" applyFill="1" applyBorder="1"/>
    <xf numFmtId="0" fontId="0" fillId="15" borderId="10" xfId="0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21" fillId="5" borderId="1" xfId="0" applyFont="1" applyFill="1" applyBorder="1"/>
    <xf numFmtId="1" fontId="0" fillId="18" borderId="0" xfId="0" applyNumberFormat="1" applyFill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2" fontId="19" fillId="18" borderId="1" xfId="0" applyNumberFormat="1" applyFont="1" applyFill="1" applyBorder="1" applyAlignment="1">
      <alignment horizontal="center"/>
    </xf>
    <xf numFmtId="43" fontId="0" fillId="0" borderId="12" xfId="0" applyNumberFormat="1" applyBorder="1"/>
    <xf numFmtId="1" fontId="0" fillId="0" borderId="0" xfId="0" applyNumberFormat="1" applyAlignment="1">
      <alignment horizontal="center"/>
    </xf>
    <xf numFmtId="1" fontId="0" fillId="0" borderId="18" xfId="0" applyNumberFormat="1" applyBorder="1" applyAlignment="1">
      <alignment horizontal="center"/>
    </xf>
    <xf numFmtId="166" fontId="11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/>
    </xf>
    <xf numFmtId="43" fontId="11" fillId="5" borderId="1" xfId="1" applyFont="1" applyFill="1" applyBorder="1"/>
    <xf numFmtId="43" fontId="11" fillId="5" borderId="1" xfId="2" applyNumberFormat="1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wrapText="1"/>
    </xf>
    <xf numFmtId="2" fontId="0" fillId="15" borderId="1" xfId="0" applyNumberFormat="1" applyFill="1" applyBorder="1" applyAlignment="1">
      <alignment horizontal="left"/>
    </xf>
    <xf numFmtId="0" fontId="10" fillId="15" borderId="10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/>
    </xf>
    <xf numFmtId="0" fontId="0" fillId="15" borderId="19" xfId="0" applyFill="1" applyBorder="1"/>
    <xf numFmtId="1" fontId="19" fillId="15" borderId="1" xfId="0" applyNumberFormat="1" applyFont="1" applyFill="1" applyBorder="1" applyAlignment="1">
      <alignment horizontal="center"/>
    </xf>
    <xf numFmtId="43" fontId="0" fillId="7" borderId="25" xfId="0" applyNumberFormat="1" applyFill="1" applyBorder="1"/>
    <xf numFmtId="43" fontId="0" fillId="0" borderId="24" xfId="0" applyNumberFormat="1" applyBorder="1"/>
    <xf numFmtId="0" fontId="20" fillId="5" borderId="1" xfId="0" applyFont="1" applyFill="1" applyBorder="1" applyAlignment="1">
      <alignment horizontal="center" vertical="center"/>
    </xf>
    <xf numFmtId="166" fontId="20" fillId="5" borderId="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/>
    </xf>
    <xf numFmtId="43" fontId="20" fillId="5" borderId="1" xfId="1" applyFont="1" applyFill="1" applyBorder="1"/>
    <xf numFmtId="43" fontId="20" fillId="5" borderId="1" xfId="2" applyNumberFormat="1" applyFont="1" applyFill="1" applyBorder="1" applyAlignment="1">
      <alignment horizontal="center"/>
    </xf>
    <xf numFmtId="2" fontId="20" fillId="5" borderId="1" xfId="0" applyNumberFormat="1" applyFont="1" applyFill="1" applyBorder="1" applyAlignment="1">
      <alignment horizontal="center"/>
    </xf>
    <xf numFmtId="0" fontId="22" fillId="18" borderId="1" xfId="0" applyFont="1" applyFill="1" applyBorder="1"/>
    <xf numFmtId="0" fontId="0" fillId="9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5">
    <cellStyle name="Bad" xfId="4" builtinId="27"/>
    <cellStyle name="Comma" xfId="1" builtinId="3"/>
    <cellStyle name="Currency" xfId="2" builtinId="4"/>
    <cellStyle name="Normal" xfId="0" builtinId="0"/>
    <cellStyle name="Percent" xfId="3" builtinId="5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2" formatCode="0.0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FFC7CE"/>
      <color rgb="FF9C0006"/>
      <color rgb="FF0606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a Advertising" id="{3FEEF6AD-B473-4A7D-B085-6973E1BA4BF0}" userId="857edc88ac5eaf7b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 Advertising" refreshedDate="45455.499771643517" createdVersion="8" refreshedVersion="8" minRefreshableVersion="3" recordCount="4" xr:uid="{05C7EDD0-3A06-4889-AB1C-7966555F016B}">
  <cacheSource type="worksheet">
    <worksheetSource ref="B2:L6" sheet="REA Ins - Inv"/>
  </cacheSource>
  <cacheFields count="12">
    <cacheField name="CLIENT" numFmtId="0">
      <sharedItems count="2">
        <s v="Continental Middle East DMCC"/>
        <s v="IDP EDUCATION L.L.C"/>
      </sharedItems>
    </cacheField>
    <cacheField name="INVOICE NO." numFmtId="0">
      <sharedItems/>
    </cacheField>
    <cacheField name="INVOICE DATE" numFmtId="165">
      <sharedItems containsSemiMixedTypes="0" containsNonDate="0" containsDate="1" containsString="0" minDate="2024-01-19T00:00:00" maxDate="2024-02-29T00:00:00" count="4">
        <d v="2024-01-19T00:00:00"/>
        <d v="2024-01-29T00:00:00"/>
        <d v="2024-02-26T00:00:00"/>
        <d v="2024-02-28T00:00:00"/>
      </sharedItems>
      <fieldGroup par="11"/>
    </cacheField>
    <cacheField name="CLIENT TRN" numFmtId="49">
      <sharedItems/>
    </cacheField>
    <cacheField name="DESCRIPTION" numFmtId="0">
      <sharedItems/>
    </cacheField>
    <cacheField name="INVOICE SUB-TOTAL" numFmtId="43">
      <sharedItems containsSemiMixedTypes="0" containsString="0" containsNumber="1" containsInteger="1" minValue="300" maxValue="720"/>
    </cacheField>
    <cacheField name="Rebate" numFmtId="43">
      <sharedItems containsNonDate="0" containsString="0" containsBlank="1"/>
    </cacheField>
    <cacheField name="Invoice Sub-Total after Rebate" numFmtId="43">
      <sharedItems containsSemiMixedTypes="0" containsString="0" containsNumber="1" containsInteger="1" minValue="300" maxValue="720"/>
    </cacheField>
    <cacheField name="VAT % AMOUNT" numFmtId="43">
      <sharedItems containsSemiMixedTypes="0" containsString="0" containsNumber="1" minValue="15" maxValue="36"/>
    </cacheField>
    <cacheField name="TOTAL INVOICE AMOUNT" numFmtId="43">
      <sharedItems containsSemiMixedTypes="0" containsString="0" containsNumber="1" minValue="315" maxValue="756"/>
    </cacheField>
    <cacheField name="Sales Person" numFmtId="0">
      <sharedItems count="1">
        <s v="REENA"/>
      </sharedItems>
    </cacheField>
    <cacheField name="Months (INVOICE DATE)" numFmtId="0" databaseField="0">
      <fieldGroup base="2">
        <rangePr groupBy="months" startDate="2024-01-19T00:00:00" endDate="2024-02-29T00:00:00"/>
        <groupItems count="14">
          <s v="&lt;1/19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 Advertising" refreshedDate="45455.501506597226" createdVersion="8" refreshedVersion="8" minRefreshableVersion="3" recordCount="349" xr:uid="{5F5CB59B-6A80-405F-B170-0C67CEA781BE}">
  <cacheSource type="worksheet">
    <worksheetSource ref="B2:O351" sheet="REA Adv - Invoices"/>
  </cacheSource>
  <cacheFields count="17">
    <cacheField name="CLIENT" numFmtId="0">
      <sharedItems count="117">
        <s v="Stellar Advertising LLC"/>
        <s v="Aurantius Real Estate Broker "/>
        <s v="A-Technologies FZCO "/>
        <s v="EMIRATES FOR UNIVERSAL TYRES L.L.C. "/>
        <s v="GRAND STAR ALUMINUM &amp; GLASS L.L.C"/>
        <s v="VISIONARY FURNITURE TRADING L.L.C"/>
        <s v="Navitas Middle East FZ - LLC"/>
        <s v="Trane BVBA (Abu Dhabi)"/>
        <s v="M Y WORLD TRADING L.L.C"/>
        <s v="IDP Education Services Nigeria Limited"/>
        <s v="M E A D Medical Supplies &amp; Equipment L.L.C"/>
        <s v="Lloyds Energy DMCC"/>
        <s v="Bianca and Bianco Trading LLC"/>
        <s v="Logic Utilities District Cooling Services LLC "/>
        <s v="FAD Institute of Luxury Fashion and Style Dubai"/>
        <s v="Ingersoll-Rand Technical and Services S A R L (Dubai Branch)"/>
        <s v="JUBAILI BROS S.A.L."/>
        <s v="Global Connect "/>
        <s v="IDP EDUCATION L.L.C"/>
        <s v="Radiometer Medical ApS"/>
        <s v="Trane BVBA (Dubai Branch)"/>
        <s v="GrokGlobal Services"/>
        <s v="CJ ICM FZCO "/>
        <s v="RIF TRUST INVESTMENTS LLC "/>
        <s v="Blu Orbit"/>
        <s v="AMANI INVESTMENTS L.L.C - FZ "/>
        <s v="Enara Properties"/>
        <s v="PHARMAPAL DRUG STORE L.L.C"/>
        <s v="Ms. Eunice Lara Rosete"/>
        <s v="AUSTRAL INTERNATIONAL DMCC "/>
        <s v="Aram Precious Metals Trading FZE"/>
        <s v="Austral International FZE"/>
        <s v="LAYAN TRADING FZE"/>
        <s v="Sea Centre Shipping Services LLC"/>
        <s v="World Data Feasibility Studies Consultancies"/>
        <s v="Ms. Karine Leonian"/>
        <s v="Huxley Associates Global Limited"/>
        <s v="DUNECREST AMERICAN SCHOOL L.L.C"/>
        <s v="Tristar Transport LLC "/>
        <s v="Orthopro Clinic"/>
        <s v="E and S Luxury Car Rental LLC"/>
        <s v="Unique World Business Centre LLC"/>
        <s v="Shory Technology L.L.C "/>
        <s v="CLARION SCHOOL LLC"/>
        <s v="SPH Global Holdings LLC"/>
        <s v="HOLO MORTGAGE CONSULTANT"/>
        <s v="BorgRollsWarner Middle East LLC "/>
        <s v="MIRA REAL ESTATE BROKERS L.L.C"/>
        <s v="E V OFFSHORE LIMITED (DUBAI BRANCH) "/>
        <s v="SPECIALISED SPORTS EQUIPMENT LLC "/>
        <s v="Al Tayer Insignia LLC"/>
        <s v="Continental Middle East DMCC"/>
        <s v="J C S ARTIFICIAL FLOWERS &amp; PLANTS TRADING L.L.C"/>
        <s v="Lane Community College"/>
        <s v="Tappy Toes Nursery DWC-LLC"/>
        <s v="ANB AUTOMOBILES L.L.C"/>
        <s v="Krishna International FZCO"/>
        <s v="One Blue Clover FZCO"/>
        <s v="Golden Tower Technologies"/>
        <s v="Thermo Fisher Scientific S.P.A."/>
        <s v="Griffith College"/>
        <s v="DYNAMIC EMPLOYMENT SERVICES L.L.C"/>
        <s v="Crescent Real Estate"/>
        <s v="Indo Tausch Trading DMCC "/>
        <s v="Ali Salim Ali Salim Alqaydi"/>
        <s v="AL RASHED UNITED DMCC"/>
        <s v="Liquid Telecommunications International FZE"/>
        <s v="Technological University of the Shannon - Ireland "/>
        <s v="Al Naser International FZE"/>
        <s v="ADIRONDACK ARCHITECTURAL MODELS INDUSTRY L.L.C "/>
        <s v="Navitas SAE FZ-LLC"/>
        <s v="GOOD VIBES TRANSPORT L.L.C"/>
        <s v="The Woolwich Institute"/>
        <s v="Nanjing Stationery"/>
        <s v="Pacific Link"/>
        <s v="BinGhatti "/>
        <s v="Byyu Gift Trading LLC"/>
        <s v="Navitas - Murdoch University"/>
        <s v="Grandmatic "/>
        <s v="POWER LEASE VEHICLE RENTAL DMCC"/>
        <s v="Dubai Academic Health Corporation (DAHC) "/>
        <s v="Menlo Electric FZE"/>
        <s v="Gulftainer"/>
        <s v="Thermo Fisher Scientific Middle East"/>
        <s v="KOTUG MIDDLE EAST DMCC"/>
        <s v="Momentum Logistics"/>
        <s v="Gulftainer Company Limited - Iraq Branch "/>
        <s v="Momentum Company Limited Saudi Arabia"/>
        <s v="PLUS971 CYBER SECURITY L.L.C"/>
        <s v="Black Swan Business Setup Services LLC"/>
        <s v="DHR MENA FZ-LLC"/>
        <s v="MAERSK LOGISTICS AND SERVICES L.L.C"/>
        <s v="AL WASEEF INDUSTRIES LLC"/>
        <s v="CACOGES"/>
        <s v="Aplus Global FZE LLC"/>
        <s v="MEINHARDT (SINGAPORE) PTE LTD (DUBAI BR)"/>
        <s v="NARJIS Printing and Publishing"/>
        <s v="Mr. Waiz (Amity)"/>
        <s v="Unique World Business Centre LLC -(HO)"/>
        <s v="Unique World Business Centre LLC -(Br.)"/>
        <s v="Finhub Middle East"/>
        <s v="AL SHEMAIL GAR. &amp; PERFUMES TR LLC"/>
        <s v="Gamayun Consultancy Services FZE "/>
        <s v="TETR, College of Business"/>
        <s v="MIGHTHOUSE REALTY L.L.C"/>
        <s v="Azalee Flower Boutique Limited"/>
        <s v="Ecotag"/>
        <s v="BECKMAN COULTER INTERNATIONAL S.A. (DUBAI BR) "/>
        <s v="PMMUE Eduservices Private Limited"/>
        <s v="Right Fit Tailoring"/>
        <s v="Onboard Sky Freight Services L.L.C"/>
        <s v="Blackswan business center  L.L.C"/>
        <s v="BLACKSWAN BUSINESS CENTER L.L.C" u="1"/>
        <s v="Byyu Gifts Trading" u="1"/>
        <s v="Navitas- Murdoch University" u="1"/>
        <s v="Dubai Academic Health Corporation (DAHC)  - DDH" u="1"/>
        <s v=" BLACKSWAN BUSINESS CENTER L.L.C" u="1"/>
      </sharedItems>
    </cacheField>
    <cacheField name="INVOICE NO." numFmtId="0">
      <sharedItems/>
    </cacheField>
    <cacheField name="INVOICE DATE" numFmtId="166">
      <sharedItems containsSemiMixedTypes="0" containsNonDate="0" containsDate="1" containsString="0" minDate="2024-01-02T00:00:00" maxDate="2024-06-13T00:00:00" count="109">
        <d v="2024-01-02T00:00:00"/>
        <d v="2024-01-04T00:00:00"/>
        <d v="2024-01-15T00:00:00"/>
        <d v="2024-01-06T00:00:00"/>
        <d v="2024-01-05T00:00:00"/>
        <d v="2024-01-11T00:00:00"/>
        <d v="2024-01-09T00:00:00"/>
        <d v="2024-01-25T00:00:00"/>
        <d v="2024-01-12T00:00:00"/>
        <d v="2024-01-13T00:00:00"/>
        <d v="2024-01-16T00:00:00"/>
        <d v="2024-01-22T00:00:00"/>
        <d v="2024-01-30T00:00:00"/>
        <d v="2024-02-03T00:00:00"/>
        <d v="2024-01-17T00:00:00"/>
        <d v="2024-01-18T00:00:00"/>
        <d v="2024-01-24T00:00:00"/>
        <d v="2024-01-23T00:00:00"/>
        <d v="2024-01-20T00:00:00"/>
        <d v="2024-01-29T00:00:00"/>
        <d v="2024-01-26T00:00:00"/>
        <d v="2024-01-31T00:00:00"/>
        <d v="2024-02-02T00:00:00"/>
        <d v="2024-02-05T00:00:00"/>
        <d v="2024-02-07T00:00:00"/>
        <d v="2024-02-06T00:00:00"/>
        <d v="2024-02-09T00:00:00"/>
        <d v="2024-02-08T00:00:00"/>
        <d v="2024-02-12T00:00:00"/>
        <d v="2024-02-13T00:00:00"/>
        <d v="2024-02-10T00:00:00"/>
        <d v="2024-02-16T00:00:00"/>
        <d v="2024-02-15T00:00:00"/>
        <d v="2024-02-19T00:00:00"/>
        <d v="2024-02-20T00:00:00"/>
        <d v="2024-02-21T00:00:00"/>
        <d v="2024-02-22T00:00:00"/>
        <d v="2024-02-23T00:00:00"/>
        <d v="2024-02-26T00:00:00"/>
        <d v="2024-02-28T00:00:00"/>
        <d v="2024-02-29T00:00:00"/>
        <d v="2024-02-27T00:00:00"/>
        <d v="2024-03-01T00:00:00"/>
        <d v="2024-03-04T00:00:00"/>
        <d v="2024-03-05T00:00:00"/>
        <d v="2024-03-02T00:00:00"/>
        <d v="2024-03-07T00:00:00"/>
        <d v="2024-03-06T00:00:00"/>
        <d v="2024-03-09T00:00:00"/>
        <d v="2024-03-11T00:00:00"/>
        <d v="2024-03-08T00:00:00"/>
        <d v="2024-03-13T00:00:00"/>
        <d v="2024-03-14T00:00:00"/>
        <d v="2024-03-15T00:00:00"/>
        <d v="2024-03-18T00:00:00"/>
        <d v="2024-03-19T00:00:00"/>
        <d v="2024-03-20T00:00:00"/>
        <d v="2024-03-26T00:00:00"/>
        <d v="2024-03-21T00:00:00"/>
        <d v="2024-03-23T00:00:00"/>
        <d v="2024-03-25T00:00:00"/>
        <d v="2024-03-27T00:00:00"/>
        <d v="2024-03-28T00:00:00"/>
        <d v="2024-03-30T00:00:00"/>
        <d v="2024-04-02T00:00:00"/>
        <d v="2024-04-03T00:00:00"/>
        <d v="2024-04-04T00:00:00"/>
        <d v="2024-04-05T00:00:00"/>
        <d v="2024-04-22T00:00:00"/>
        <d v="2024-04-15T00:00:00"/>
        <d v="2024-04-06T00:00:00"/>
        <d v="2024-04-19T00:00:00"/>
        <d v="2024-04-16T00:00:00"/>
        <d v="2024-04-18T00:00:00"/>
        <d v="2024-04-20T00:00:00"/>
        <d v="2024-05-09T00:00:00"/>
        <d v="2024-04-23T00:00:00"/>
        <d v="2024-05-07T00:00:00"/>
        <d v="2024-04-25T00:00:00"/>
        <d v="2024-04-24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10T00:00:00"/>
        <d v="2024-05-11T00:00:00"/>
        <d v="2024-05-14T00:00:00"/>
        <d v="2024-05-17T00:00:00"/>
        <d v="2024-05-15T00:00:00"/>
        <d v="2024-05-13T00:00:00"/>
        <d v="2024-05-20T00:00:00"/>
        <d v="2024-05-16T00:00:00"/>
        <d v="2024-05-21T00:00:00"/>
        <d v="2024-05-18T00:00:00"/>
        <d v="2024-05-23T00:00:00"/>
        <d v="2024-05-27T00:00:00"/>
        <d v="2024-05-25T00:00:00"/>
        <d v="2024-05-28T00:00:00"/>
        <d v="2024-05-29T00:00:00"/>
        <d v="2024-05-30T00:00:00"/>
        <d v="2024-05-31T00:00:00"/>
        <d v="2024-06-07T00:00:00"/>
        <d v="2024-06-04T00:00:00"/>
        <d v="2024-06-06T00:00:00"/>
        <d v="2024-06-12T00:00:00"/>
        <d v="2024-06-10T00:00:00"/>
      </sharedItems>
      <fieldGroup par="16"/>
    </cacheField>
    <cacheField name="CLIENT TRN" numFmtId="0">
      <sharedItems containsBlank="1" containsMixedTypes="1" containsNumber="1" containsInteger="1" minValue="100048520900003" maxValue="104166051300003"/>
    </cacheField>
    <cacheField name="DESCRIPTION" numFmtId="0">
      <sharedItems containsBlank="1"/>
    </cacheField>
    <cacheField name="INVOICE SUB-TOTAL" numFmtId="43">
      <sharedItems containsBlank="1" containsMixedTypes="1" containsNumber="1" minValue="0" maxValue="103245.5"/>
    </cacheField>
    <cacheField name="REBATE" numFmtId="43">
      <sharedItems containsBlank="1"/>
    </cacheField>
    <cacheField name="INVOICE SUB-TOTAL AFTER REBATE" numFmtId="43">
      <sharedItems containsMixedTypes="1" containsNumber="1" minValue="0" maxValue="103245.5"/>
    </cacheField>
    <cacheField name="VAT % AMOUNT" numFmtId="43">
      <sharedItems containsMixedTypes="1" containsNumber="1" minValue="0" maxValue="5162.2750000000005"/>
    </cacheField>
    <cacheField name="TOTAL INVOICE AMOUNT" numFmtId="43">
      <sharedItems containsMixedTypes="1" containsNumber="1" minValue="0" maxValue="108407.77499999999"/>
    </cacheField>
    <cacheField name="Sales Person" numFmtId="43">
      <sharedItems/>
    </cacheField>
    <cacheField name="355" numFmtId="0">
      <sharedItems containsNonDate="0" containsString="0" containsBlank="1"/>
    </cacheField>
    <cacheField name="#REF!" numFmtId="0">
      <sharedItems containsNonDate="0" containsString="0" containsBlank="1"/>
    </cacheField>
    <cacheField name=" 817,648.73 " numFmtId="0">
      <sharedItems containsNonDate="0" containsString="0" containsBlank="1"/>
    </cacheField>
    <cacheField name="No of invoice" numFmtId="0">
      <sharedItems containsSemiMixedTypes="0" containsString="0" containsNumber="1" containsInteger="1" minValue="1" maxValue="1"/>
    </cacheField>
    <cacheField name="Days (INVOICE DATE)" numFmtId="0" databaseField="0">
      <fieldGroup base="2">
        <rangePr groupBy="days" startDate="2024-01-02T00:00:00" endDate="2024-06-13T00:00:00"/>
        <groupItems count="368">
          <s v="&lt;1/2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13/2024"/>
        </groupItems>
      </fieldGroup>
    </cacheField>
    <cacheField name="Months (INVOICE DATE)" numFmtId="0" databaseField="0">
      <fieldGroup base="2">
        <rangePr groupBy="months" startDate="2024-01-02T00:00:00" endDate="2024-06-13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 Advertising" refreshedDate="45504.530935995368" createdVersion="8" refreshedVersion="8" minRefreshableVersion="3" recordCount="466" xr:uid="{C6D0D41F-26B2-4C96-A982-24DEFC2A9E79}">
  <cacheSource type="worksheet">
    <worksheetSource ref="B2:P468" sheet="For Pivot"/>
  </cacheSource>
  <cacheFields count="17">
    <cacheField name="CLIENT" numFmtId="0">
      <sharedItems count="137">
        <s v="Stellar Advertising LLC"/>
        <s v="Aurantius Real Estate Broker "/>
        <s v="A-Technologies FZCO "/>
        <s v="EMIRATES FOR UNIVERSAL TYRES L.L.C. "/>
        <s v="GRAND STAR ALUMINUM &amp; GLASS L.L.C"/>
        <s v="VISIONARY FURNITURE TRADING L.L.C"/>
        <s v="Navitas Middle East FZ - LLC"/>
        <s v="Trane BVBA (Abu Dhabi)"/>
        <s v="M Y WORLD TRADING L.L.C"/>
        <s v="IDP Education Services Nigeria Limited"/>
        <s v="M E A D Medical Supplies &amp; Equipment L.L.C"/>
        <s v="Lloyds Energy DMCC"/>
        <s v="Bianca and Bianco Trading LLC"/>
        <s v="Logic Utilities District Cooling Services LLC "/>
        <s v="FAD Institute of Luxury Fashion and Style Dubai"/>
        <s v="Ingersoll-Rand Technical and Services S A R L (Dubai Branch)"/>
        <s v="JUBAILI BROS S.A.L."/>
        <s v="Global Connect "/>
        <s v="IDP EDUCATION L.L.C"/>
        <s v="Radiometer Medical ApS"/>
        <s v="Trane BVBA (Dubai Branch)"/>
        <s v="GrokGlobal Services"/>
        <s v="CJ ICM FZCO "/>
        <s v="RIF TRUST INVESTMENTS LLC "/>
        <s v="Blu Orbit"/>
        <s v="AMANI INVESTMENTS L.L.C - FZ "/>
        <s v="Enara Properties"/>
        <s v="PHARMAPAL DRUG STORE L.L.C"/>
        <s v="Ms. Eunice Lara Rosete"/>
        <s v="AUSTRAL INTERNATIONAL DMCC "/>
        <s v="Aram Precious Metals Trading FZE"/>
        <s v="Austral International FZE"/>
        <s v="LAYAN TRADING FZE"/>
        <s v="Sea Centre Shipping Services LLC"/>
        <s v="World Data Feasibility Studies Consultancies"/>
        <s v="Ms. Karine Leonian"/>
        <s v="Huxley Associates Global Limited"/>
        <s v="DUNECREST AMERICAN SCHOOL L.L.C"/>
        <s v="Tristar Transport LLC "/>
        <s v="Orthopro Clinic"/>
        <s v="E and S Luxury Car Rental LLC"/>
        <s v="Unique World Business Centre LLC"/>
        <s v="Shory Technology L.L.C "/>
        <s v="CLARION SCHOOL LLC"/>
        <s v="SPH Global Holdings LLC"/>
        <s v="HOLO MORTGAGE CONSULTANT"/>
        <s v="BorgRollsWarner Middle East LLC "/>
        <s v="MIRA REAL ESTATE BROKERS L.L.C"/>
        <s v="E V OFFSHORE LIMITED (DUBAI BRANCH) "/>
        <s v="SPECIALISED SPORTS EQUIPMENT LLC "/>
        <s v="Al Tayer Insignia LLC"/>
        <s v="Continental Middle East DMCC"/>
        <s v="J C S ARTIFICIAL FLOWERS &amp; PLANTS TRADING L.L.C"/>
        <s v="Lane Community College"/>
        <s v="Tappy Toes Nursery DWC-LLC"/>
        <s v="ANB AUTOMOBILES L.L.C"/>
        <s v="Krishna International FZCO"/>
        <s v="One Blue Clover FZCO"/>
        <s v="Golden Tower Technologies"/>
        <s v="Thermo Fisher Scientific S.P.A."/>
        <s v="Griffith College"/>
        <s v="DYNAMIC EMPLOYMENT SERVICES L.L.C"/>
        <s v="Crescent Real Estate"/>
        <s v="Indo Tausch Trading DMCC "/>
        <s v="Ali Salim Ali Salim Alqaydi"/>
        <s v="AL RASHED UNITED DMCC"/>
        <s v="Liquid Telecommunications International FZE"/>
        <s v="Technological University of the Shannon - Ireland "/>
        <s v="Al Naser International FZE"/>
        <s v="ADIRONDACK ARCHITECTURAL MODELS INDUSTRY L.L.C "/>
        <s v="Navitas SAE FZ-LLC"/>
        <s v="GOOD VIBES TRANSPORT L.L.C"/>
        <s v="The Woolwich Institute"/>
        <s v="Nanjing Stationery"/>
        <s v="Pacific Link"/>
        <s v="BinGhatti "/>
        <s v="Byyu Gift Trading LLC"/>
        <s v="Navitas - Murdoch University"/>
        <s v="Grandmatic "/>
        <s v="POWER LEASE VEHICLE RENTAL DMCC"/>
        <s v="Dubai Academic Health Corporation (DAHC) "/>
        <s v="Menlo Electric FZE"/>
        <s v="Gulftainer"/>
        <s v="Thermo Fisher Scientific Middle East"/>
        <s v="KOTUG MIDDLE EAST DMCC"/>
        <s v="Momentum Logistics"/>
        <s v="Gulftainer Company Limited - Iraq Branch "/>
        <s v="Momentum Company Limited Saudi Arabia"/>
        <s v="PLUS971 CYBER SECURITY L.L.C"/>
        <s v="Black Swan Business Setup Services LLC"/>
        <s v="DHR MENA FZ-LLC"/>
        <s v="MAERSK LOGISTICS AND SERVICES FZE"/>
        <s v="AL WASEEF INDUSTRIES LLC"/>
        <s v="CACOGES"/>
        <s v="Aplus Global FZE LLC"/>
        <s v="MEINHARDT (SINGAPORE) PTE LTD (DUBAI BR)"/>
        <s v="NARJIS Printing and Publishing"/>
        <s v="Mr. Waiz (Amity)"/>
        <s v="Unique World Business Centre LLC -(HO)"/>
        <s v="Unique World Business Centre LLC -(Br.)"/>
        <s v="Finhub Middle East"/>
        <s v="AL SHEMAIL GAR. &amp; PERFUMES TR LLC"/>
        <s v="Gamayun Consultancy Services FZE "/>
        <s v="TETR, College of Business"/>
        <s v="MIGHTHOUSE REALTY L.L.C"/>
        <s v="Azalee Flower Boutique Limited"/>
        <s v="Ecotag"/>
        <s v="BECKMAN COULTER INTERNATIONAL S.A. (DUBAI BR) "/>
        <s v="PMMUE Eduservices Private Limited"/>
        <s v="Right Fit Tailoring"/>
        <s v="Onboard Sky Freight Services L.L.C"/>
        <s v="Blackswan business center  L.L.C"/>
        <s v="MSB Private School"/>
        <s v="SWISS BUSINESS COUNCIL (DMCC BRANCH)"/>
        <s v="TETR College of Business"/>
        <s v="Kaizen Business Consultants"/>
        <s v="RIMO Pharmaceuticals DMCC"/>
        <s v="Al Jalila Foundation"/>
        <s v="Gardner Denver FZE"/>
        <s v="Frankfinn Institute of Air Hostess Training FZ LLC"/>
        <s v="BNI Polaris"/>
        <s v="Four Corners Printing Press LLC"/>
        <s v="Genenis Digital Assets Limited"/>
        <s v="Saint Vincent Group GT LLC"/>
        <s v="BorgRollsWarner Middle East LLC"/>
        <s v="CHINT MIDDLE EAST AND AFRICA DMCC"/>
        <s v="Waterline Freight Solutions LLC"/>
        <s v="Medical Regulations Gate"/>
        <s v="Beyond Infinity Technical Services Contracting LLC"/>
        <s v="Ducon Industries FZCO (Dubai Branch)"/>
        <s v="MAV Access LLC"/>
        <s v="ORIGA GENERAL CONTRACTING LLC"/>
        <s v="FAST PLANET FREIGHT BROKER L.L.C"/>
        <s v="VOXTEL COMMUNICATIONS DMCC"/>
        <s v="BLUE TANGERINE MARKETING MANAGEMENT"/>
        <s v="Locke Lifestyle Properties"/>
        <s v="IBM Global Middle East FZCO"/>
      </sharedItems>
    </cacheField>
    <cacheField name="INVOICE NO." numFmtId="0">
      <sharedItems/>
    </cacheField>
    <cacheField name="INVOICE DATE" numFmtId="0">
      <sharedItems containsSemiMixedTypes="0" containsNonDate="0" containsDate="1" containsString="0" minDate="2024-01-02T00:00:00" maxDate="2024-08-03T00:00:00" count="141">
        <d v="2024-01-02T00:00:00"/>
        <d v="2024-01-04T00:00:00"/>
        <d v="2024-01-15T00:00:00"/>
        <d v="2024-01-06T00:00:00"/>
        <d v="2024-01-05T00:00:00"/>
        <d v="2024-01-11T00:00:00"/>
        <d v="2024-01-09T00:00:00"/>
        <d v="2024-01-25T00:00:00"/>
        <d v="2024-01-12T00:00:00"/>
        <d v="2024-01-13T00:00:00"/>
        <d v="2024-01-16T00:00:00"/>
        <d v="2024-01-22T00:00:00"/>
        <d v="2024-01-30T00:00:00"/>
        <d v="2024-02-03T00:00:00"/>
        <d v="2024-01-17T00:00:00"/>
        <d v="2024-01-18T00:00:00"/>
        <d v="2024-01-24T00:00:00"/>
        <d v="2024-01-23T00:00:00"/>
        <d v="2024-01-20T00:00:00"/>
        <d v="2024-01-29T00:00:00"/>
        <d v="2024-01-26T00:00:00"/>
        <d v="2024-01-31T00:00:00"/>
        <d v="2024-02-02T00:00:00"/>
        <d v="2024-02-05T00:00:00"/>
        <d v="2024-02-07T00:00:00"/>
        <d v="2024-02-06T00:00:00"/>
        <d v="2024-02-09T00:00:00"/>
        <d v="2024-02-08T00:00:00"/>
        <d v="2024-02-12T00:00:00"/>
        <d v="2024-02-13T00:00:00"/>
        <d v="2024-02-10T00:00:00"/>
        <d v="2024-02-16T00:00:00"/>
        <d v="2024-02-15T00:00:00"/>
        <d v="2024-02-19T00:00:00"/>
        <d v="2024-02-20T00:00:00"/>
        <d v="2024-02-21T00:00:00"/>
        <d v="2024-02-22T00:00:00"/>
        <d v="2024-02-23T00:00:00"/>
        <d v="2024-02-26T00:00:00"/>
        <d v="2024-02-28T00:00:00"/>
        <d v="2024-02-29T00:00:00"/>
        <d v="2024-02-27T00:00:00"/>
        <d v="2024-03-01T00:00:00"/>
        <d v="2024-03-04T00:00:00"/>
        <d v="2024-03-05T00:00:00"/>
        <d v="2024-03-02T00:00:00"/>
        <d v="2024-03-07T00:00:00"/>
        <d v="2024-03-06T00:00:00"/>
        <d v="2024-03-09T00:00:00"/>
        <d v="2024-03-11T00:00:00"/>
        <d v="2024-03-08T00:00:00"/>
        <d v="2024-03-13T00:00:00"/>
        <d v="2024-03-14T00:00:00"/>
        <d v="2024-03-15T00:00:00"/>
        <d v="2024-03-18T00:00:00"/>
        <d v="2024-03-19T00:00:00"/>
        <d v="2024-03-20T00:00:00"/>
        <d v="2024-03-26T00:00:00"/>
        <d v="2024-03-21T00:00:00"/>
        <d v="2024-03-23T00:00:00"/>
        <d v="2024-03-25T00:00:00"/>
        <d v="2024-03-27T00:00:00"/>
        <d v="2024-03-28T00:00:00"/>
        <d v="2024-03-30T00:00:00"/>
        <d v="2024-04-02T00:00:00"/>
        <d v="2024-04-03T00:00:00"/>
        <d v="2024-04-04T00:00:00"/>
        <d v="2024-04-05T00:00:00"/>
        <d v="2024-04-22T00:00:00"/>
        <d v="2024-04-15T00:00:00"/>
        <d v="2024-04-06T00:00:00"/>
        <d v="2024-04-19T00:00:00"/>
        <d v="2024-04-16T00:00:00"/>
        <d v="2024-04-18T00:00:00"/>
        <d v="2024-04-20T00:00:00"/>
        <d v="2024-05-09T00:00:00"/>
        <d v="2024-04-23T00:00:00"/>
        <d v="2024-05-07T00:00:00"/>
        <d v="2024-04-25T00:00:00"/>
        <d v="2024-04-24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10T00:00:00"/>
        <d v="2024-05-11T00:00:00"/>
        <d v="2024-05-14T00:00:00"/>
        <d v="2024-05-17T00:00:00"/>
        <d v="2024-05-15T00:00:00"/>
        <d v="2024-05-13T00:00:00"/>
        <d v="2024-05-20T00:00:00"/>
        <d v="2024-05-16T00:00:00"/>
        <d v="2024-05-21T00:00:00"/>
        <d v="2024-05-18T00:00:00"/>
        <d v="2024-05-23T00:00:00"/>
        <d v="2024-05-27T00:00:00"/>
        <d v="2024-05-25T00:00:00"/>
        <d v="2024-05-28T00:00:00"/>
        <d v="2024-05-29T00:00:00"/>
        <d v="2024-05-30T00:00:00"/>
        <d v="2024-05-31T00:00:00"/>
        <d v="2024-06-07T00:00:00"/>
        <d v="2024-06-04T00:00:00"/>
        <d v="2024-06-06T00:00:00"/>
        <d v="2024-06-12T00:00:00"/>
        <d v="2024-06-10T00:00:00"/>
        <d v="2024-06-13T00:00:00"/>
        <d v="2024-06-14T00:00:00"/>
        <d v="2024-06-19T00:00:00"/>
        <d v="2024-06-20T00:00:00"/>
        <d v="2024-06-22T00:00:00"/>
        <d v="2024-06-24T00:00:00"/>
        <d v="2024-06-26T00:00:00"/>
        <d v="2024-06-28T00:00:00"/>
        <d v="2024-06-29T00:00:00"/>
        <d v="2024-06-27T00:00:00"/>
        <d v="2024-06-30T00:00:00"/>
        <d v="2024-07-03T00:00:00"/>
        <d v="2024-07-02T00:00:00"/>
        <d v="2024-07-05T00:00:00"/>
        <d v="2024-07-08T00:00:00"/>
        <d v="2024-07-11T00:00:00"/>
        <d v="2024-07-12T00:00:00"/>
        <d v="2024-07-15T00:00:00"/>
        <d v="2024-07-13T00:00:00"/>
        <d v="2024-07-18T00:00:00"/>
        <d v="2024-07-19T00:00:00"/>
        <d v="2024-07-16T00:00:00"/>
        <d v="2024-07-20T00:00:00"/>
        <d v="2024-07-22T00:00:00"/>
        <d v="2024-07-24T00:00:00"/>
        <d v="2024-07-26T00:00:00"/>
        <d v="2024-07-23T00:00:00"/>
        <d v="2024-07-29T00:00:00"/>
        <d v="2024-07-25T00:00:00"/>
        <d v="2024-07-31T00:00:00"/>
        <d v="2024-08-02T00:00:00"/>
        <d v="2024-07-04T00:00:00"/>
      </sharedItems>
      <fieldGroup par="16"/>
    </cacheField>
    <cacheField name="CLIENT TRN" numFmtId="0">
      <sharedItems containsBlank="1" containsMixedTypes="1" containsNumber="1" containsInteger="1" minValue="100048520900003" maxValue="104166051300003"/>
    </cacheField>
    <cacheField name="DESCRIPTION" numFmtId="0">
      <sharedItems containsBlank="1"/>
    </cacheField>
    <cacheField name="INVOICE SUB-TOTAL" numFmtId="0">
      <sharedItems containsBlank="1" containsMixedTypes="1" containsNumber="1" minValue="0" maxValue="103245.5"/>
    </cacheField>
    <cacheField name="REBATE" numFmtId="43">
      <sharedItems containsBlank="1"/>
    </cacheField>
    <cacheField name="INVOICE SUB-TOTAL AFTER REBATE" numFmtId="43">
      <sharedItems containsMixedTypes="1" containsNumber="1" minValue="0" maxValue="103245.5"/>
    </cacheField>
    <cacheField name="VAT % AMOUNT" numFmtId="43">
      <sharedItems containsMixedTypes="1" containsNumber="1" minValue="0" maxValue="5162.2750000000005"/>
    </cacheField>
    <cacheField name="TOTAL INVOICE AMOUNT" numFmtId="0">
      <sharedItems containsMixedTypes="1" containsNumber="1" minValue="0" maxValue="108407.77499999999"/>
    </cacheField>
    <cacheField name="Sales Person" numFmtId="0">
      <sharedItems/>
    </cacheField>
    <cacheField name="466" numFmtId="0">
      <sharedItems containsNonDate="0" containsString="0" containsBlank="1"/>
    </cacheField>
    <cacheField name="#REF!" numFmtId="0">
      <sharedItems containsNonDate="0" containsString="0" containsBlank="1"/>
    </cacheField>
    <cacheField name=" 1,160,237.71 " numFmtId="0">
      <sharedItems containsNonDate="0" containsString="0" containsBlank="1"/>
    </cacheField>
    <cacheField name="No of invoice" numFmtId="0">
      <sharedItems containsSemiMixedTypes="0" containsString="0" containsNumber="1" containsInteger="1" minValue="1" maxValue="1"/>
    </cacheField>
    <cacheField name="Days (INVOICE DATE)" numFmtId="0" databaseField="0">
      <fieldGroup base="2">
        <rangePr groupBy="days" startDate="2024-01-02T00:00:00" endDate="2024-08-03T00:00:00"/>
        <groupItems count="368">
          <s v="&lt;1/2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3/2024"/>
        </groupItems>
      </fieldGroup>
    </cacheField>
    <cacheField name="Months (INVOICE DATE)" numFmtId="0" databaseField="0">
      <fieldGroup base="2">
        <rangePr groupBy="months" startDate="2024-01-02T00:00:00" endDate="2024-08-03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A Advertising" refreshedDate="45506.524532175928" createdVersion="8" refreshedVersion="8" minRefreshableVersion="3" recordCount="466" xr:uid="{6DDAB85C-4550-46F2-9FDE-8269AD738948}">
  <cacheSource type="worksheet">
    <worksheetSource ref="B2:L468" sheet="REA Adv - Invoices"/>
  </cacheSource>
  <cacheFields count="13">
    <cacheField name="CLIENT" numFmtId="0">
      <sharedItems count="137">
        <s v="Stellar Advertising LLC"/>
        <s v="Aurantius Real Estate Broker "/>
        <s v="A-Technologies FZCO "/>
        <s v="EMIRATES FOR UNIVERSAL TYRES L.L.C. "/>
        <s v="GRAND STAR ALUMINUM &amp; GLASS L.L.C"/>
        <s v="VISIONARY FURNITURE TRADING L.L.C"/>
        <s v="Navitas Middle East FZ - LLC"/>
        <s v="Trane BVBA (Abu Dhabi)"/>
        <s v="M Y WORLD TRADING L.L.C"/>
        <s v="IDP Education Services Nigeria Limited"/>
        <s v="M E A D Medical Supplies &amp; Equipment L.L.C"/>
        <s v="Lloyds Energy DMCC"/>
        <s v="Bianca and Bianco Trading LLC"/>
        <s v="Logic Utilities District Cooling Services LLC "/>
        <s v="FAD Institute of Luxury Fashion and Style Dubai"/>
        <s v="Ingersoll-Rand Technical and Services S A R L (Dubai Branch)"/>
        <s v="JUBAILI BROS S.A.L."/>
        <s v="Global Connect "/>
        <s v="IDP EDUCATION L.L.C"/>
        <s v="Radiometer Medical ApS"/>
        <s v="Trane BVBA (Dubai Branch)"/>
        <s v="GrokGlobal Services"/>
        <s v="CJ ICM FZCO "/>
        <s v="RIF TRUST INVESTMENTS LLC "/>
        <s v="Blu Orbit"/>
        <s v="AMANI INVESTMENTS L.L.C - FZ "/>
        <s v="Enara Properties"/>
        <s v="PHARMAPAL DRUG STORE L.L.C"/>
        <s v="Ms. Eunice Lara Rosete"/>
        <s v="AUSTRAL INTERNATIONAL DMCC "/>
        <s v="Aram Precious Metals Trading FZE"/>
        <s v="Austral International FZE"/>
        <s v="LAYAN TRADING FZE"/>
        <s v="Sea Centre Shipping Services LLC"/>
        <s v="World Data Feasibility Studies Consultancies"/>
        <s v="Ms. Karine Leonian"/>
        <s v="Huxley Associates Global Limited"/>
        <s v="DUNECREST AMERICAN SCHOOL L.L.C"/>
        <s v="Tristar Transport LLC "/>
        <s v="Orthopro Clinic"/>
        <s v="E and S Luxury Car Rental LLC"/>
        <s v="Unique World Business Centre LLC"/>
        <s v="Shory Technology L.L.C "/>
        <s v="CLARION SCHOOL LLC"/>
        <s v="SPH Global Holdings LLC"/>
        <s v="HOLO MORTGAGE CONSULTANT"/>
        <s v="BorgRollsWarner Middle East LLC "/>
        <s v="MIRA REAL ESTATE BROKERS L.L.C"/>
        <s v="E V OFFSHORE LIMITED (DUBAI BRANCH) "/>
        <s v="SPECIALISED SPORTS EQUIPMENT LLC "/>
        <s v="Al Tayer Insignia LLC"/>
        <s v="Continental Middle East DMCC"/>
        <s v="J C S ARTIFICIAL FLOWERS &amp; PLANTS TRADING L.L.C"/>
        <s v="Lane Community College"/>
        <s v="Tappy Toes Nursery DWC-LLC"/>
        <s v="ANB AUTOMOBILES L.L.C"/>
        <s v="Krishna International FZCO"/>
        <s v="One Blue Clover FZCO"/>
        <s v="Golden Tower Technologies"/>
        <s v="Thermo Fisher Scientific S.P.A."/>
        <s v="Griffith College"/>
        <s v="DYNAMIC EMPLOYMENT SERVICES L.L.C"/>
        <s v="Crescent Real Estate"/>
        <s v="Indo Tausch Trading DMCC "/>
        <s v="Ali Salim Ali Salim Alqaydi"/>
        <s v="AL RASHED UNITED DMCC"/>
        <s v="Liquid Telecommunications International FZE"/>
        <s v="Technological University of the Shannon - Ireland "/>
        <s v="Al Naser International FZE"/>
        <s v="ADIRONDACK ARCHITECTURAL MODELS INDUSTRY L.L.C "/>
        <s v="Navitas SAE FZ-LLC"/>
        <s v="GOOD VIBES TRANSPORT L.L.C"/>
        <s v="The Woolwich Institute"/>
        <s v="Nanjing Stationery"/>
        <s v="Pacific Link"/>
        <s v="BinGhatti "/>
        <s v="Byyu Gift Trading LLC"/>
        <s v="Navitas - Murdoch University"/>
        <s v="Grandmatic "/>
        <s v="POWER LEASE VEHICLE RENTAL DMCC"/>
        <s v="Dubai Academic Health Corporation (DAHC) "/>
        <s v="Menlo Electric FZE"/>
        <s v="Gulftainer"/>
        <s v="Thermo Fisher Scientific Middle East"/>
        <s v="KOTUG MIDDLE EAST DMCC"/>
        <s v="Momentum Logistics"/>
        <s v="Gulftainer Company Limited - Iraq Branch "/>
        <s v="Momentum Company Limited Saudi Arabia"/>
        <s v="PLUS971 CYBER SECURITY L.L.C"/>
        <s v="Black Swan Business Setup Services LLC"/>
        <s v="DHR MENA FZ-LLC"/>
        <s v="MAERSK LOGISTICS AND SERVICES FZE"/>
        <s v="AL WASEEF INDUSTRIES LLC"/>
        <s v="CACOGES"/>
        <s v="Aplus Global FZE LLC"/>
        <s v="MEINHARDT (SINGAPORE) PTE LTD (DUBAI BR)"/>
        <s v="NARJIS Printing and Publishing"/>
        <s v="Mr. Waiz (Amity)"/>
        <s v="Unique World Business Centre LLC -(HO)"/>
        <s v="Unique World Business Centre LLC -(Br.)"/>
        <s v="Finhub Middle East"/>
        <s v="AL SHEMAIL GAR. &amp; PERFUMES TR LLC"/>
        <s v="Gamayun Consultancy Services FZE "/>
        <s v="TETR, College of Business"/>
        <s v="MIGHTHOUSE REALTY L.L.C"/>
        <s v="Azalee Flower Boutique Limited"/>
        <s v="Ecotag"/>
        <s v="BECKMAN COULTER INTERNATIONAL S.A. (DUBAI BR) "/>
        <s v="PMMUE Eduservices Private Limited"/>
        <s v="Right Fit Tailoring"/>
        <s v="Onboard Sky Freight Services L.L.C"/>
        <s v="Blackswan business center  L.L.C"/>
        <s v="MSB Private School"/>
        <s v="SWISS BUSINESS COUNCIL (DMCC BRANCH)"/>
        <s v="TETR College of Business"/>
        <s v="Kaizen Business Consultants"/>
        <s v="RIMO Pharmaceuticals DMCC"/>
        <s v="Al Jalila Foundation"/>
        <s v="Gardner Denver FZE"/>
        <s v="Frankfinn Institute of Air Hostess Training FZ LLC"/>
        <s v="BNI Polaris"/>
        <s v="Four Corners Printing Press LLC"/>
        <s v="Genenis Digital Assets Limited"/>
        <s v="Saint Vincent Group GT LLC"/>
        <s v="BorgRollsWarner Middle East LLC"/>
        <s v="CHINT MIDDLE EAST AND AFRICA DMCC"/>
        <s v="Waterline Freight Solutions LLC"/>
        <s v="Medical Regulations Gate"/>
        <s v="Beyond Infinity Technical Services Contracting LLC"/>
        <s v="Ducon Industries FZCO (Dubai Branch)"/>
        <s v="MAV Access LLC"/>
        <s v="ORIGA GENERAL CONTRACTING LLC"/>
        <s v="FAST PLANET FREIGHT BROKER L.L.C"/>
        <s v="VOXTEL COMMUNICATIONS DMCC"/>
        <s v="BLUE TANGERINE MARKETING MANAGEMENT"/>
        <s v="Locke Lifestyle Properties"/>
        <s v="IBM Global Middle East FZCO"/>
      </sharedItems>
    </cacheField>
    <cacheField name="INVOICE NO." numFmtId="0">
      <sharedItems/>
    </cacheField>
    <cacheField name="INVOICE DATE" numFmtId="0">
      <sharedItems containsSemiMixedTypes="0" containsNonDate="0" containsDate="1" containsString="0" minDate="2024-01-02T00:00:00" maxDate="2024-08-03T00:00:00" count="141">
        <d v="2024-01-02T00:00:00"/>
        <d v="2024-01-04T00:00:00"/>
        <d v="2024-01-15T00:00:00"/>
        <d v="2024-01-06T00:00:00"/>
        <d v="2024-01-05T00:00:00"/>
        <d v="2024-01-11T00:00:00"/>
        <d v="2024-01-09T00:00:00"/>
        <d v="2024-01-25T00:00:00"/>
        <d v="2024-01-12T00:00:00"/>
        <d v="2024-01-13T00:00:00"/>
        <d v="2024-01-16T00:00:00"/>
        <d v="2024-01-22T00:00:00"/>
        <d v="2024-01-30T00:00:00"/>
        <d v="2024-02-03T00:00:00"/>
        <d v="2024-01-17T00:00:00"/>
        <d v="2024-01-18T00:00:00"/>
        <d v="2024-01-24T00:00:00"/>
        <d v="2024-01-23T00:00:00"/>
        <d v="2024-01-20T00:00:00"/>
        <d v="2024-01-29T00:00:00"/>
        <d v="2024-01-26T00:00:00"/>
        <d v="2024-01-31T00:00:00"/>
        <d v="2024-02-02T00:00:00"/>
        <d v="2024-02-05T00:00:00"/>
        <d v="2024-02-07T00:00:00"/>
        <d v="2024-02-06T00:00:00"/>
        <d v="2024-02-09T00:00:00"/>
        <d v="2024-02-08T00:00:00"/>
        <d v="2024-02-12T00:00:00"/>
        <d v="2024-02-13T00:00:00"/>
        <d v="2024-02-10T00:00:00"/>
        <d v="2024-02-16T00:00:00"/>
        <d v="2024-02-15T00:00:00"/>
        <d v="2024-02-19T00:00:00"/>
        <d v="2024-02-20T00:00:00"/>
        <d v="2024-02-21T00:00:00"/>
        <d v="2024-02-22T00:00:00"/>
        <d v="2024-02-23T00:00:00"/>
        <d v="2024-02-26T00:00:00"/>
        <d v="2024-02-28T00:00:00"/>
        <d v="2024-02-29T00:00:00"/>
        <d v="2024-02-27T00:00:00"/>
        <d v="2024-03-01T00:00:00"/>
        <d v="2024-03-04T00:00:00"/>
        <d v="2024-03-05T00:00:00"/>
        <d v="2024-03-02T00:00:00"/>
        <d v="2024-03-07T00:00:00"/>
        <d v="2024-03-06T00:00:00"/>
        <d v="2024-03-09T00:00:00"/>
        <d v="2024-03-11T00:00:00"/>
        <d v="2024-03-08T00:00:00"/>
        <d v="2024-03-13T00:00:00"/>
        <d v="2024-03-14T00:00:00"/>
        <d v="2024-03-15T00:00:00"/>
        <d v="2024-03-18T00:00:00"/>
        <d v="2024-03-19T00:00:00"/>
        <d v="2024-03-20T00:00:00"/>
        <d v="2024-03-26T00:00:00"/>
        <d v="2024-03-21T00:00:00"/>
        <d v="2024-03-23T00:00:00"/>
        <d v="2024-03-25T00:00:00"/>
        <d v="2024-03-27T00:00:00"/>
        <d v="2024-03-28T00:00:00"/>
        <d v="2024-03-30T00:00:00"/>
        <d v="2024-04-02T00:00:00"/>
        <d v="2024-04-03T00:00:00"/>
        <d v="2024-04-04T00:00:00"/>
        <d v="2024-04-05T00:00:00"/>
        <d v="2024-04-22T00:00:00"/>
        <d v="2024-04-15T00:00:00"/>
        <d v="2024-04-06T00:00:00"/>
        <d v="2024-04-19T00:00:00"/>
        <d v="2024-04-16T00:00:00"/>
        <d v="2024-04-18T00:00:00"/>
        <d v="2024-04-20T00:00:00"/>
        <d v="2024-05-09T00:00:00"/>
        <d v="2024-04-23T00:00:00"/>
        <d v="2024-05-07T00:00:00"/>
        <d v="2024-04-25T00:00:00"/>
        <d v="2024-04-24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10T00:00:00"/>
        <d v="2024-05-11T00:00:00"/>
        <d v="2024-05-14T00:00:00"/>
        <d v="2024-05-17T00:00:00"/>
        <d v="2024-05-15T00:00:00"/>
        <d v="2024-05-13T00:00:00"/>
        <d v="2024-05-20T00:00:00"/>
        <d v="2024-05-16T00:00:00"/>
        <d v="2024-05-21T00:00:00"/>
        <d v="2024-05-18T00:00:00"/>
        <d v="2024-05-23T00:00:00"/>
        <d v="2024-05-27T00:00:00"/>
        <d v="2024-05-25T00:00:00"/>
        <d v="2024-05-28T00:00:00"/>
        <d v="2024-05-29T00:00:00"/>
        <d v="2024-05-30T00:00:00"/>
        <d v="2024-05-31T00:00:00"/>
        <d v="2024-06-07T00:00:00"/>
        <d v="2024-06-04T00:00:00"/>
        <d v="2024-06-06T00:00:00"/>
        <d v="2024-06-12T00:00:00"/>
        <d v="2024-06-10T00:00:00"/>
        <d v="2024-06-13T00:00:00"/>
        <d v="2024-06-14T00:00:00"/>
        <d v="2024-06-19T00:00:00"/>
        <d v="2024-06-20T00:00:00"/>
        <d v="2024-06-22T00:00:00"/>
        <d v="2024-06-24T00:00:00"/>
        <d v="2024-06-26T00:00:00"/>
        <d v="2024-06-28T00:00:00"/>
        <d v="2024-06-29T00:00:00"/>
        <d v="2024-06-27T00:00:00"/>
        <d v="2024-06-30T00:00:00"/>
        <d v="2024-07-03T00:00:00"/>
        <d v="2024-07-02T00:00:00"/>
        <d v="2024-07-05T00:00:00"/>
        <d v="2024-07-08T00:00:00"/>
        <d v="2024-07-11T00:00:00"/>
        <d v="2024-07-12T00:00:00"/>
        <d v="2024-07-15T00:00:00"/>
        <d v="2024-07-13T00:00:00"/>
        <d v="2024-07-18T00:00:00"/>
        <d v="2024-07-19T00:00:00"/>
        <d v="2024-07-16T00:00:00"/>
        <d v="2024-07-20T00:00:00"/>
        <d v="2024-07-22T00:00:00"/>
        <d v="2024-07-24T00:00:00"/>
        <d v="2024-07-26T00:00:00"/>
        <d v="2024-07-23T00:00:00"/>
        <d v="2024-07-29T00:00:00"/>
        <d v="2024-07-25T00:00:00"/>
        <d v="2024-07-31T00:00:00"/>
        <d v="2024-08-02T00:00:00"/>
        <d v="2024-07-04T00:00:00"/>
      </sharedItems>
      <fieldGroup par="12"/>
    </cacheField>
    <cacheField name="CLIENT TRN" numFmtId="0">
      <sharedItems containsBlank="1" containsMixedTypes="1" containsNumber="1" containsInteger="1" minValue="100048520900003" maxValue="104166051300003"/>
    </cacheField>
    <cacheField name="DESCRIPTION" numFmtId="0">
      <sharedItems containsBlank="1"/>
    </cacheField>
    <cacheField name="INVOICE SUB-TOTAL" numFmtId="0">
      <sharedItems containsBlank="1" containsMixedTypes="1" containsNumber="1" minValue="0" maxValue="103245.5"/>
    </cacheField>
    <cacheField name="REBATE" numFmtId="43">
      <sharedItems containsBlank="1"/>
    </cacheField>
    <cacheField name="INVOICE SUB-TOTAL AFTER REBATE" numFmtId="43">
      <sharedItems containsMixedTypes="1" containsNumber="1" minValue="0" maxValue="103245.5"/>
    </cacheField>
    <cacheField name="VAT % AMOUNT" numFmtId="43">
      <sharedItems containsMixedTypes="1" containsNumber="1" minValue="0" maxValue="5162.2750000000005"/>
    </cacheField>
    <cacheField name="TOTAL INVOICE AMOUNT" numFmtId="0">
      <sharedItems containsMixedTypes="1" containsNumber="1" minValue="0" maxValue="108407.77499999999"/>
    </cacheField>
    <cacheField name="Sales Person" numFmtId="0">
      <sharedItems count="6">
        <s v="REENA"/>
        <s v="MARINELLE"/>
        <s v="GLEN"/>
        <s v="PROFORMA"/>
        <s v="BNI"/>
        <s v="GAGANDEEP"/>
      </sharedItems>
    </cacheField>
    <cacheField name="Days (INVOICE DATE)" numFmtId="0" databaseField="0">
      <fieldGroup base="2">
        <rangePr groupBy="days" startDate="2024-01-02T00:00:00" endDate="2024-08-03T00:00:00"/>
        <groupItems count="368">
          <s v="&lt;1/2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3/2024"/>
        </groupItems>
      </fieldGroup>
    </cacheField>
    <cacheField name="Months (INVOICE DATE)" numFmtId="0" databaseField="0">
      <fieldGroup base="2">
        <rangePr groupBy="months" startDate="2024-01-02T00:00:00" endDate="2024-08-03T00:00:00"/>
        <groupItems count="14">
          <s v="&lt;1/2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24-0001"/>
    <x v="0"/>
    <s v="100377505100003"/>
    <s v="Trophy - RONY DOMINIC"/>
    <n v="450"/>
    <m/>
    <n v="450"/>
    <n v="22.5"/>
    <n v="472.5"/>
    <x v="0"/>
  </r>
  <r>
    <x v="1"/>
    <s v="24-0002"/>
    <x v="1"/>
    <s v="100593105800003"/>
    <s v="Rubber Stamp"/>
    <n v="300"/>
    <m/>
    <n v="300"/>
    <n v="15"/>
    <n v="315"/>
    <x v="0"/>
  </r>
  <r>
    <x v="1"/>
    <s v="24-0003"/>
    <x v="2"/>
    <s v="100593105800003"/>
    <s v="Business Cards - Dubai "/>
    <n v="720"/>
    <m/>
    <n v="720"/>
    <n v="36"/>
    <n v="756"/>
    <x v="0"/>
  </r>
  <r>
    <x v="1"/>
    <s v="24-0004"/>
    <x v="3"/>
    <s v="100593105800003"/>
    <s v="Name Tags , Expo Cards"/>
    <n v="380"/>
    <m/>
    <n v="380"/>
    <n v="19"/>
    <n v="39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x v="0"/>
    <s v="24-0001"/>
    <x v="0"/>
    <s v="100542487200003"/>
    <s v="A3 Poster - Jebel Ali School"/>
    <n v="425.49"/>
    <m/>
    <n v="425.49"/>
    <n v="21.274500000000003"/>
    <n v="446.7645"/>
    <s v="REENA"/>
    <m/>
    <m/>
    <m/>
    <n v="1"/>
  </r>
  <r>
    <x v="0"/>
    <s v="24-0002"/>
    <x v="1"/>
    <s v="100542487200003"/>
    <s v="A5 Booklet - DBSJP (Nov/Dec)"/>
    <n v="415"/>
    <m/>
    <n v="415"/>
    <n v="20.75"/>
    <n v="435.75"/>
    <s v="REENA"/>
    <m/>
    <m/>
    <m/>
    <n v="1"/>
  </r>
  <r>
    <x v="1"/>
    <s v="24-0003"/>
    <x v="1"/>
    <s v="104166051300003"/>
    <s v="Business Cards ( Ferhat Doghan ) "/>
    <n v="475"/>
    <m/>
    <n v="475"/>
    <n v="23.75"/>
    <n v="498.75"/>
    <s v="REENA"/>
    <m/>
    <m/>
    <m/>
    <n v="1"/>
  </r>
  <r>
    <x v="2"/>
    <s v="24-0004"/>
    <x v="2"/>
    <s v="100312976200003"/>
    <s v="Water Bottle , A5 Notebook (Anti-Microbial) , Metal Pen , Box"/>
    <n v="5850"/>
    <m/>
    <n v="5850"/>
    <n v="292.5"/>
    <n v="6142.5"/>
    <s v="MARINELLE"/>
    <m/>
    <m/>
    <m/>
    <n v="1"/>
  </r>
  <r>
    <x v="3"/>
    <s v="24-0005"/>
    <x v="3"/>
    <s v="100032677500003"/>
    <s v="Sticker (Paper)"/>
    <n v="425"/>
    <m/>
    <n v="425"/>
    <n v="21.25"/>
    <n v="446.25"/>
    <s v="REENA"/>
    <m/>
    <m/>
    <m/>
    <n v="1"/>
  </r>
  <r>
    <x v="4"/>
    <s v="24-0006"/>
    <x v="4"/>
    <s v="100522321700003"/>
    <s v="Wooden Board"/>
    <n v="7600"/>
    <m/>
    <n v="7600"/>
    <n v="380"/>
    <n v="7980"/>
    <s v="REENA"/>
    <m/>
    <m/>
    <m/>
    <n v="1"/>
  </r>
  <r>
    <x v="5"/>
    <s v="24-0007"/>
    <x v="5"/>
    <s v="104037069200003"/>
    <s v="Business Cards , Polo Shirts"/>
    <n v="848"/>
    <m/>
    <n v="848"/>
    <n v="42.400000000000006"/>
    <n v="890.4"/>
    <s v="REENA"/>
    <m/>
    <m/>
    <m/>
    <n v="1"/>
  </r>
  <r>
    <x v="6"/>
    <s v="24-0008"/>
    <x v="6"/>
    <s v=" 100430750800003"/>
    <s v="Round neck Tshirt"/>
    <n v="380"/>
    <m/>
    <n v="380"/>
    <n v="19"/>
    <n v="399"/>
    <s v="REENA"/>
    <m/>
    <m/>
    <m/>
    <n v="1"/>
  </r>
  <r>
    <x v="7"/>
    <s v="24-0009"/>
    <x v="7"/>
    <s v="100348311000003"/>
    <s v="Business Card ( Mohamed Ben Hamouda ) "/>
    <n v="405"/>
    <m/>
    <n v="405"/>
    <n v="20.25"/>
    <n v="425.25"/>
    <s v="REENA"/>
    <m/>
    <m/>
    <m/>
    <n v="1"/>
  </r>
  <r>
    <x v="8"/>
    <s v="24-0010"/>
    <x v="6"/>
    <s v="104014963300003"/>
    <s v="Business Cards ( Mr. Mehdi M Taki , Mr. Muhammed Midlaj ) "/>
    <n v="530"/>
    <m/>
    <n v="530"/>
    <n v="26.5"/>
    <n v="556.5"/>
    <s v="REENA"/>
    <m/>
    <m/>
    <m/>
    <n v="1"/>
  </r>
  <r>
    <x v="4"/>
    <s v="24-0011"/>
    <x v="5"/>
    <s v="100522321700003"/>
    <s v="Acrylic Stand"/>
    <n v="760"/>
    <m/>
    <n v="760"/>
    <n v="38"/>
    <n v="798"/>
    <s v="REENA"/>
    <m/>
    <m/>
    <m/>
    <n v="1"/>
  </r>
  <r>
    <x v="9"/>
    <s v="24-0012"/>
    <x v="6"/>
    <s v="-"/>
    <s v="Polo Shirt"/>
    <n v="227.90700000000001"/>
    <m/>
    <n v="227.90700000000001"/>
    <n v="11.395350000000001"/>
    <n v="239.30235000000002"/>
    <s v="REENA"/>
    <m/>
    <m/>
    <m/>
    <n v="1"/>
  </r>
  <r>
    <x v="10"/>
    <s v="24-0013"/>
    <x v="8"/>
    <s v="100540543400003"/>
    <s v="NCR Book"/>
    <n v="475"/>
    <m/>
    <n v="475"/>
    <n v="23.75"/>
    <n v="498.75"/>
    <s v="MARINELLE"/>
    <m/>
    <m/>
    <m/>
    <n v="1"/>
  </r>
  <r>
    <x v="0"/>
    <s v="24-0014"/>
    <x v="8"/>
    <s v=" 100542487200003"/>
    <s v="Poster , Flag ( Raha International School )"/>
    <n v="440"/>
    <m/>
    <n v="440"/>
    <n v="22"/>
    <n v="462"/>
    <s v="REENA"/>
    <m/>
    <m/>
    <m/>
    <n v="1"/>
  </r>
  <r>
    <x v="11"/>
    <s v="24-0015"/>
    <x v="8"/>
    <s v="100056728700003"/>
    <s v="Signage (Without Light)"/>
    <n v="1250"/>
    <m/>
    <n v="1250"/>
    <n v="62.5"/>
    <n v="1312.5"/>
    <s v="MARINELLE"/>
    <m/>
    <m/>
    <m/>
    <n v="1"/>
  </r>
  <r>
    <x v="3"/>
    <s v="24-0016"/>
    <x v="8"/>
    <s v="100032677500003"/>
    <s v="Business card ( Rineesh Ali )"/>
    <n v="165"/>
    <m/>
    <n v="165"/>
    <n v="8.25"/>
    <n v="173.25"/>
    <s v="REENA"/>
    <m/>
    <m/>
    <m/>
    <n v="1"/>
  </r>
  <r>
    <x v="12"/>
    <s v="24-0017"/>
    <x v="9"/>
    <s v=" 100482284500003"/>
    <s v="Business Card "/>
    <n v="825"/>
    <m/>
    <n v="825"/>
    <n v="41.25"/>
    <n v="866.25"/>
    <s v="REENA"/>
    <m/>
    <m/>
    <m/>
    <n v="1"/>
  </r>
  <r>
    <x v="13"/>
    <s v="24-0018"/>
    <x v="7"/>
    <s v="100567483100003"/>
    <s v="Polo Shirts"/>
    <n v="4252.5"/>
    <m/>
    <n v="4252.5"/>
    <n v="212.625"/>
    <n v="4465.125"/>
    <s v="MARINELLE"/>
    <m/>
    <m/>
    <m/>
    <n v="1"/>
  </r>
  <r>
    <x v="14"/>
    <s v="24-0019"/>
    <x v="10"/>
    <s v="-"/>
    <s v="Certificate Holder"/>
    <n v="1690"/>
    <m/>
    <n v="1690"/>
    <n v="84.5"/>
    <n v="1774.5"/>
    <s v="MARINELLE"/>
    <m/>
    <m/>
    <m/>
    <n v="1"/>
  </r>
  <r>
    <x v="15"/>
    <s v="24-0020"/>
    <x v="2"/>
    <s v="100399495900003"/>
    <s v="Business Card"/>
    <n v="310"/>
    <m/>
    <n v="310"/>
    <n v="15.5"/>
    <n v="325.5"/>
    <s v="MARINELLE"/>
    <m/>
    <m/>
    <m/>
    <n v="1"/>
  </r>
  <r>
    <x v="16"/>
    <s v="24-0021"/>
    <x v="10"/>
    <s v="100293287700003"/>
    <s v="Car Sunshades (Tyvek)"/>
    <n v="5975"/>
    <m/>
    <n v="5975"/>
    <n v="298.75"/>
    <n v="6273.75"/>
    <s v="MARINELLE"/>
    <m/>
    <m/>
    <m/>
    <n v="1"/>
  </r>
  <r>
    <x v="17"/>
    <s v="24-0022"/>
    <x v="8"/>
    <s v="-"/>
    <s v="Rubber stamp"/>
    <n v="120"/>
    <m/>
    <n v="120"/>
    <n v="6"/>
    <n v="126"/>
    <s v="REENA"/>
    <m/>
    <m/>
    <m/>
    <n v="1"/>
  </r>
  <r>
    <x v="18"/>
    <s v="24-0023"/>
    <x v="8"/>
    <s v="100593105800003"/>
    <s v="Rubber stamp"/>
    <n v="0"/>
    <m/>
    <n v="0"/>
    <n v="0"/>
    <n v="0"/>
    <s v="REENA"/>
    <m/>
    <m/>
    <m/>
    <n v="1"/>
  </r>
  <r>
    <x v="2"/>
    <s v="24-0024"/>
    <x v="10"/>
    <s v="100312976200003"/>
    <s v="Prints for Gift Box"/>
    <n v="200"/>
    <m/>
    <n v="200"/>
    <n v="10"/>
    <n v="210"/>
    <s v="MARINELLE"/>
    <m/>
    <m/>
    <m/>
    <n v="1"/>
  </r>
  <r>
    <x v="19"/>
    <s v="24-0025"/>
    <x v="11"/>
    <s v="-"/>
    <s v="Pop Up Banner (Straight) , Roll up , Book Mark (Steel) , Table Flag with Stand"/>
    <n v="7595.24"/>
    <m/>
    <n v="7595.24"/>
    <n v="379.762"/>
    <n v="7975.0019999999995"/>
    <s v="MARINELLE"/>
    <m/>
    <m/>
    <m/>
    <n v="1"/>
  </r>
  <r>
    <x v="20"/>
    <s v="24-0026"/>
    <x v="12"/>
    <s v="100235699400003"/>
    <s v="Business Card ( Darshit B. Kapadiwala , Ahmed Hamid )"/>
    <n v="470"/>
    <m/>
    <n v="470"/>
    <n v="23.5"/>
    <n v="493.5"/>
    <s v="REENA"/>
    <m/>
    <m/>
    <m/>
    <n v="1"/>
  </r>
  <r>
    <x v="18"/>
    <s v="24-0027"/>
    <x v="13"/>
    <s v="100593105800003"/>
    <s v="Roll up , A3 Posters , Certificates"/>
    <n v="526.5"/>
    <m/>
    <n v="526.5"/>
    <n v="26.325000000000003"/>
    <n v="552.82500000000005"/>
    <s v="REENA"/>
    <m/>
    <m/>
    <m/>
    <n v="1"/>
  </r>
  <r>
    <x v="0"/>
    <s v="24-0028"/>
    <x v="14"/>
    <s v="100542487200003"/>
    <s v="Brochure , Roll Up ( Charter School ) "/>
    <n v="955"/>
    <m/>
    <n v="955"/>
    <n v="47.75"/>
    <n v="1002.75"/>
    <s v="REENA"/>
    <m/>
    <m/>
    <m/>
    <n v="1"/>
  </r>
  <r>
    <x v="21"/>
    <s v="24-0029"/>
    <x v="15"/>
    <s v="-"/>
    <s v="Business cards , A4 Desktop"/>
    <n v="350"/>
    <m/>
    <n v="350"/>
    <n v="17.5"/>
    <n v="367.5"/>
    <s v="REENA"/>
    <m/>
    <m/>
    <m/>
    <n v="1"/>
  </r>
  <r>
    <x v="0"/>
    <s v="24-0030"/>
    <x v="14"/>
    <s v=" 100542487200003"/>
    <s v="Roll Up - DBSJ , Roll Up - Taaleem"/>
    <n v="435"/>
    <m/>
    <n v="435"/>
    <n v="21.75"/>
    <n v="456.75"/>
    <s v="REENA"/>
    <m/>
    <m/>
    <m/>
    <n v="1"/>
  </r>
  <r>
    <x v="1"/>
    <s v="24-0031"/>
    <x v="14"/>
    <s v=" 104166051300003"/>
    <s v="Sticker"/>
    <n v="78.75"/>
    <m/>
    <n v="78.75"/>
    <n v="3.9375"/>
    <n v="82.6875"/>
    <s v="REENA"/>
    <m/>
    <m/>
    <m/>
    <n v="1"/>
  </r>
  <r>
    <x v="6"/>
    <s v="24-0032"/>
    <x v="15"/>
    <s v="100430750800003"/>
    <s v="A4 Envelope"/>
    <n v="424.95"/>
    <m/>
    <n v="424.95"/>
    <n v="21.247500000000002"/>
    <n v="446.19749999999999"/>
    <s v="REENA"/>
    <m/>
    <m/>
    <m/>
    <n v="1"/>
  </r>
  <r>
    <x v="20"/>
    <s v="24-0033"/>
    <x v="16"/>
    <s v="100235699400003"/>
    <s v="Crystal Trophy"/>
    <n v="4290"/>
    <m/>
    <n v="4290"/>
    <n v="214.5"/>
    <n v="4504.5"/>
    <s v="REENA"/>
    <m/>
    <m/>
    <m/>
    <n v="1"/>
  </r>
  <r>
    <x v="3"/>
    <s v="24-0034"/>
    <x v="17"/>
    <s v="100032677500003"/>
    <s v="Receipt Voucher Book"/>
    <n v="725"/>
    <m/>
    <n v="725"/>
    <n v="36.25"/>
    <n v="761.25"/>
    <s v="REENA"/>
    <m/>
    <m/>
    <m/>
    <n v="1"/>
  </r>
  <r>
    <x v="22"/>
    <s v="24-0035"/>
    <x v="17"/>
    <s v="100519331100003"/>
    <s v="Wall Calendar"/>
    <n v="3150"/>
    <m/>
    <n v="3150"/>
    <n v="157.5"/>
    <n v="3307.5"/>
    <s v="MARINELLE"/>
    <m/>
    <m/>
    <m/>
    <n v="1"/>
  </r>
  <r>
    <x v="23"/>
    <s v="24-0036"/>
    <x v="11"/>
    <s v="100065352500003"/>
    <s v="Ceramic Mug with Lid and Cork Base"/>
    <n v="380"/>
    <m/>
    <n v="380"/>
    <n v="19"/>
    <n v="399"/>
    <s v="MARINELLE"/>
    <m/>
    <m/>
    <m/>
    <n v="1"/>
  </r>
  <r>
    <x v="24"/>
    <s v="24-0037"/>
    <x v="11"/>
    <s v="-"/>
    <s v="Designing Charges"/>
    <n v="1250"/>
    <m/>
    <n v="1250"/>
    <n v="62.5"/>
    <n v="1312.5"/>
    <s v="REENA"/>
    <m/>
    <m/>
    <m/>
    <n v="1"/>
  </r>
  <r>
    <x v="21"/>
    <s v="24-0038"/>
    <x v="18"/>
    <s v="-"/>
    <s v="3 fold Flyer , Business Card"/>
    <n v="4125"/>
    <m/>
    <n v="4125"/>
    <n v="206.25"/>
    <n v="4331.25"/>
    <s v="REENA"/>
    <m/>
    <m/>
    <m/>
    <n v="1"/>
  </r>
  <r>
    <x v="25"/>
    <s v="24-0039"/>
    <x v="11"/>
    <s v="-"/>
    <s v="Metal Pen , Signage "/>
    <n v="995"/>
    <m/>
    <n v="995"/>
    <n v="49.75"/>
    <n v="1044.75"/>
    <s v="MARINELLE"/>
    <m/>
    <m/>
    <m/>
    <n v="1"/>
  </r>
  <r>
    <x v="26"/>
    <s v="24-0040"/>
    <x v="11"/>
    <s v="-"/>
    <s v="Signage"/>
    <n v="95"/>
    <m/>
    <n v="95"/>
    <n v="4.75"/>
    <n v="99.75"/>
    <s v="MARINELLE"/>
    <m/>
    <m/>
    <m/>
    <n v="1"/>
  </r>
  <r>
    <x v="0"/>
    <s v="24-0041"/>
    <x v="16"/>
    <s v="100542487200003"/>
    <s v="Business Card - JBS ( Natalie Pringle ) "/>
    <n v="210"/>
    <m/>
    <n v="210"/>
    <n v="10.5"/>
    <n v="220.5"/>
    <s v="REENA"/>
    <m/>
    <m/>
    <m/>
    <n v="1"/>
  </r>
  <r>
    <x v="27"/>
    <s v="24-0042"/>
    <x v="16"/>
    <s v="100336122500003"/>
    <s v="Polo Shirt"/>
    <n v="1106"/>
    <m/>
    <n v="1106"/>
    <n v="55.300000000000004"/>
    <n v="1161.3"/>
    <s v="GLEN"/>
    <m/>
    <m/>
    <m/>
    <n v="1"/>
  </r>
  <r>
    <x v="0"/>
    <s v="24-0043"/>
    <x v="16"/>
    <s v="100542487200003"/>
    <s v="Table Cloth - DBSJ , Table Runner"/>
    <n v="435"/>
    <m/>
    <n v="435"/>
    <n v="21.75"/>
    <n v="456.75"/>
    <s v="REENA"/>
    <m/>
    <m/>
    <m/>
    <n v="1"/>
  </r>
  <r>
    <x v="0"/>
    <s v="24-0044"/>
    <x v="16"/>
    <s v="100542487200003"/>
    <s v="Display Stand - AAG"/>
    <n v="5580"/>
    <m/>
    <n v="5580"/>
    <n v="279"/>
    <n v="5859"/>
    <s v="REENA"/>
    <m/>
    <m/>
    <m/>
    <n v="1"/>
  </r>
  <r>
    <x v="28"/>
    <s v="24-0045"/>
    <x v="7"/>
    <s v="-"/>
    <s v="Repair of 2 Trophies "/>
    <n v="400"/>
    <m/>
    <n v="400"/>
    <n v="20"/>
    <n v="420"/>
    <s v="MARINELLE"/>
    <m/>
    <m/>
    <m/>
    <n v="1"/>
  </r>
  <r>
    <x v="29"/>
    <s v="24-0046"/>
    <x v="19"/>
    <s v="100494671900003"/>
    <s v="Customized Small Envelope , Letterhead"/>
    <n v="745"/>
    <m/>
    <n v="745"/>
    <n v="37.25"/>
    <n v="782.25"/>
    <s v="MARINELLE"/>
    <m/>
    <m/>
    <m/>
    <n v="1"/>
  </r>
  <r>
    <x v="30"/>
    <s v="24-0047"/>
    <x v="19"/>
    <s v=" 104020641700003"/>
    <s v="Letterhead"/>
    <n v="250"/>
    <m/>
    <n v="250"/>
    <n v="12.5"/>
    <n v="262.5"/>
    <s v="MARINELLE"/>
    <m/>
    <m/>
    <m/>
    <n v="1"/>
  </r>
  <r>
    <x v="31"/>
    <s v="24-0048"/>
    <x v="19"/>
    <s v=" 100566746200003"/>
    <s v="Letterhead"/>
    <n v="250"/>
    <m/>
    <n v="250"/>
    <n v="12.5"/>
    <n v="262.5"/>
    <s v="MARINELLE"/>
    <m/>
    <m/>
    <m/>
    <n v="1"/>
  </r>
  <r>
    <x v="32"/>
    <s v="24-0049"/>
    <x v="19"/>
    <s v="104149170300003"/>
    <s v="Letterhead"/>
    <n v="200"/>
    <m/>
    <n v="200"/>
    <n v="10"/>
    <n v="210"/>
    <s v="MARINELLE"/>
    <m/>
    <m/>
    <m/>
    <n v="1"/>
  </r>
  <r>
    <x v="33"/>
    <s v="24-0050"/>
    <x v="20"/>
    <s v="104020118600003"/>
    <s v="Recycled 15W Wireless Charger Multi - Cable Set"/>
    <n v="3950"/>
    <m/>
    <n v="3950"/>
    <n v="197.5"/>
    <n v="4147.5"/>
    <s v="REENA"/>
    <m/>
    <m/>
    <m/>
    <n v="1"/>
  </r>
  <r>
    <x v="18"/>
    <s v="24-0051"/>
    <x v="20"/>
    <s v="100593105800003"/>
    <s v="Service award certificates"/>
    <n v="28"/>
    <m/>
    <n v="28"/>
    <n v="1.4000000000000001"/>
    <n v="29.4"/>
    <s v="REENA"/>
    <m/>
    <m/>
    <m/>
    <n v="1"/>
  </r>
  <r>
    <x v="34"/>
    <s v="24-0052"/>
    <x v="12"/>
    <s v="104166051300003"/>
    <s v="Business card , Pocket Folder , Letterhead"/>
    <n v="1780"/>
    <m/>
    <n v="1780"/>
    <n v="89"/>
    <n v="1869"/>
    <s v="REENA"/>
    <m/>
    <m/>
    <m/>
    <n v="1"/>
  </r>
  <r>
    <x v="35"/>
    <s v="24-0053"/>
    <x v="20"/>
    <s v="-"/>
    <s v="Wall Calendar"/>
    <n v="4687.5"/>
    <m/>
    <n v="4687.5"/>
    <n v="234.375"/>
    <n v="4921.875"/>
    <s v="MARINELLE"/>
    <m/>
    <m/>
    <m/>
    <n v="1"/>
  </r>
  <r>
    <x v="20"/>
    <s v="24-0054"/>
    <x v="20"/>
    <s v="100235699400003"/>
    <s v="Business Cards ( Waleed Asfour )"/>
    <n v="405"/>
    <m/>
    <n v="405"/>
    <n v="20.25"/>
    <n v="425.25"/>
    <s v="REENA"/>
    <m/>
    <m/>
    <m/>
    <n v="1"/>
  </r>
  <r>
    <x v="20"/>
    <s v="24-0055"/>
    <x v="20"/>
    <s v="100235699400003"/>
    <s v="Business Cards ( Madhu Mala )"/>
    <n v="405"/>
    <m/>
    <n v="405"/>
    <n v="20.25"/>
    <n v="425.25"/>
    <s v="REENA"/>
    <m/>
    <m/>
    <m/>
    <n v="1"/>
  </r>
  <r>
    <x v="20"/>
    <s v="24-0056"/>
    <x v="20"/>
    <s v="100235699400003"/>
    <s v="Business Cards ( Varghese Mathew )"/>
    <n v="405"/>
    <m/>
    <n v="405"/>
    <n v="20.25"/>
    <n v="425.25"/>
    <s v="REENA"/>
    <m/>
    <m/>
    <m/>
    <n v="1"/>
  </r>
  <r>
    <x v="36"/>
    <s v="24-0057"/>
    <x v="12"/>
    <s v="100349055200003"/>
    <s v="Anti Stress Balls"/>
    <n v="1125"/>
    <m/>
    <n v="1125"/>
    <n v="56.25"/>
    <n v="1181.25"/>
    <s v="MARINELLE"/>
    <m/>
    <m/>
    <m/>
    <n v="1"/>
  </r>
  <r>
    <x v="37"/>
    <s v="24-0058"/>
    <x v="19"/>
    <s v="100249843200003 "/>
    <s v="Flags with Eyelets , Lanyard (Customized) , Certificate Holder , Grid Lined Notebook 7mm x 7mm , Non Woven Bag , Journal (Landscape)"/>
    <n v="19067.5"/>
    <m/>
    <n v="19067.5"/>
    <n v="953.375"/>
    <n v="20020.875"/>
    <s v="MARINELLE"/>
    <m/>
    <m/>
    <m/>
    <n v="1"/>
  </r>
  <r>
    <x v="38"/>
    <s v="24-0059"/>
    <x v="12"/>
    <s v="100044062600003"/>
    <s v="Polo Shirt"/>
    <n v="1140"/>
    <m/>
    <n v="1140"/>
    <n v="57"/>
    <n v="1197"/>
    <s v="MARINELLE"/>
    <m/>
    <m/>
    <m/>
    <n v="1"/>
  </r>
  <r>
    <x v="19"/>
    <s v="24-0060"/>
    <x v="19"/>
    <s v="-"/>
    <s v="RFID Sliding Card Holder , Wood &amp; Crystal Trophy , Wooden Trophy with Diamond Crystal on Top , Non Woven Bag"/>
    <n v="7082.5"/>
    <m/>
    <n v="7082.5"/>
    <n v="354.125"/>
    <n v="7436.625"/>
    <s v="MARINELLE"/>
    <m/>
    <m/>
    <m/>
    <n v="1"/>
  </r>
  <r>
    <x v="27"/>
    <s v="24-0061"/>
    <x v="12"/>
    <s v="100336122500003"/>
    <s v="Metal Pen ( White / Blue ) "/>
    <n v="4675"/>
    <m/>
    <n v="4675"/>
    <n v="233.75"/>
    <n v="4908.75"/>
    <s v="GLEN"/>
    <m/>
    <m/>
    <m/>
    <n v="1"/>
  </r>
  <r>
    <x v="6"/>
    <s v="24-0062"/>
    <x v="19"/>
    <s v="100430750800003"/>
    <s v="Business card"/>
    <n v="440"/>
    <m/>
    <n v="440"/>
    <n v="22"/>
    <n v="462"/>
    <s v="REENA"/>
    <m/>
    <m/>
    <m/>
    <n v="1"/>
  </r>
  <r>
    <x v="0"/>
    <s v="24-0063"/>
    <x v="12"/>
    <s v="100542487200003"/>
    <s v="A5 Booklet - DBSJP (Dec/Jan)"/>
    <n v="475"/>
    <m/>
    <n v="475"/>
    <n v="23.75"/>
    <n v="498.75"/>
    <s v="REENA"/>
    <m/>
    <m/>
    <m/>
    <n v="1"/>
  </r>
  <r>
    <x v="0"/>
    <s v="24-0064"/>
    <x v="12"/>
    <s v="100542487200003"/>
    <s v="Instagram Frame - Taaleem"/>
    <n v="280"/>
    <m/>
    <n v="280"/>
    <n v="14"/>
    <n v="294"/>
    <s v="REENA"/>
    <m/>
    <m/>
    <m/>
    <n v="1"/>
  </r>
  <r>
    <x v="5"/>
    <s v="24-0065"/>
    <x v="12"/>
    <s v="104037069200003"/>
    <s v="Signage - Italian Furniture (without light)"/>
    <n v="4525"/>
    <m/>
    <n v="4525"/>
    <n v="226.25"/>
    <n v="4751.25"/>
    <s v="REENA"/>
    <m/>
    <m/>
    <m/>
    <n v="1"/>
  </r>
  <r>
    <x v="39"/>
    <s v="24-0066"/>
    <x v="12"/>
    <s v="-"/>
    <s v="Rollup Banner"/>
    <n v="525"/>
    <m/>
    <n v="525"/>
    <n v="26.25"/>
    <n v="551.25"/>
    <s v="REENA"/>
    <m/>
    <m/>
    <m/>
    <n v="1"/>
  </r>
  <r>
    <x v="40"/>
    <s v="24-0067"/>
    <x v="21"/>
    <s v="100204025900003"/>
    <s v="Glass Door Sticker ( Plotter Cut Sticker )"/>
    <n v="300"/>
    <m/>
    <n v="300"/>
    <n v="15"/>
    <n v="315"/>
    <s v="GLEN"/>
    <m/>
    <m/>
    <m/>
    <n v="1"/>
  </r>
  <r>
    <x v="6"/>
    <s v="24-0068"/>
    <x v="21"/>
    <s v=" 100430750800003"/>
    <s v="Tote Bags , Metal Pens , Sticker , A4 Flyers , MBA Flyer - Trifold"/>
    <n v="9558.4"/>
    <m/>
    <n v="9558.4"/>
    <n v="477.92"/>
    <n v="10036.32"/>
    <s v="REENA"/>
    <m/>
    <m/>
    <m/>
    <n v="1"/>
  </r>
  <r>
    <x v="41"/>
    <s v="24-0069"/>
    <x v="21"/>
    <s v="100048520900003"/>
    <s v="Board Supply January, 2024"/>
    <n v="165"/>
    <m/>
    <n v="165"/>
    <n v="8.25"/>
    <n v="173.25"/>
    <s v="REENA"/>
    <m/>
    <m/>
    <m/>
    <n v="1"/>
  </r>
  <r>
    <x v="41"/>
    <s v="24-0070"/>
    <x v="21"/>
    <s v="100048520900003"/>
    <s v="Board Supply January, 2024"/>
    <n v="210"/>
    <m/>
    <n v="210"/>
    <n v="10.5"/>
    <n v="220.5"/>
    <s v="REENA"/>
    <m/>
    <m/>
    <m/>
    <n v="1"/>
  </r>
  <r>
    <x v="42"/>
    <s v="24-0071"/>
    <x v="21"/>
    <s v="100435244700003"/>
    <s v="Sampling Charges"/>
    <n v="150"/>
    <m/>
    <n v="150"/>
    <n v="7.5"/>
    <n v="157.5"/>
    <s v="MARINELLE"/>
    <m/>
    <m/>
    <m/>
    <n v="1"/>
  </r>
  <r>
    <x v="43"/>
    <s v="24-0072"/>
    <x v="21"/>
    <s v="100003895800003"/>
    <s v="Paper Cups with Lids"/>
    <n v="0"/>
    <m/>
    <n v="0"/>
    <n v="0"/>
    <n v="0"/>
    <s v="MARINELLE"/>
    <m/>
    <m/>
    <m/>
    <n v="1"/>
  </r>
  <r>
    <x v="44"/>
    <s v="24-0073"/>
    <x v="21"/>
    <s v="100533217400003"/>
    <s v="Corporate Media Kit ( Island Tuckshop Pvt Ltd )"/>
    <n v="1250"/>
    <m/>
    <n v="1250"/>
    <n v="62.5"/>
    <n v="1312.5"/>
    <s v="REENA"/>
    <m/>
    <m/>
    <m/>
    <n v="1"/>
  </r>
  <r>
    <x v="37"/>
    <s v="24-0074"/>
    <x v="21"/>
    <s v=" 100249843200003 "/>
    <s v="Lanyard (Customized)"/>
    <n v="126"/>
    <m/>
    <n v="126"/>
    <n v="6.3000000000000007"/>
    <n v="132.30000000000001"/>
    <s v="MARINELLE"/>
    <m/>
    <m/>
    <m/>
    <n v="1"/>
  </r>
  <r>
    <x v="45"/>
    <s v="24-0075"/>
    <x v="21"/>
    <s v="100594103200003"/>
    <s v="Business Card ( RICHARD ZUCCALA , LORNA BINNIE, MARITES SUNDIAM , MICHAEL HUNTER )"/>
    <n v="1060"/>
    <m/>
    <n v="1060"/>
    <n v="53"/>
    <n v="1113"/>
    <s v="MARINELLE"/>
    <m/>
    <m/>
    <m/>
    <n v="1"/>
  </r>
  <r>
    <x v="18"/>
    <s v="24-0076"/>
    <x v="21"/>
    <s v="100593105800003"/>
    <s v="Rollup Banners (Roadshow) , A4 Flyer , A3 Poster"/>
    <n v="4785"/>
    <m/>
    <n v="4785"/>
    <n v="239.25"/>
    <n v="5024.25"/>
    <s v="REENA"/>
    <m/>
    <m/>
    <m/>
    <n v="1"/>
  </r>
  <r>
    <x v="46"/>
    <s v="24-0077"/>
    <x v="21"/>
    <s v="100279643900003"/>
    <s v="Gift box ( Notebook - Premium , Metal Ballpoint Pen )"/>
    <n v="14375"/>
    <m/>
    <n v="14375"/>
    <n v="718.75"/>
    <n v="15093.75"/>
    <s v="REENA"/>
    <m/>
    <m/>
    <m/>
    <n v="1"/>
  </r>
  <r>
    <x v="47"/>
    <s v="24-0078"/>
    <x v="22"/>
    <s v=" 104048906200003"/>
    <s v="Paper Bag (50% Advance Invoice)"/>
    <n v="1575"/>
    <m/>
    <n v="1575"/>
    <n v="78.75"/>
    <n v="1653.75"/>
    <s v="MARINELLE"/>
    <m/>
    <m/>
    <m/>
    <n v="1"/>
  </r>
  <r>
    <x v="48"/>
    <s v="24-0079"/>
    <x v="23"/>
    <s v="100277137400003"/>
    <s v="4 in 1 Charging Cable"/>
    <n v="1400"/>
    <m/>
    <n v="1400"/>
    <n v="70"/>
    <n v="1470"/>
    <s v="MARINELLE"/>
    <m/>
    <m/>
    <m/>
    <n v="1"/>
  </r>
  <r>
    <x v="47"/>
    <s v="24-0080"/>
    <x v="23"/>
    <s v="104048906200003"/>
    <s v="Paper Bag ( 50% Final Payment )"/>
    <n v="1575"/>
    <m/>
    <n v="1575"/>
    <n v="78.75"/>
    <n v="1653.75"/>
    <s v="MARINELLE"/>
    <m/>
    <m/>
    <m/>
    <n v="1"/>
  </r>
  <r>
    <x v="49"/>
    <s v="24-0081"/>
    <x v="23"/>
    <s v="100245948300003"/>
    <s v="Showroom Signage Change"/>
    <n v="275"/>
    <m/>
    <n v="275"/>
    <n v="13.75"/>
    <n v="288.75"/>
    <s v="REENA"/>
    <m/>
    <m/>
    <m/>
    <n v="1"/>
  </r>
  <r>
    <x v="50"/>
    <s v="24-0082"/>
    <x v="24"/>
    <s v="100052630900003"/>
    <s v="Trophy"/>
    <n v="10965"/>
    <m/>
    <n v="10965"/>
    <n v="548.25"/>
    <n v="11513.25"/>
    <s v="MARINELLE"/>
    <m/>
    <m/>
    <m/>
    <n v="1"/>
  </r>
  <r>
    <x v="51"/>
    <s v="24-0083"/>
    <x v="25"/>
    <s v=" 100377505100003"/>
    <s v="Trophy - 10 years of  Partnership - Al Fardan Group"/>
    <n v="685"/>
    <m/>
    <n v="685"/>
    <n v="34.25"/>
    <n v="719.25"/>
    <s v="REENA"/>
    <m/>
    <m/>
    <m/>
    <n v="1"/>
  </r>
  <r>
    <x v="20"/>
    <s v="24-0084"/>
    <x v="25"/>
    <s v="100235699400003"/>
    <s v="Business Cards ( Preeti D’souza )"/>
    <n v="405"/>
    <m/>
    <n v="405"/>
    <n v="20.25"/>
    <n v="425.25"/>
    <s v="REENA"/>
    <m/>
    <m/>
    <m/>
    <n v="1"/>
  </r>
  <r>
    <x v="52"/>
    <s v="24-0085"/>
    <x v="26"/>
    <s v="-"/>
    <s v="Clear Sticker , Safety Vest"/>
    <n v="779"/>
    <m/>
    <n v="779"/>
    <n v="38.950000000000003"/>
    <n v="817.95"/>
    <s v="MARINELLE"/>
    <m/>
    <m/>
    <m/>
    <n v="1"/>
  </r>
  <r>
    <x v="53"/>
    <s v="24-0086"/>
    <x v="27"/>
    <s v="-"/>
    <s v="A3 Desktop Rollup"/>
    <n v="140"/>
    <m/>
    <n v="140"/>
    <n v="7"/>
    <n v="147"/>
    <s v="REENA"/>
    <m/>
    <m/>
    <m/>
    <n v="1"/>
  </r>
  <r>
    <x v="49"/>
    <s v="24-0087"/>
    <x v="28"/>
    <s v="100245948300003"/>
    <s v="Gift Voucher"/>
    <n v="350"/>
    <m/>
    <n v="350"/>
    <n v="17.5"/>
    <n v="367.5"/>
    <s v="REENA"/>
    <m/>
    <m/>
    <m/>
    <n v="1"/>
  </r>
  <r>
    <x v="54"/>
    <s v="24-0088"/>
    <x v="28"/>
    <s v="104061690400003"/>
    <s v="Polo Shirt (Customized) , Round Neck T-Shirt"/>
    <n v="989"/>
    <m/>
    <n v="989"/>
    <n v="49.45"/>
    <n v="1038.45"/>
    <s v="MARINELLE"/>
    <m/>
    <m/>
    <m/>
    <n v="1"/>
  </r>
  <r>
    <x v="55"/>
    <s v="24-0089"/>
    <x v="28"/>
    <s v="100433257100003"/>
    <s v="Kraft Paper Bag"/>
    <n v="1580"/>
    <m/>
    <n v="1580"/>
    <n v="79"/>
    <n v="1659"/>
    <s v="MARINELLE"/>
    <m/>
    <m/>
    <m/>
    <n v="1"/>
  </r>
  <r>
    <x v="0"/>
    <s v="24-0090"/>
    <x v="29"/>
    <s v="100542487200003"/>
    <s v="Receipts - AAG"/>
    <n v="1125"/>
    <m/>
    <n v="1125"/>
    <n v="56.25"/>
    <n v="1181.25"/>
    <s v="REENA"/>
    <m/>
    <m/>
    <m/>
    <n v="1"/>
  </r>
  <r>
    <x v="17"/>
    <s v="24-0091"/>
    <x v="28"/>
    <s v="-"/>
    <s v="Business card ( Right Trademark )"/>
    <n v="190"/>
    <m/>
    <n v="190"/>
    <n v="9.5"/>
    <n v="199.5"/>
    <s v="REENA"/>
    <m/>
    <m/>
    <m/>
    <n v="1"/>
  </r>
  <r>
    <x v="20"/>
    <s v="24-0092"/>
    <x v="29"/>
    <s v="100235699400003"/>
    <s v="Business cards ( MTA )"/>
    <n v="390"/>
    <m/>
    <n v="390"/>
    <n v="19.5"/>
    <n v="409.5"/>
    <s v="REENA"/>
    <m/>
    <m/>
    <m/>
    <n v="1"/>
  </r>
  <r>
    <x v="20"/>
    <s v="24-0093"/>
    <x v="29"/>
    <s v="100235699400003"/>
    <s v="Crystal Trophy"/>
    <n v="1800"/>
    <m/>
    <n v="1800"/>
    <n v="90"/>
    <n v="1890"/>
    <s v="REENA"/>
    <m/>
    <m/>
    <m/>
    <n v="1"/>
  </r>
  <r>
    <x v="56"/>
    <s v="24-0094"/>
    <x v="30"/>
    <n v="100060213400003"/>
    <s v="Wedding Luggage Tags"/>
    <n v="13000"/>
    <m/>
    <n v="13000"/>
    <n v="650"/>
    <n v="13650"/>
    <s v="REENA"/>
    <m/>
    <m/>
    <m/>
    <n v="1"/>
  </r>
  <r>
    <x v="57"/>
    <s v="24-0095"/>
    <x v="31"/>
    <s v="-"/>
    <s v="Letterhead "/>
    <n v="525"/>
    <m/>
    <n v="525"/>
    <n v="26.25"/>
    <n v="551.25"/>
    <s v="REENA"/>
    <m/>
    <m/>
    <m/>
    <n v="1"/>
  </r>
  <r>
    <x v="0"/>
    <s v="24-0096"/>
    <x v="32"/>
    <n v="100542487200003"/>
    <s v="Selfie Frame - DBSJP , Prop - #Outstanding"/>
    <n v="595"/>
    <m/>
    <n v="595"/>
    <n v="29.75"/>
    <n v="624.75"/>
    <s v="REENA"/>
    <m/>
    <m/>
    <m/>
    <n v="1"/>
  </r>
  <r>
    <x v="0"/>
    <s v="24-0097"/>
    <x v="31"/>
    <n v="100542487200003"/>
    <s v="Roll Up - AAG"/>
    <n v="145"/>
    <m/>
    <n v="145"/>
    <n v="7.25"/>
    <n v="152.25"/>
    <s v="REENA"/>
    <m/>
    <m/>
    <m/>
    <n v="1"/>
  </r>
  <r>
    <x v="10"/>
    <s v="24-0098"/>
    <x v="33"/>
    <n v="100540543400003"/>
    <s v="NCR Book , Business Cards"/>
    <n v="860"/>
    <m/>
    <n v="860"/>
    <n v="43"/>
    <n v="903"/>
    <s v="MARINELLE"/>
    <m/>
    <m/>
    <m/>
    <n v="1"/>
  </r>
  <r>
    <x v="0"/>
    <s v="24-0099"/>
    <x v="34"/>
    <n v="100542487200003"/>
    <s v="Letterhead - FICHTE"/>
    <n v="625"/>
    <m/>
    <n v="625"/>
    <n v="31.25"/>
    <n v="656.25"/>
    <s v="REENA"/>
    <m/>
    <m/>
    <m/>
    <n v="1"/>
  </r>
  <r>
    <x v="58"/>
    <s v="24-0100"/>
    <x v="31"/>
    <n v="100470289800003"/>
    <s v="Flex to be changed for existing light box"/>
    <n v="8850"/>
    <m/>
    <n v="8850"/>
    <n v="442.5"/>
    <n v="9292.5"/>
    <s v="REENA"/>
    <m/>
    <m/>
    <m/>
    <n v="1"/>
  </r>
  <r>
    <x v="59"/>
    <s v="24-0101"/>
    <x v="31"/>
    <s v="IT 07817950152"/>
    <s v="Flyer , Recycled 6-in-1 Charging Cable"/>
    <n v="3335"/>
    <m/>
    <n v="3335"/>
    <n v="166.75"/>
    <n v="3501.75"/>
    <s v="MARINELLE"/>
    <m/>
    <m/>
    <m/>
    <n v="1"/>
  </r>
  <r>
    <x v="60"/>
    <s v="24-0102"/>
    <x v="31"/>
    <s v="-"/>
    <s v="Brochure"/>
    <n v="1225"/>
    <m/>
    <n v="1225"/>
    <n v="61.25"/>
    <n v="1286.25"/>
    <s v="REENA"/>
    <m/>
    <m/>
    <m/>
    <n v="1"/>
  </r>
  <r>
    <x v="18"/>
    <s v="24-0103"/>
    <x v="33"/>
    <n v="100593105800003"/>
    <s v="Dubai Roadshow Millenium Downtown, 17th Feb 2024"/>
    <n v="103245.5"/>
    <m/>
    <n v="103245.5"/>
    <n v="5162.2750000000005"/>
    <n v="108407.77499999999"/>
    <s v="REENA"/>
    <m/>
    <m/>
    <m/>
    <n v="1"/>
  </r>
  <r>
    <x v="18"/>
    <s v="24-0104"/>
    <x v="33"/>
    <n v="100593105800003"/>
    <s v="Abu Dhabi Roadshow 18 Feb 2024, InterContinental "/>
    <n v="51717.75"/>
    <m/>
    <n v="51717.75"/>
    <n v="2585.8875000000003"/>
    <n v="54303.637499999997"/>
    <s v="REENA"/>
    <m/>
    <m/>
    <m/>
    <n v="1"/>
  </r>
  <r>
    <x v="61"/>
    <s v="24-0105"/>
    <x v="35"/>
    <n v="100323347300003"/>
    <s v="Parking Signage"/>
    <n v="892.5"/>
    <m/>
    <n v="892.5"/>
    <n v="44.625"/>
    <n v="937.125"/>
    <s v="MARINELLE"/>
    <m/>
    <m/>
    <m/>
    <n v="1"/>
  </r>
  <r>
    <x v="0"/>
    <s v="24-0106"/>
    <x v="35"/>
    <n v="100542487200003"/>
    <s v="Flyer -  Taylor Wessing"/>
    <n v="190"/>
    <m/>
    <n v="190"/>
    <n v="9.5"/>
    <n v="199.5"/>
    <s v="REENA"/>
    <m/>
    <m/>
    <m/>
    <n v="1"/>
  </r>
  <r>
    <x v="0"/>
    <s v="24-0107"/>
    <x v="34"/>
    <n v="100542487200003"/>
    <s v="Journal - DBSEH"/>
    <n v="585"/>
    <m/>
    <n v="585"/>
    <n v="29.25"/>
    <n v="614.25"/>
    <s v="REENA"/>
    <m/>
    <m/>
    <m/>
    <n v="1"/>
  </r>
  <r>
    <x v="62"/>
    <s v="24-0108"/>
    <x v="35"/>
    <n v="100359923800003"/>
    <s v="Polo Shirts"/>
    <n v="1920"/>
    <m/>
    <n v="1920"/>
    <n v="96"/>
    <n v="2016"/>
    <s v="MARINELLE"/>
    <m/>
    <m/>
    <m/>
    <n v="1"/>
  </r>
  <r>
    <x v="63"/>
    <s v="24-0109"/>
    <x v="36"/>
    <n v="100484375900003"/>
    <s v="Business Cards , ID Cards"/>
    <n v="420"/>
    <m/>
    <n v="420"/>
    <n v="21"/>
    <n v="441"/>
    <s v="REENA"/>
    <m/>
    <m/>
    <m/>
    <n v="1"/>
  </r>
  <r>
    <x v="0"/>
    <s v="24-0110"/>
    <x v="36"/>
    <n v="100542487200003"/>
    <s v="Top Curve Flags - Al Salaam Charter School"/>
    <n v="6250"/>
    <m/>
    <n v="6250"/>
    <n v="312.5"/>
    <n v="6562.5"/>
    <s v="REENA"/>
    <m/>
    <m/>
    <m/>
    <n v="1"/>
  </r>
  <r>
    <x v="0"/>
    <s v="24-0111"/>
    <x v="37"/>
    <n v="100542487200003"/>
    <s v="Rollup Banners (GIS) , Designing charges"/>
    <n v="390"/>
    <m/>
    <n v="390"/>
    <n v="19.5"/>
    <n v="409.5"/>
    <s v="REENA"/>
    <m/>
    <m/>
    <m/>
    <n v="1"/>
  </r>
  <r>
    <x v="0"/>
    <s v="24-0112"/>
    <x v="37"/>
    <n v="100542487200003"/>
    <s v="Round Neck Tshirts (Wellbeing) - Charter School"/>
    <n v="4220.5"/>
    <m/>
    <n v="4220.5"/>
    <n v="211.02500000000001"/>
    <n v="4431.5249999999996"/>
    <s v="REENA"/>
    <m/>
    <m/>
    <m/>
    <n v="1"/>
  </r>
  <r>
    <x v="20"/>
    <s v="24-0113"/>
    <x v="37"/>
    <n v="100235699400003"/>
    <s v="Business Cards ( Dipak M Shelke )"/>
    <n v="405"/>
    <m/>
    <n v="405"/>
    <n v="20.25"/>
    <n v="425.25"/>
    <s v="REENA"/>
    <m/>
    <m/>
    <m/>
    <n v="1"/>
  </r>
  <r>
    <x v="36"/>
    <s v="24-0114"/>
    <x v="38"/>
    <n v="100349055200003"/>
    <s v="Vertical Matt Veneer Wooden Plaque"/>
    <n v="225"/>
    <m/>
    <n v="225"/>
    <n v="11.25"/>
    <n v="236.25"/>
    <s v="MARINELLE"/>
    <m/>
    <m/>
    <m/>
    <n v="1"/>
  </r>
  <r>
    <x v="64"/>
    <s v="24-0115"/>
    <x v="37"/>
    <n v="103215109200003"/>
    <s v="A4 Pocket Folder , A4 Envelope , DL Envelope , A5 Notebook , Pens (Plastic) , Ceramic Mugs , Plastic Folders (transcluscent)"/>
    <n v="2715"/>
    <m/>
    <n v="2715"/>
    <n v="135.75"/>
    <n v="2850.75"/>
    <s v="REENA"/>
    <m/>
    <m/>
    <m/>
    <n v="1"/>
  </r>
  <r>
    <x v="51"/>
    <s v="24-0116"/>
    <x v="39"/>
    <n v="100377505100003"/>
    <s v="Trophy"/>
    <n v="3150"/>
    <m/>
    <n v="3150"/>
    <n v="157.5"/>
    <n v="3307.5"/>
    <s v="REENA"/>
    <m/>
    <m/>
    <m/>
    <n v="1"/>
  </r>
  <r>
    <x v="18"/>
    <s v="24-0117"/>
    <x v="37"/>
    <n v="100593105800003"/>
    <s v="Name Tags , Expo Cards"/>
    <n v="0"/>
    <m/>
    <n v="0"/>
    <n v="0"/>
    <n v="0"/>
    <s v="REENA"/>
    <m/>
    <m/>
    <m/>
    <n v="1"/>
  </r>
  <r>
    <x v="18"/>
    <s v="24-0118"/>
    <x v="37"/>
    <n v="100593105800003"/>
    <s v="IDP Excellence Awards - 21-Feb-24"/>
    <n v="7142.1"/>
    <m/>
    <n v="7142.1"/>
    <n v="357.10500000000002"/>
    <n v="7499.2049999999999"/>
    <s v="REENA"/>
    <m/>
    <m/>
    <m/>
    <n v="1"/>
  </r>
  <r>
    <x v="18"/>
    <s v="24-0119"/>
    <x v="37"/>
    <n v="100593105800003"/>
    <s v="Roll up , A3 Posters , Certificates"/>
    <n v="1419"/>
    <m/>
    <n v="1419"/>
    <n v="70.95"/>
    <n v="1489.95"/>
    <s v="REENA"/>
    <m/>
    <m/>
    <m/>
    <n v="1"/>
  </r>
  <r>
    <x v="18"/>
    <s v="24-0120"/>
    <x v="37"/>
    <n v="100593105800003"/>
    <s v="IDP Business Cards -  (Abu Dhabi)"/>
    <n v="960"/>
    <m/>
    <n v="960"/>
    <n v="48"/>
    <n v="1008"/>
    <s v="REENA"/>
    <m/>
    <m/>
    <m/>
    <n v="1"/>
  </r>
  <r>
    <x v="18"/>
    <s v="24-0121"/>
    <x v="37"/>
    <n v="100593105800003"/>
    <s v="IDP Business Cards - (Dubai ) "/>
    <n v="0"/>
    <m/>
    <n v="0"/>
    <n v="0"/>
    <n v="0"/>
    <s v="REENA"/>
    <m/>
    <m/>
    <m/>
    <n v="1"/>
  </r>
  <r>
    <x v="65"/>
    <s v="24-0122"/>
    <x v="40"/>
    <n v="100246622300003"/>
    <s v="Business card , Ribbons with printing , Paper Bag , Paper Stickers , Wrapping Paper"/>
    <n v="3490"/>
    <m/>
    <n v="3490"/>
    <n v="174"/>
    <n v="3664"/>
    <s v="REENA"/>
    <m/>
    <m/>
    <m/>
    <n v="1"/>
  </r>
  <r>
    <x v="66"/>
    <s v="24-0123"/>
    <x v="38"/>
    <n v="100247605700003"/>
    <s v="Gift Box - Black  , Paper Bag "/>
    <n v="0"/>
    <m/>
    <n v="0"/>
    <n v="0"/>
    <n v="0"/>
    <s v="REENA"/>
    <m/>
    <m/>
    <m/>
    <n v="1"/>
  </r>
  <r>
    <x v="12"/>
    <s v="24-0124"/>
    <x v="40"/>
    <n v="100482284500003"/>
    <s v="Business Card"/>
    <n v="310"/>
    <m/>
    <n v="310"/>
    <n v="15.5"/>
    <n v="325.5"/>
    <s v="REENA"/>
    <m/>
    <m/>
    <m/>
    <n v="1"/>
  </r>
  <r>
    <x v="66"/>
    <s v="24-0125"/>
    <x v="41"/>
    <n v="100247605700003"/>
    <s v="Gift Box - Black , Paper Bag"/>
    <n v="6775"/>
    <m/>
    <n v="6775"/>
    <n v="338.75"/>
    <n v="7113.75"/>
    <s v="REENA"/>
    <m/>
    <m/>
    <m/>
    <n v="1"/>
  </r>
  <r>
    <x v="42"/>
    <s v="24-0126"/>
    <x v="41"/>
    <n v="100435244700003"/>
    <s v="Big Card, Small Card, Thank You Card"/>
    <n v="915"/>
    <m/>
    <n v="915"/>
    <n v="45.75"/>
    <n v="960.75"/>
    <s v="MARINELLE"/>
    <m/>
    <m/>
    <m/>
    <n v="1"/>
  </r>
  <r>
    <x v="67"/>
    <s v="24-0127"/>
    <x v="41"/>
    <s v="-"/>
    <s v="Brochure 2024 , Courier Charges to Abu Dhabi"/>
    <n v="1925"/>
    <m/>
    <n v="1925"/>
    <n v="96.25"/>
    <n v="2021.25"/>
    <s v="REENA"/>
    <m/>
    <m/>
    <m/>
    <n v="1"/>
  </r>
  <r>
    <x v="30"/>
    <s v="24-0128"/>
    <x v="39"/>
    <n v="104020641700003"/>
    <s v="Website Designing and Development ( 75% Advance Invoice )"/>
    <n v="2362.38"/>
    <m/>
    <n v="2362.38"/>
    <n v="118.11900000000001"/>
    <n v="2480.4990000000003"/>
    <s v="REENA"/>
    <m/>
    <m/>
    <m/>
    <n v="1"/>
  </r>
  <r>
    <x v="68"/>
    <s v="24-0129"/>
    <x v="39"/>
    <n v="100566746200003"/>
    <s v="Website Designing and Development ( 75% Advance Invoice )"/>
    <n v="2362.38"/>
    <m/>
    <n v="2362.38"/>
    <n v="118.11900000000001"/>
    <n v="2480.4990000000003"/>
    <s v="REENA"/>
    <m/>
    <m/>
    <m/>
    <n v="1"/>
  </r>
  <r>
    <x v="29"/>
    <s v="24-0130"/>
    <x v="39"/>
    <n v="100494671900003"/>
    <s v="Website Designing and Development ( 75% Advance Invoice )"/>
    <n v="2362.38"/>
    <m/>
    <n v="2362.38"/>
    <n v="118.11900000000001"/>
    <n v="2480.4990000000003"/>
    <s v="REENA"/>
    <m/>
    <m/>
    <m/>
    <n v="1"/>
  </r>
  <r>
    <x v="69"/>
    <s v="24-0131"/>
    <x v="39"/>
    <n v="104061117800003"/>
    <s v="Sampling Charges - Polo Shirt"/>
    <n v="47.62"/>
    <m/>
    <n v="47.62"/>
    <n v="2.3809999999999998"/>
    <n v="50.000999999999998"/>
    <s v="REENA"/>
    <m/>
    <m/>
    <m/>
    <n v="1"/>
  </r>
  <r>
    <x v="1"/>
    <s v="24-0132"/>
    <x v="40"/>
    <n v="104166051300003"/>
    <s v="A4 Envelopes (customized) , DL Envelopes (customized) , Top spiral Notebook"/>
    <n v="1248"/>
    <m/>
    <n v="1248"/>
    <n v="62.400000000000006"/>
    <n v="1310.4000000000001"/>
    <s v="REENA"/>
    <m/>
    <m/>
    <m/>
    <n v="1"/>
  </r>
  <r>
    <x v="41"/>
    <s v="24-0133"/>
    <x v="40"/>
    <n v="100048520900003"/>
    <s v="Board Supply February, 2024"/>
    <n v="90"/>
    <m/>
    <n v="90"/>
    <n v="4.5"/>
    <n v="94.5"/>
    <s v="REENA"/>
    <m/>
    <m/>
    <m/>
    <n v="1"/>
  </r>
  <r>
    <x v="41"/>
    <s v="24-0134"/>
    <x v="40"/>
    <n v="100048520900003"/>
    <s v="Board Supply February, 2024"/>
    <n v="105"/>
    <m/>
    <n v="105"/>
    <n v="5.25"/>
    <n v="110.25"/>
    <s v="REENA"/>
    <m/>
    <m/>
    <m/>
    <n v="1"/>
  </r>
  <r>
    <x v="70"/>
    <s v="24-0135"/>
    <x v="42"/>
    <n v="100282822400003"/>
    <s v="Table cloth - Bridal Satin , A4 Flyer (ICN)"/>
    <n v="485"/>
    <m/>
    <n v="485"/>
    <n v="24.25"/>
    <n v="509.25"/>
    <s v="REENA"/>
    <m/>
    <m/>
    <m/>
    <n v="1"/>
  </r>
  <r>
    <x v="0"/>
    <s v="24-0136"/>
    <x v="40"/>
    <n v="100542487200003"/>
    <s v="Customized Vest - Taaleem"/>
    <n v="1890"/>
    <m/>
    <n v="1890"/>
    <n v="94.5"/>
    <n v="1984.5"/>
    <s v="REENA"/>
    <m/>
    <m/>
    <m/>
    <n v="1"/>
  </r>
  <r>
    <x v="10"/>
    <s v="24-0137"/>
    <x v="40"/>
    <n v="100540543400003"/>
    <s v="Receipt Voucher"/>
    <n v="487.5"/>
    <m/>
    <n v="487.5"/>
    <n v="24.375"/>
    <n v="511.875"/>
    <s v="MARINELLE"/>
    <m/>
    <m/>
    <m/>
    <n v="1"/>
  </r>
  <r>
    <x v="1"/>
    <s v="24-0138"/>
    <x v="40"/>
    <n v="104166051300003"/>
    <s v="Metal Pen , A4 Notepad"/>
    <n v="1162.5"/>
    <m/>
    <n v="1162.5"/>
    <n v="58.125"/>
    <n v="1220.625"/>
    <s v="REENA"/>
    <m/>
    <m/>
    <m/>
    <n v="1"/>
  </r>
  <r>
    <x v="30"/>
    <s v="24-0139"/>
    <x v="39"/>
    <n v="104020641700003"/>
    <s v="Website Designing and Development ( 25% Final Invoice )"/>
    <n v="787.62"/>
    <m/>
    <n v="787.62"/>
    <n v="39.381"/>
    <n v="827.00099999999998"/>
    <s v="PROFORMA"/>
    <m/>
    <m/>
    <m/>
    <n v="1"/>
  </r>
  <r>
    <x v="68"/>
    <s v="24-0140"/>
    <x v="39"/>
    <n v="100566746200003"/>
    <s v="Website Designing and Development ( 25% Final Invoice )"/>
    <n v="787.62"/>
    <m/>
    <n v="787.62"/>
    <n v="39.381"/>
    <n v="827.00099999999998"/>
    <s v="PROFORMA"/>
    <m/>
    <m/>
    <m/>
    <n v="1"/>
  </r>
  <r>
    <x v="29"/>
    <s v="24-0141"/>
    <x v="39"/>
    <n v="100494671900003"/>
    <s v="Website Designing and Development ( 25% Final Invoice )"/>
    <n v="787.62"/>
    <m/>
    <n v="787.62"/>
    <n v="39.381"/>
    <n v="827.00099999999998"/>
    <s v="PROFORMA"/>
    <m/>
    <m/>
    <m/>
    <n v="1"/>
  </r>
  <r>
    <x v="0"/>
    <s v="24-0142"/>
    <x v="42"/>
    <s v="100542487200003"/>
    <s v="Business cards (Taaleem)"/>
    <n v="450"/>
    <m/>
    <n v="450"/>
    <n v="22.5"/>
    <n v="472.5"/>
    <s v="REENA"/>
    <m/>
    <m/>
    <m/>
    <n v="1"/>
  </r>
  <r>
    <x v="6"/>
    <s v="24-0143"/>
    <x v="43"/>
    <s v="100430750800003"/>
    <s v="Business card"/>
    <n v="275"/>
    <m/>
    <n v="275"/>
    <n v="13.75"/>
    <n v="288.75"/>
    <s v="REENA"/>
    <m/>
    <m/>
    <m/>
    <n v="1"/>
  </r>
  <r>
    <x v="70"/>
    <s v="24-0144"/>
    <x v="43"/>
    <s v="100282822400003"/>
    <s v="Rollup Banner , A3 Desktop Rollup , A4 Flyer (ICN)"/>
    <n v="505"/>
    <m/>
    <n v="505"/>
    <n v="25.25"/>
    <n v="530.25"/>
    <s v="REENA"/>
    <m/>
    <m/>
    <m/>
    <n v="1"/>
  </r>
  <r>
    <x v="0"/>
    <s v="24-0145"/>
    <x v="43"/>
    <s v="100542487200003"/>
    <s v="Business Card - DBSJ"/>
    <n v="220"/>
    <m/>
    <n v="220"/>
    <n v="11"/>
    <n v="231"/>
    <s v="REENA"/>
    <m/>
    <m/>
    <m/>
    <n v="1"/>
  </r>
  <r>
    <x v="20"/>
    <s v="24-0146"/>
    <x v="44"/>
    <s v="100235699400003"/>
    <s v="Business Cards (Jomer Pinohermoso)"/>
    <n v="405"/>
    <m/>
    <n v="405"/>
    <n v="20.25"/>
    <n v="425.25"/>
    <s v="REENA"/>
    <m/>
    <m/>
    <m/>
    <n v="1"/>
  </r>
  <r>
    <x v="21"/>
    <s v="24-0147"/>
    <x v="45"/>
    <s v="-"/>
    <s v="Student Gift Set of A5 Notebook and Pen With Bamboo Element , Jute Bag"/>
    <n v="18930"/>
    <m/>
    <n v="18930"/>
    <n v="946.5"/>
    <n v="19876.5"/>
    <s v="REENA"/>
    <m/>
    <m/>
    <m/>
    <n v="1"/>
  </r>
  <r>
    <x v="21"/>
    <s v="24-0148"/>
    <x v="43"/>
    <s v="-"/>
    <s v="Brochure - Pre Departure"/>
    <n v="2585"/>
    <m/>
    <n v="2585"/>
    <n v="129.25"/>
    <n v="2714.25"/>
    <s v="REENA"/>
    <m/>
    <m/>
    <m/>
    <n v="1"/>
  </r>
  <r>
    <x v="55"/>
    <s v="24-0149"/>
    <x v="46"/>
    <s v="100433257100003"/>
    <s v="Black Mug"/>
    <n v="1130"/>
    <m/>
    <n v="1130"/>
    <n v="56.5"/>
    <n v="1186.5"/>
    <s v="MARINELLE"/>
    <m/>
    <m/>
    <m/>
    <n v="1"/>
  </r>
  <r>
    <x v="20"/>
    <s v="24-0150"/>
    <x v="44"/>
    <s v="100235699400003"/>
    <s v="Business Cards (HAKIM LABRAHMI)"/>
    <n v="405"/>
    <m/>
    <n v="405"/>
    <n v="20.25"/>
    <n v="425.25"/>
    <s v="REENA"/>
    <m/>
    <m/>
    <m/>
    <n v="1"/>
  </r>
  <r>
    <x v="0"/>
    <s v="24-0151"/>
    <x v="47"/>
    <s v="100542487200003"/>
    <s v="Leaflet - 3 fold (DBSJ)"/>
    <n v="840"/>
    <m/>
    <n v="840"/>
    <n v="42"/>
    <n v="882"/>
    <s v="REENA"/>
    <m/>
    <m/>
    <m/>
    <n v="1"/>
  </r>
  <r>
    <x v="7"/>
    <s v="24-0152"/>
    <x v="48"/>
    <s v="100348311000003"/>
    <s v="A5 Envelopes"/>
    <n v="540"/>
    <m/>
    <n v="540"/>
    <n v="27"/>
    <n v="567"/>
    <s v="REENA"/>
    <m/>
    <m/>
    <m/>
    <n v="1"/>
  </r>
  <r>
    <x v="71"/>
    <s v="24-0153"/>
    <x v="48"/>
    <s v="100483620900003"/>
    <s v="Job card"/>
    <n v="925"/>
    <m/>
    <n v="925"/>
    <n v="46.25"/>
    <n v="971.25"/>
    <s v="REENA"/>
    <m/>
    <m/>
    <m/>
    <n v="1"/>
  </r>
  <r>
    <x v="0"/>
    <s v="24-0154"/>
    <x v="48"/>
    <s v="100542487200003"/>
    <s v="Business cards -Taaleem (Nora Ghannam , Alan Williamson)"/>
    <n v="450"/>
    <m/>
    <n v="450"/>
    <n v="22.5"/>
    <n v="472.5"/>
    <s v="REENA"/>
    <m/>
    <m/>
    <m/>
    <n v="1"/>
  </r>
  <r>
    <x v="72"/>
    <s v="24-0155"/>
    <x v="49"/>
    <s v="-"/>
    <s v="Receipt Voucher Book"/>
    <n v="210"/>
    <m/>
    <n v="210"/>
    <n v="10.5"/>
    <n v="220.5"/>
    <s v="REENA"/>
    <m/>
    <m/>
    <m/>
    <n v="1"/>
  </r>
  <r>
    <x v="57"/>
    <s v="24-0156"/>
    <x v="50"/>
    <s v="-"/>
    <s v="Business card"/>
    <n v="550"/>
    <m/>
    <n v="550"/>
    <n v="27.5"/>
    <n v="577.5"/>
    <s v="REENA"/>
    <m/>
    <m/>
    <m/>
    <n v="1"/>
  </r>
  <r>
    <x v="21"/>
    <s v="24-0157"/>
    <x v="49"/>
    <s v="-"/>
    <s v="Jute Bag"/>
    <n v="662.5"/>
    <m/>
    <n v="662.5"/>
    <n v="33.125"/>
    <n v="695.625"/>
    <s v="REENA"/>
    <m/>
    <m/>
    <m/>
    <n v="1"/>
  </r>
  <r>
    <x v="63"/>
    <s v="24-0158"/>
    <x v="48"/>
    <s v="100484375900003"/>
    <s v="Business Card (Amit Nangpal)"/>
    <n v="185"/>
    <m/>
    <n v="185"/>
    <n v="9.25"/>
    <n v="194.25"/>
    <s v="REENA"/>
    <m/>
    <m/>
    <m/>
    <n v="1"/>
  </r>
  <r>
    <x v="70"/>
    <s v="24-0159"/>
    <x v="49"/>
    <s v="100282822400003"/>
    <s v="Business Cards (Alejandro Celli)"/>
    <n v="135"/>
    <m/>
    <n v="135"/>
    <n v="6.75"/>
    <n v="141.75"/>
    <s v="REENA"/>
    <m/>
    <m/>
    <m/>
    <n v="1"/>
  </r>
  <r>
    <x v="0"/>
    <s v="24-0160"/>
    <x v="51"/>
    <m/>
    <s v="Taaleem Items"/>
    <n v="3703.5"/>
    <m/>
    <n v="3703.5"/>
    <n v="185.17500000000001"/>
    <n v="3888.6750000000002"/>
    <s v="REENA"/>
    <m/>
    <m/>
    <m/>
    <n v="1"/>
  </r>
  <r>
    <x v="0"/>
    <s v="24-0161"/>
    <x v="51"/>
    <m/>
    <s v="GIS Tshirts"/>
    <n v="3360"/>
    <m/>
    <n v="3360"/>
    <n v="168"/>
    <n v="3528"/>
    <s v="REENA"/>
    <m/>
    <m/>
    <m/>
    <n v="1"/>
  </r>
  <r>
    <x v="0"/>
    <s v="24-0162"/>
    <x v="51"/>
    <m/>
    <s v="DBSJP Journal 23"/>
    <n v="475"/>
    <m/>
    <n v="475"/>
    <n v="23.75"/>
    <n v="498.75"/>
    <s v="REENA"/>
    <m/>
    <m/>
    <m/>
    <n v="1"/>
  </r>
  <r>
    <x v="73"/>
    <s v="24-0163"/>
    <x v="51"/>
    <m/>
    <s v="Note Books 50"/>
    <n v="750"/>
    <m/>
    <n v="750"/>
    <n v="37.5"/>
    <n v="787.5"/>
    <s v="MARINELLE"/>
    <m/>
    <m/>
    <m/>
    <n v="1"/>
  </r>
  <r>
    <x v="20"/>
    <s v="24-0164"/>
    <x v="52"/>
    <m/>
    <s v="BC Ifthikar"/>
    <n v="405"/>
    <m/>
    <n v="405"/>
    <n v="20.25"/>
    <n v="425.25"/>
    <s v="REENA"/>
    <m/>
    <m/>
    <m/>
    <n v="1"/>
  </r>
  <r>
    <x v="0"/>
    <s v="24-0165"/>
    <x v="53"/>
    <m/>
    <s v="AAG Gift Hampera"/>
    <n v="3600"/>
    <m/>
    <n v="3600"/>
    <n v="180"/>
    <n v="3780"/>
    <s v="REENA"/>
    <m/>
    <m/>
    <m/>
    <n v="1"/>
  </r>
  <r>
    <x v="0"/>
    <s v="24-0166"/>
    <x v="53"/>
    <m/>
    <s v="Taylor Wessing Journal"/>
    <n v="2242.5"/>
    <m/>
    <n v="2242.5"/>
    <n v="112.125"/>
    <n v="2354.625"/>
    <s v="REENA"/>
    <m/>
    <m/>
    <m/>
    <n v="1"/>
  </r>
  <r>
    <x v="6"/>
    <s v="24-0167"/>
    <x v="53"/>
    <m/>
    <s v="BC Yulia"/>
    <n v="275"/>
    <m/>
    <n v="275"/>
    <n v="13.75"/>
    <n v="288.75"/>
    <s v="REENA"/>
    <m/>
    <m/>
    <m/>
    <n v="1"/>
  </r>
  <r>
    <x v="74"/>
    <s v="24-0168"/>
    <x v="54"/>
    <m/>
    <s v="Office Branding"/>
    <n v="5350"/>
    <m/>
    <n v="5350"/>
    <n v="267.5"/>
    <n v="5617.5"/>
    <s v="REENA"/>
    <m/>
    <m/>
    <m/>
    <n v="1"/>
  </r>
  <r>
    <x v="0"/>
    <s v="24-0169"/>
    <x v="55"/>
    <m/>
    <s v="DBSJ Flyer"/>
    <n v="290"/>
    <m/>
    <n v="290"/>
    <n v="14.5"/>
    <n v="304.5"/>
    <s v="REENA"/>
    <m/>
    <m/>
    <m/>
    <n v="1"/>
  </r>
  <r>
    <x v="72"/>
    <s v="24-0170"/>
    <x v="56"/>
    <m/>
    <s v="BC Anugha"/>
    <n v="195"/>
    <m/>
    <n v="195"/>
    <n v="9.75"/>
    <n v="204.75"/>
    <s v="REENA"/>
    <m/>
    <m/>
    <m/>
    <n v="1"/>
  </r>
  <r>
    <x v="75"/>
    <s v="24-0171"/>
    <x v="57"/>
    <m/>
    <s v="Non Woven Bags"/>
    <n v="1725"/>
    <m/>
    <n v="1725"/>
    <n v="86.25"/>
    <n v="1811.25"/>
    <s v="MARINELLE"/>
    <m/>
    <m/>
    <m/>
    <n v="1"/>
  </r>
  <r>
    <x v="76"/>
    <s v="24-0172"/>
    <x v="56"/>
    <m/>
    <s v="RU/Tags/A6 Cards/Tent Cards"/>
    <n v="1925"/>
    <m/>
    <n v="1925"/>
    <n v="96.25"/>
    <n v="2021.25"/>
    <s v="REENA"/>
    <m/>
    <m/>
    <m/>
    <n v="1"/>
  </r>
  <r>
    <x v="77"/>
    <s v="24-0173"/>
    <x v="58"/>
    <m/>
    <s v="BC"/>
    <n v="275"/>
    <m/>
    <n v="275"/>
    <n v="13.75"/>
    <n v="288.75"/>
    <s v="REENA"/>
    <m/>
    <m/>
    <m/>
    <n v="1"/>
  </r>
  <r>
    <x v="77"/>
    <s v="24-0174"/>
    <x v="58"/>
    <m/>
    <s v="Pens/Bags/Flyers"/>
    <n v="10260"/>
    <m/>
    <n v="10260"/>
    <n v="513"/>
    <n v="10773"/>
    <s v="REENA"/>
    <m/>
    <m/>
    <m/>
    <n v="1"/>
  </r>
  <r>
    <x v="78"/>
    <s v="24-0175"/>
    <x v="59"/>
    <m/>
    <s v="NCR Book"/>
    <n v="285"/>
    <m/>
    <n v="285"/>
    <n v="14.25"/>
    <n v="299.25"/>
    <s v="REENA"/>
    <m/>
    <m/>
    <m/>
    <n v="1"/>
  </r>
  <r>
    <x v="11"/>
    <s v="24-0176"/>
    <x v="60"/>
    <s v="100056728700003"/>
    <s v="Office Signage"/>
    <n v="1250"/>
    <m/>
    <n v="1250"/>
    <n v="62.5"/>
    <n v="1312.5"/>
    <s v="MARINELLE"/>
    <m/>
    <m/>
    <m/>
    <n v="1"/>
  </r>
  <r>
    <x v="74"/>
    <s v="24-0177"/>
    <x v="59"/>
    <s v="100056728700003"/>
    <s v="Office Branding"/>
    <n v="1275"/>
    <m/>
    <n v="1275"/>
    <n v="63.75"/>
    <n v="1338.75"/>
    <s v="REENA"/>
    <m/>
    <m/>
    <m/>
    <n v="1"/>
  </r>
  <r>
    <x v="77"/>
    <s v="24-0178"/>
    <x v="57"/>
    <s v="100056728700003"/>
    <s v="Instagram Frame."/>
    <n v="185"/>
    <m/>
    <n v="185"/>
    <n v="9.25"/>
    <n v="194.25"/>
    <s v="REENA"/>
    <m/>
    <m/>
    <m/>
    <n v="1"/>
  </r>
  <r>
    <x v="0"/>
    <s v="24-0179"/>
    <x v="61"/>
    <s v="100056728700003"/>
    <s v="Dummy Cheque (DBSEH)"/>
    <n v="145"/>
    <m/>
    <n v="145"/>
    <n v="7.25"/>
    <n v="152.25"/>
    <s v="REENA"/>
    <m/>
    <m/>
    <m/>
    <n v="1"/>
  </r>
  <r>
    <x v="0"/>
    <s v="24-0180"/>
    <x v="61"/>
    <s v="100056728700003"/>
    <s v="Journal (DBSEH)"/>
    <n v="450"/>
    <m/>
    <n v="450"/>
    <n v="22.5"/>
    <n v="472.5"/>
    <s v="REENA"/>
    <m/>
    <m/>
    <m/>
    <n v="1"/>
  </r>
  <r>
    <x v="0"/>
    <s v="24-0181"/>
    <x v="61"/>
    <s v="100056728700003"/>
    <s v="Business card - FICHTE"/>
    <n v="630"/>
    <m/>
    <n v="630"/>
    <n v="31.5"/>
    <n v="661.5"/>
    <s v="REENA"/>
    <m/>
    <m/>
    <m/>
    <n v="1"/>
  </r>
  <r>
    <x v="79"/>
    <s v="24-0182"/>
    <x v="57"/>
    <s v="100056728700003"/>
    <s v="A6 Ramadan Cards -Power Lease/Ikonic"/>
    <n v="435"/>
    <m/>
    <n v="435"/>
    <n v="21.75"/>
    <n v="456.75"/>
    <s v="REENA"/>
    <m/>
    <m/>
    <m/>
    <n v="1"/>
  </r>
  <r>
    <x v="20"/>
    <s v="24-0183"/>
    <x v="61"/>
    <s v="100056728700003"/>
    <s v="A3 &amp; A4 ENVELOPES"/>
    <n v="1615"/>
    <m/>
    <n v="1615"/>
    <n v="80.75"/>
    <n v="1695.75"/>
    <s v="REENA"/>
    <m/>
    <m/>
    <m/>
    <n v="1"/>
  </r>
  <r>
    <x v="80"/>
    <s v="24-0184"/>
    <x v="61"/>
    <s v="100056728700003"/>
    <s v="A4 &amp; A5 Paper Bags"/>
    <n v="6920"/>
    <m/>
    <n v="6920"/>
    <n v="346"/>
    <n v="7266"/>
    <s v="MARINELLE"/>
    <m/>
    <m/>
    <m/>
    <n v="1"/>
  </r>
  <r>
    <x v="11"/>
    <s v="24-0185"/>
    <x v="62"/>
    <s v="100056728700003"/>
    <s v="Sticker on CRETA Signage"/>
    <n v="350"/>
    <m/>
    <n v="350"/>
    <n v="17.5"/>
    <n v="367.5"/>
    <s v="MARINELLE"/>
    <m/>
    <m/>
    <m/>
    <n v="1"/>
  </r>
  <r>
    <x v="81"/>
    <s v="24-0186"/>
    <x v="62"/>
    <s v="100056728700003"/>
    <s v="Polo shirts"/>
    <n v="1440"/>
    <m/>
    <n v="1440"/>
    <n v="72"/>
    <n v="1512"/>
    <s v="MARINELLE"/>
    <m/>
    <m/>
    <m/>
    <n v="1"/>
  </r>
  <r>
    <x v="11"/>
    <s v="24-0187"/>
    <x v="62"/>
    <s v="100056728700003"/>
    <s v="Notebooks &amp; Business cards"/>
    <n v="7875"/>
    <m/>
    <n v="7875"/>
    <n v="393.75"/>
    <n v="8268.75"/>
    <s v="MARINELLE"/>
    <m/>
    <m/>
    <m/>
    <n v="1"/>
  </r>
  <r>
    <x v="76"/>
    <s v="24-0188"/>
    <x v="63"/>
    <m/>
    <s v="Tshirts (Holi)"/>
    <n v="2300"/>
    <m/>
    <n v="2300"/>
    <n v="115"/>
    <n v="2415"/>
    <s v="REENA"/>
    <m/>
    <m/>
    <m/>
    <n v="1"/>
  </r>
  <r>
    <x v="1"/>
    <s v="24-0189"/>
    <x v="63"/>
    <m/>
    <s v="A4 Notebook (PECUNIA)"/>
    <n v="792.5"/>
    <m/>
    <n v="792.5"/>
    <n v="39.625"/>
    <n v="832.125"/>
    <s v="REENA"/>
    <m/>
    <m/>
    <m/>
    <n v="1"/>
  </r>
  <r>
    <x v="0"/>
    <s v="24-0190"/>
    <x v="63"/>
    <m/>
    <s v="Brochure (Dubai School) "/>
    <n v="1575"/>
    <m/>
    <n v="1575"/>
    <n v="78.75"/>
    <n v="1653.75"/>
    <s v="REENA"/>
    <m/>
    <m/>
    <m/>
    <n v="1"/>
  </r>
  <r>
    <x v="18"/>
    <s v="24-0191"/>
    <x v="63"/>
    <m/>
    <s v="Table Cloth"/>
    <n v="585"/>
    <m/>
    <n v="585"/>
    <n v="29.25"/>
    <n v="614.25"/>
    <s v="REENA"/>
    <m/>
    <m/>
    <m/>
    <n v="1"/>
  </r>
  <r>
    <x v="41"/>
    <s v="24-0192"/>
    <x v="63"/>
    <m/>
    <s v="Name boards HO"/>
    <n v="60"/>
    <m/>
    <n v="60"/>
    <n v="3"/>
    <n v="63"/>
    <s v="REENA"/>
    <m/>
    <m/>
    <m/>
    <n v="1"/>
  </r>
  <r>
    <x v="41"/>
    <s v="24-0193"/>
    <x v="63"/>
    <m/>
    <s v="Name boards Br."/>
    <n v="94.5"/>
    <m/>
    <n v="94.5"/>
    <n v="4.7250000000000005"/>
    <n v="99.224999999999994"/>
    <s v="REENA"/>
    <m/>
    <m/>
    <m/>
    <n v="1"/>
  </r>
  <r>
    <x v="82"/>
    <s v="24-0194"/>
    <x v="63"/>
    <s v="100290916400003"/>
    <s v="Bags"/>
    <n v="2358.75"/>
    <m/>
    <n v="2358.75"/>
    <n v="117.9375"/>
    <n v="2476.6875"/>
    <s v="MARINELLE"/>
    <m/>
    <m/>
    <m/>
    <n v="1"/>
  </r>
  <r>
    <x v="83"/>
    <s v="24-0195"/>
    <x v="64"/>
    <s v="100225882800003"/>
    <s v="Vacuum Mug With Cork Base - White"/>
    <n v="1750.5"/>
    <m/>
    <n v="1750.5"/>
    <n v="87.525000000000006"/>
    <n v="1838.0250000000001"/>
    <s v="MARINELLE"/>
    <m/>
    <m/>
    <m/>
    <n v="1"/>
  </r>
  <r>
    <x v="0"/>
    <s v="24-0196"/>
    <x v="65"/>
    <s v="100542487200003"/>
    <s v="Canvas print on frame (JAS)"/>
    <n v="1506"/>
    <m/>
    <n v="1506"/>
    <n v="75.3"/>
    <n v="1581.3"/>
    <s v="REENA"/>
    <m/>
    <m/>
    <m/>
    <n v="1"/>
  </r>
  <r>
    <x v="33"/>
    <s v="24-0197"/>
    <x v="66"/>
    <s v="104020118600003"/>
    <s v="Pens(Plastic)"/>
    <n v="1050"/>
    <m/>
    <n v="1050"/>
    <n v="52.5"/>
    <n v="1102.5"/>
    <s v="REENA"/>
    <m/>
    <m/>
    <m/>
    <n v="1"/>
  </r>
  <r>
    <x v="0"/>
    <s v="24-0198"/>
    <x v="65"/>
    <s v="100542487200003"/>
    <s v="Business Card - JBS"/>
    <n v="235"/>
    <m/>
    <n v="235"/>
    <n v="11.75"/>
    <n v="246.75"/>
    <s v="REENA"/>
    <m/>
    <m/>
    <m/>
    <n v="1"/>
  </r>
  <r>
    <x v="84"/>
    <s v="24-0199"/>
    <x v="67"/>
    <s v="100336526700003"/>
    <s v="Ceramic Mug, Business Cards"/>
    <n v="1167"/>
    <m/>
    <n v="1167"/>
    <n v="58.35"/>
    <n v="1225.3499999999999"/>
    <s v="MARINELLE"/>
    <m/>
    <m/>
    <m/>
    <n v="1"/>
  </r>
  <r>
    <x v="82"/>
    <s v="24-0200"/>
    <x v="63"/>
    <s v="100290916400003"/>
    <s v="Bags"/>
    <n v="5827.5"/>
    <m/>
    <n v="5827.5"/>
    <n v="291.375"/>
    <n v="6118.875"/>
    <s v="MARINELLE"/>
    <m/>
    <m/>
    <m/>
    <n v="1"/>
  </r>
  <r>
    <x v="82"/>
    <s v="24-0201"/>
    <x v="63"/>
    <s v="100290916400003"/>
    <s v="Bags"/>
    <n v="4440"/>
    <m/>
    <n v="4440"/>
    <n v="222"/>
    <n v="4662"/>
    <s v="MARINELLE"/>
    <m/>
    <m/>
    <m/>
    <n v="1"/>
  </r>
  <r>
    <x v="85"/>
    <s v="24-0202"/>
    <x v="63"/>
    <s v="100290916400003"/>
    <s v="Bags"/>
    <n v="8463.75"/>
    <m/>
    <n v="8463.75"/>
    <n v="423.1875"/>
    <n v="8886.9375"/>
    <s v="MARINELLE"/>
    <m/>
    <m/>
    <m/>
    <n v="1"/>
  </r>
  <r>
    <x v="86"/>
    <s v="24-0203"/>
    <x v="63"/>
    <s v="-"/>
    <s v="Bags"/>
    <n v="693.81"/>
    <m/>
    <n v="693.81"/>
    <n v="34.6905"/>
    <n v="728.50049999999999"/>
    <s v="MARINELLE"/>
    <m/>
    <m/>
    <m/>
    <n v="1"/>
  </r>
  <r>
    <x v="87"/>
    <s v="24-0204"/>
    <x v="63"/>
    <s v="310562221900003"/>
    <s v="Bags"/>
    <n v="2497.7199999999998"/>
    <m/>
    <n v="2497.7199999999998"/>
    <n v="124.886"/>
    <n v="2622.6059999999998"/>
    <s v="MARINELLE"/>
    <m/>
    <m/>
    <m/>
    <n v="1"/>
  </r>
  <r>
    <x v="86"/>
    <s v="24-0205"/>
    <x v="63"/>
    <s v="-"/>
    <s v="Bags"/>
    <n v="6799.34"/>
    <m/>
    <n v="6799.34"/>
    <n v="339.96700000000004"/>
    <n v="7139.3069999999998"/>
    <s v="MARINELLE"/>
    <m/>
    <m/>
    <m/>
    <n v="1"/>
  </r>
  <r>
    <x v="88"/>
    <s v="24-0206"/>
    <x v="68"/>
    <s v="100583350200003"/>
    <s v="Gift Box - 50% advance"/>
    <n v="11500"/>
    <m/>
    <n v="11500"/>
    <n v="575"/>
    <n v="12075"/>
    <s v="MARINELLE"/>
    <m/>
    <m/>
    <m/>
    <n v="1"/>
  </r>
  <r>
    <x v="89"/>
    <s v="24-0207"/>
    <x v="69"/>
    <s v="100054016900003"/>
    <s v="Printing of Logo on Client provided items, MousePads"/>
    <n v="285.5"/>
    <m/>
    <n v="285.5"/>
    <n v="14.275"/>
    <n v="299.77499999999998"/>
    <s v="REENA"/>
    <m/>
    <m/>
    <m/>
    <n v="1"/>
  </r>
  <r>
    <x v="0"/>
    <s v="24-0208"/>
    <x v="70"/>
    <s v="100542487200003"/>
    <s v="Karlita Baby Shower Poster"/>
    <n v="175"/>
    <m/>
    <n v="175"/>
    <n v="8.75"/>
    <n v="183.75"/>
    <s v="REENA"/>
    <m/>
    <m/>
    <m/>
    <n v="1"/>
  </r>
  <r>
    <x v="90"/>
    <s v="24-0209"/>
    <x v="71"/>
    <s v="100345098600003"/>
    <s v="Gift Set, back pack and NFC card"/>
    <n v="27360"/>
    <m/>
    <n v="27360"/>
    <n v="1368"/>
    <n v="28728"/>
    <s v="MARINELLE"/>
    <m/>
    <m/>
    <m/>
    <n v="1"/>
  </r>
  <r>
    <x v="36"/>
    <s v="24-0210"/>
    <x v="72"/>
    <s v="100349055200003"/>
    <s v="Flyer"/>
    <n v="375"/>
    <m/>
    <n v="375"/>
    <n v="18.75"/>
    <n v="393.75"/>
    <s v="MARINELLE"/>
    <m/>
    <m/>
    <m/>
    <n v="1"/>
  </r>
  <r>
    <x v="91"/>
    <s v="24-0211"/>
    <x v="68"/>
    <s v="100046614200003"/>
    <s v="Safety Jacket &amp; Safety Shoes"/>
    <n v="1205"/>
    <m/>
    <n v="1205"/>
    <n v="60.25"/>
    <n v="1265.25"/>
    <s v="MARINELLE"/>
    <m/>
    <m/>
    <m/>
    <n v="1"/>
  </r>
  <r>
    <x v="92"/>
    <s v="24-0212"/>
    <x v="73"/>
    <s v="100524667100003"/>
    <s v="Lanyard"/>
    <n v="380"/>
    <m/>
    <n v="380"/>
    <n v="19"/>
    <n v="399"/>
    <s v="MARINELLE"/>
    <m/>
    <m/>
    <m/>
    <n v="1"/>
  </r>
  <r>
    <x v="19"/>
    <s v="24-0213"/>
    <x v="73"/>
    <s v="-"/>
    <s v="Table Cloth"/>
    <n v="325"/>
    <m/>
    <n v="325"/>
    <n v="16.25"/>
    <n v="341.25"/>
    <s v="MARINELLE"/>
    <m/>
    <m/>
    <m/>
    <n v="1"/>
  </r>
  <r>
    <x v="88"/>
    <s v="24-0214"/>
    <x v="68"/>
    <s v="100583350200003"/>
    <s v="Paper Bag"/>
    <n v="2100"/>
    <m/>
    <n v="2100"/>
    <n v="105"/>
    <n v="2205"/>
    <s v="MARINELLE"/>
    <m/>
    <m/>
    <m/>
    <n v="1"/>
  </r>
  <r>
    <x v="11"/>
    <s v="24-0215"/>
    <x v="69"/>
    <s v="100056728700003"/>
    <s v="Business Card"/>
    <n v="1100"/>
    <m/>
    <n v="1100"/>
    <n v="55"/>
    <n v="1155"/>
    <s v="MARINELLE"/>
    <m/>
    <m/>
    <m/>
    <n v="1"/>
  </r>
  <r>
    <x v="93"/>
    <s v="24-0216"/>
    <x v="73"/>
    <s v="-"/>
    <s v="Notebooks &amp; Caps"/>
    <n v="2850"/>
    <m/>
    <n v="2850"/>
    <n v="142.5"/>
    <n v="2992.5"/>
    <s v="REENA"/>
    <m/>
    <m/>
    <m/>
    <n v="1"/>
  </r>
  <r>
    <x v="12"/>
    <s v="24-0217"/>
    <x v="74"/>
    <s v="100482284500003"/>
    <s v="Business Cards"/>
    <n v="825"/>
    <m/>
    <n v="825"/>
    <n v="41.25"/>
    <n v="866.25"/>
    <s v="REENA"/>
    <m/>
    <m/>
    <m/>
    <n v="1"/>
  </r>
  <r>
    <x v="0"/>
    <s v="24-0218"/>
    <x v="74"/>
    <s v="100542487200003"/>
    <s v="Coloring Book - DBSJ"/>
    <n v="550"/>
    <m/>
    <n v="550"/>
    <n v="27.5"/>
    <n v="577.5"/>
    <s v="REENA"/>
    <m/>
    <m/>
    <m/>
    <n v="1"/>
  </r>
  <r>
    <x v="21"/>
    <s v="24-0219"/>
    <x v="71"/>
    <s v="-"/>
    <s v="Business Cards"/>
    <n v="310"/>
    <m/>
    <n v="310"/>
    <n v="15.5"/>
    <n v="325.5"/>
    <s v="REENA"/>
    <m/>
    <m/>
    <m/>
    <n v="1"/>
  </r>
  <r>
    <x v="0"/>
    <s v="24-0220"/>
    <x v="74"/>
    <s v="100542487200003"/>
    <s v="Roll up"/>
    <n v="575"/>
    <m/>
    <n v="575"/>
    <n v="28.75"/>
    <n v="603.75"/>
    <s v="REENA"/>
    <m/>
    <m/>
    <m/>
    <n v="1"/>
  </r>
  <r>
    <x v="20"/>
    <s v="24-0221"/>
    <x v="71"/>
    <s v="100235699400003"/>
    <s v="Business Cards"/>
    <n v="405"/>
    <m/>
    <n v="405"/>
    <n v="20.25"/>
    <n v="425.25"/>
    <s v="REENA"/>
    <m/>
    <m/>
    <m/>
    <n v="1"/>
  </r>
  <r>
    <x v="7"/>
    <s v="24-0222"/>
    <x v="71"/>
    <s v="100348311000003"/>
    <s v="Business Cards"/>
    <n v="845"/>
    <m/>
    <n v="845"/>
    <n v="42.25"/>
    <n v="887.25"/>
    <s v="REENA"/>
    <m/>
    <m/>
    <m/>
    <n v="1"/>
  </r>
  <r>
    <x v="7"/>
    <s v="24-0223"/>
    <x v="71"/>
    <s v="-"/>
    <m/>
    <n v="0"/>
    <m/>
    <n v="0"/>
    <n v="0"/>
    <n v="0"/>
    <s v="REENA"/>
    <m/>
    <m/>
    <m/>
    <n v="1"/>
  </r>
  <r>
    <x v="18"/>
    <s v="24-0224"/>
    <x v="71"/>
    <s v="100593105800003"/>
    <s v="Booth branding (Shell scheme)"/>
    <n v="2850"/>
    <m/>
    <n v="2850"/>
    <n v="142.5"/>
    <n v="2992.5"/>
    <s v="REENA"/>
    <m/>
    <m/>
    <m/>
    <n v="1"/>
  </r>
  <r>
    <x v="18"/>
    <s v="24-0225"/>
    <x v="71"/>
    <s v="100593105800003"/>
    <s v="Roll up, A3 Posters, Certificates"/>
    <n v="972"/>
    <m/>
    <n v="972"/>
    <n v="48.6"/>
    <n v="1020.6"/>
    <s v="REENA"/>
    <m/>
    <m/>
    <m/>
    <n v="1"/>
  </r>
  <r>
    <x v="36"/>
    <s v="24-0225-A"/>
    <x v="75"/>
    <s v="100349055200003"/>
    <s v="Balloons and cup sleeve"/>
    <n v="1628.75"/>
    <m/>
    <n v="1628.75"/>
    <n v="81.4375"/>
    <n v="1710.1875"/>
    <s v="MARINELLE"/>
    <m/>
    <m/>
    <m/>
    <n v="1"/>
  </r>
  <r>
    <x v="6"/>
    <s v="24-0226"/>
    <x v="76"/>
    <s v="100430750800003"/>
    <s v="Tote bags, Pens, Tritan Water Bottle, Notebook"/>
    <n v="3704"/>
    <m/>
    <n v="3704"/>
    <n v="185.20000000000002"/>
    <n v="3889.2"/>
    <s v="REENA"/>
    <m/>
    <m/>
    <m/>
    <n v="1"/>
  </r>
  <r>
    <x v="30"/>
    <s v="24-0226-A"/>
    <x v="77"/>
    <s v="104020641700003"/>
    <s v="Signage"/>
    <n v="85"/>
    <m/>
    <n v="85"/>
    <n v="4.25"/>
    <n v="89.25"/>
    <s v="MARINELLE"/>
    <m/>
    <m/>
    <m/>
    <n v="1"/>
  </r>
  <r>
    <x v="0"/>
    <s v="24-0227"/>
    <x v="76"/>
    <s v="100542487200003"/>
    <s v="Coloring Book - Dubai School"/>
    <n v="702"/>
    <m/>
    <n v="702"/>
    <n v="35.1"/>
    <n v="737.1"/>
    <s v="REENA"/>
    <m/>
    <m/>
    <m/>
    <n v="1"/>
  </r>
  <r>
    <x v="32"/>
    <s v="24-0227-A"/>
    <x v="77"/>
    <s v="104149170300003"/>
    <s v="Signage"/>
    <n v="85"/>
    <m/>
    <n v="85"/>
    <n v="4.25"/>
    <n v="89.25"/>
    <s v="MARINELLE"/>
    <m/>
    <m/>
    <m/>
    <n v="1"/>
  </r>
  <r>
    <x v="88"/>
    <s v="24-0228"/>
    <x v="78"/>
    <s v="100583350200003"/>
    <s v="Gift Box - 50% balance"/>
    <n v="11000"/>
    <m/>
    <n v="11000"/>
    <n v="550"/>
    <n v="11550"/>
    <s v="MARINELLE"/>
    <m/>
    <m/>
    <m/>
    <n v="1"/>
  </r>
  <r>
    <x v="68"/>
    <s v="24-0228-A"/>
    <x v="77"/>
    <s v="100566746200003"/>
    <s v="Signage, Acrylic Signboard"/>
    <n v="260"/>
    <m/>
    <n v="260"/>
    <n v="13"/>
    <n v="273"/>
    <s v="MARINELLE"/>
    <m/>
    <m/>
    <m/>
    <n v="1"/>
  </r>
  <r>
    <x v="94"/>
    <s v="24-0229"/>
    <x v="78"/>
    <s v="100462479500003"/>
    <s v="A4 Sticker"/>
    <n v="202.95"/>
    <m/>
    <n v="202.95"/>
    <n v="10.147500000000001"/>
    <n v="213.0975"/>
    <s v="REENA"/>
    <m/>
    <m/>
    <m/>
    <n v="1"/>
  </r>
  <r>
    <x v="52"/>
    <s v="24-0229-A"/>
    <x v="75"/>
    <s v="-"/>
    <s v="Business Cards"/>
    <n v="375"/>
    <m/>
    <n v="375"/>
    <n v="18.75"/>
    <n v="393.75"/>
    <s v="MARINELLE"/>
    <m/>
    <m/>
    <m/>
    <n v="1"/>
  </r>
  <r>
    <x v="6"/>
    <s v="24-0230"/>
    <x v="79"/>
    <s v="100430750800003"/>
    <s v="Round neck Tshirt"/>
    <n v="190"/>
    <m/>
    <n v="190"/>
    <n v="9.5"/>
    <n v="199.5"/>
    <s v="REENA"/>
    <m/>
    <m/>
    <m/>
    <n v="1"/>
  </r>
  <r>
    <x v="0"/>
    <s v="24-0231"/>
    <x v="78"/>
    <s v="100542487200003"/>
    <s v="Business card - FICHTE"/>
    <n v="780"/>
    <m/>
    <n v="780"/>
    <n v="39"/>
    <n v="819"/>
    <s v="REENA"/>
    <m/>
    <m/>
    <m/>
    <n v="1"/>
  </r>
  <r>
    <x v="6"/>
    <s v="24-0232"/>
    <x v="80"/>
    <s v="100430750800003"/>
    <s v="Business Cards"/>
    <n v="270"/>
    <m/>
    <n v="270"/>
    <n v="13.5"/>
    <n v="283.5"/>
    <s v="REENA"/>
    <m/>
    <m/>
    <m/>
    <n v="1"/>
  </r>
  <r>
    <x v="95"/>
    <s v="24-0233"/>
    <x v="81"/>
    <s v="100357115300003"/>
    <s v="Safety Vest - Customized"/>
    <n v="1249.5"/>
    <m/>
    <n v="1249.5"/>
    <n v="62.475000000000001"/>
    <n v="1311.9749999999999"/>
    <s v="MARINELLE"/>
    <m/>
    <m/>
    <m/>
    <n v="1"/>
  </r>
  <r>
    <x v="38"/>
    <s v="24-0234"/>
    <x v="81"/>
    <s v="100044062600003"/>
    <s v="Polo Shirt - (Customized)"/>
    <n v="6000"/>
    <m/>
    <n v="6000"/>
    <n v="300"/>
    <n v="6300"/>
    <s v="MARINELLE"/>
    <m/>
    <m/>
    <m/>
    <n v="1"/>
  </r>
  <r>
    <x v="6"/>
    <s v="24-0235"/>
    <x v="80"/>
    <s v="100430750800003"/>
    <s v="Roll up, A3  Desktop Roll up, flyer"/>
    <n v="505"/>
    <m/>
    <n v="505"/>
    <n v="25.25"/>
    <n v="530.25"/>
    <s v="REENA"/>
    <m/>
    <m/>
    <m/>
    <n v="1"/>
  </r>
  <r>
    <x v="90"/>
    <s v="24-0236"/>
    <x v="81"/>
    <s v="100345098600003"/>
    <s v="ID Holders and Lanyard"/>
    <n v="1972.5"/>
    <m/>
    <n v="1972.5"/>
    <n v="98.625"/>
    <n v="2071.125"/>
    <s v="MARINELLE"/>
    <m/>
    <m/>
    <m/>
    <n v="1"/>
  </r>
  <r>
    <x v="0"/>
    <s v="24-0237"/>
    <x v="81"/>
    <s v="100542487200003"/>
    <s v="Curvetop Flags"/>
    <n v="3890"/>
    <m/>
    <n v="3890"/>
    <n v="194.5"/>
    <n v="4084.5"/>
    <s v="REENA"/>
    <m/>
    <m/>
    <m/>
    <n v="1"/>
  </r>
  <r>
    <x v="0"/>
    <s v="24-0238"/>
    <x v="81"/>
    <s v="100542487200003"/>
    <s v="Leaflet - 3 fold (DBSJ)"/>
    <n v="1008"/>
    <m/>
    <n v="1008"/>
    <n v="50.400000000000006"/>
    <n v="1058.4000000000001"/>
    <s v="REENA"/>
    <m/>
    <m/>
    <m/>
    <n v="1"/>
  </r>
  <r>
    <x v="96"/>
    <s v="24-0239"/>
    <x v="82"/>
    <s v="100556794400003"/>
    <s v="Business Card - PERI"/>
    <n v="380"/>
    <m/>
    <n v="380"/>
    <n v="19"/>
    <n v="399"/>
    <s v="REENA"/>
    <m/>
    <m/>
    <m/>
    <n v="1"/>
  </r>
  <r>
    <x v="0"/>
    <s v="24-0240"/>
    <x v="82"/>
    <s v="100542487200003"/>
    <s v="Letterhead (Obaid Almaazmi)"/>
    <n v="450"/>
    <m/>
    <n v="450"/>
    <n v="22.5"/>
    <n v="472.5"/>
    <s v="REENA"/>
    <m/>
    <m/>
    <m/>
    <n v="1"/>
  </r>
  <r>
    <x v="18"/>
    <s v="24-0241"/>
    <x v="82"/>
    <s v="100593105800003"/>
    <s v="20240415 - Fast - Migration  (Roll Up, A3 Posters, Certificates)"/>
    <n v="375"/>
    <m/>
    <n v="375"/>
    <n v="18.75"/>
    <n v="393.75"/>
    <s v="REENA"/>
    <m/>
    <m/>
    <m/>
    <n v="1"/>
  </r>
  <r>
    <x v="97"/>
    <s v="24-0242"/>
    <x v="82"/>
    <s v="-"/>
    <s v="Volleyball Jersey sets"/>
    <n v="900"/>
    <m/>
    <n v="900"/>
    <n v="45"/>
    <n v="945"/>
    <s v="REENA"/>
    <m/>
    <m/>
    <m/>
    <n v="1"/>
  </r>
  <r>
    <x v="98"/>
    <s v="24-0243"/>
    <x v="82"/>
    <s v="100048520900003"/>
    <s v="Supplies done in April, 2024"/>
    <n v="180"/>
    <m/>
    <n v="180"/>
    <n v="9"/>
    <n v="189"/>
    <s v="REENA"/>
    <m/>
    <m/>
    <m/>
    <n v="1"/>
  </r>
  <r>
    <x v="99"/>
    <s v="24-0244"/>
    <x v="82"/>
    <s v="100048520900003"/>
    <s v="Supplies done in April, 2024"/>
    <n v="90"/>
    <m/>
    <n v="90"/>
    <n v="4.5"/>
    <n v="94.5"/>
    <s v="REENA"/>
    <m/>
    <m/>
    <m/>
    <n v="1"/>
  </r>
  <r>
    <x v="6"/>
    <s v="24-0245"/>
    <x v="83"/>
    <s v="100430750800003"/>
    <s v="Poster Board for Easel"/>
    <n v="932"/>
    <m/>
    <n v="932"/>
    <n v="46.6"/>
    <n v="978.6"/>
    <s v="REENA"/>
    <m/>
    <m/>
    <m/>
    <n v="1"/>
  </r>
  <r>
    <x v="20"/>
    <s v="24-0246"/>
    <x v="83"/>
    <s v="100235699400003"/>
    <s v="Business Cards -Shabeek Yusuf"/>
    <n v="405"/>
    <m/>
    <n v="405"/>
    <n v="20.25"/>
    <n v="425.25"/>
    <s v="REENA"/>
    <m/>
    <m/>
    <m/>
    <n v="1"/>
  </r>
  <r>
    <x v="100"/>
    <s v="24-0247"/>
    <x v="84"/>
    <s v="-"/>
    <s v="Office Branding"/>
    <n v="2225"/>
    <m/>
    <n v="2225"/>
    <n v="111.25"/>
    <n v="2336.25"/>
    <s v="REENA"/>
    <m/>
    <m/>
    <m/>
    <n v="1"/>
  </r>
  <r>
    <x v="101"/>
    <s v="24-0248"/>
    <x v="85"/>
    <s v="100066699800003"/>
    <s v="Paper Sticker"/>
    <n v="350"/>
    <m/>
    <n v="350"/>
    <n v="17.5"/>
    <n v="367.5"/>
    <s v="MARINELLE"/>
    <m/>
    <m/>
    <m/>
    <n v="1"/>
  </r>
  <r>
    <x v="15"/>
    <s v="24-0249"/>
    <x v="85"/>
    <s v="100399495900003"/>
    <s v="Pledge Card, Tent Card, Roll Up"/>
    <n v="570"/>
    <m/>
    <n v="570"/>
    <n v="28.5"/>
    <n v="598.5"/>
    <s v="MARINELLE"/>
    <m/>
    <m/>
    <m/>
    <n v="1"/>
  </r>
  <r>
    <x v="6"/>
    <s v="24-0250"/>
    <x v="85"/>
    <s v="100430750800003"/>
    <s v="Floor Stickers"/>
    <n v="512"/>
    <m/>
    <n v="512"/>
    <n v="25.6"/>
    <n v="537.6"/>
    <s v="REENA"/>
    <m/>
    <m/>
    <m/>
    <n v="1"/>
  </r>
  <r>
    <x v="70"/>
    <s v="24-0251"/>
    <x v="86"/>
    <s v="100430750800003"/>
    <s v="Brochure (Destination Guide) "/>
    <n v="3425"/>
    <m/>
    <n v="3425"/>
    <n v="171.25"/>
    <n v="3596.25"/>
    <s v="REENA"/>
    <m/>
    <m/>
    <m/>
    <n v="1"/>
  </r>
  <r>
    <x v="0"/>
    <s v="24-0252"/>
    <x v="86"/>
    <s v="100542487200003"/>
    <s v="NotePad (top glue) - Taaleem"/>
    <n v="1380"/>
    <m/>
    <n v="1380"/>
    <n v="69"/>
    <n v="1449"/>
    <s v="REENA"/>
    <m/>
    <m/>
    <m/>
    <n v="1"/>
  </r>
  <r>
    <x v="0"/>
    <s v="24-0253"/>
    <x v="86"/>
    <s v="100542487200003"/>
    <s v="Roll Up with designing charges"/>
    <n v="340"/>
    <m/>
    <n v="340"/>
    <n v="17"/>
    <n v="357"/>
    <s v="REENA"/>
    <m/>
    <m/>
    <m/>
    <n v="1"/>
  </r>
  <r>
    <x v="0"/>
    <s v="24-0254"/>
    <x v="86"/>
    <s v="100542487200003"/>
    <s v="A5 Acrylic Display Stand (Raha School)"/>
    <n v="371.5"/>
    <m/>
    <n v="371.5"/>
    <n v="18.574999999999999"/>
    <n v="390.07499999999999"/>
    <s v="REENA"/>
    <m/>
    <m/>
    <m/>
    <n v="1"/>
  </r>
  <r>
    <x v="0"/>
    <s v="24-0255"/>
    <x v="86"/>
    <s v="100542487200003"/>
    <s v="Yearbook DBSJP"/>
    <n v="2184.75"/>
    <m/>
    <n v="2184.75"/>
    <n v="109.23750000000001"/>
    <n v="2293.9875000000002"/>
    <s v="REENA"/>
    <m/>
    <m/>
    <m/>
    <n v="1"/>
  </r>
  <r>
    <x v="76"/>
    <s v="24-0256"/>
    <x v="87"/>
    <s v="104146932900003"/>
    <s v="Round Neck Tshirts"/>
    <n v="350"/>
    <m/>
    <n v="350"/>
    <n v="17.5"/>
    <n v="367.5"/>
    <s v="REENA"/>
    <m/>
    <m/>
    <m/>
    <n v="1"/>
  </r>
  <r>
    <x v="102"/>
    <s v="24-0257"/>
    <x v="87"/>
    <s v="104014823900003"/>
    <s v="Business card "/>
    <n v="175"/>
    <m/>
    <n v="175"/>
    <n v="8.75"/>
    <n v="183.75"/>
    <s v="REENA"/>
    <m/>
    <m/>
    <m/>
    <n v="1"/>
  </r>
  <r>
    <x v="70"/>
    <s v="24-0258"/>
    <x v="87"/>
    <s v="100282822400003"/>
    <s v="Roll up Banner,  A3 Desktop roll up, Table Runner"/>
    <n v="1020"/>
    <m/>
    <n v="1020"/>
    <n v="51"/>
    <n v="1071"/>
    <s v="REENA"/>
    <m/>
    <m/>
    <m/>
    <n v="1"/>
  </r>
  <r>
    <x v="20"/>
    <s v="24-0259"/>
    <x v="75"/>
    <s v="100235699400003"/>
    <s v="Business cards - Ali El Sayed"/>
    <n v="405"/>
    <m/>
    <n v="405"/>
    <n v="20.25"/>
    <n v="425.25"/>
    <s v="REENA"/>
    <m/>
    <m/>
    <m/>
    <n v="1"/>
  </r>
  <r>
    <x v="6"/>
    <s v="24-0260"/>
    <x v="75"/>
    <s v="100430750800003"/>
    <s v="Posters"/>
    <n v="1600"/>
    <m/>
    <n v="1600"/>
    <n v="80"/>
    <n v="1680"/>
    <s v="REENA"/>
    <m/>
    <m/>
    <m/>
    <n v="1"/>
  </r>
  <r>
    <x v="0"/>
    <s v="24-0261"/>
    <x v="75"/>
    <s v="100542487200003"/>
    <s v="Void/ Business cards (Taaleem)"/>
    <s v="-"/>
    <s v="-"/>
    <s v="-"/>
    <s v="-"/>
    <s v="-"/>
    <s v="REENA"/>
    <m/>
    <m/>
    <m/>
    <n v="1"/>
  </r>
  <r>
    <x v="103"/>
    <s v="24-0262"/>
    <x v="88"/>
    <s v="-"/>
    <s v="Brochure, Tote bags,notebooks, pens, business card, table cloth, desktop roll up"/>
    <n v="6085"/>
    <m/>
    <n v="6085"/>
    <n v="304.25"/>
    <n v="6389.25"/>
    <s v="REENA"/>
    <m/>
    <m/>
    <m/>
    <n v="1"/>
  </r>
  <r>
    <x v="63"/>
    <s v="24-0263"/>
    <x v="89"/>
    <s v="100484375900003"/>
    <s v="Business Cards"/>
    <n v="125"/>
    <m/>
    <n v="125"/>
    <n v="6.25"/>
    <n v="131.25"/>
    <s v="REENA"/>
    <m/>
    <m/>
    <m/>
    <n v="1"/>
  </r>
  <r>
    <x v="84"/>
    <s v="24-0264"/>
    <x v="90"/>
    <s v="100336526700003"/>
    <s v="Ceramic Mug, Business Cards"/>
    <n v="250"/>
    <m/>
    <n v="250"/>
    <n v="12.5"/>
    <n v="262.5"/>
    <s v="MARINELLE"/>
    <m/>
    <m/>
    <m/>
    <n v="1"/>
  </r>
  <r>
    <x v="80"/>
    <s v="24-0265"/>
    <x v="91"/>
    <s v="100267612800003"/>
    <s v="Ortho Cast Model Box"/>
    <n v="12375"/>
    <m/>
    <n v="12375"/>
    <n v="618.75"/>
    <n v="12993.75"/>
    <s v="MARINELLE"/>
    <m/>
    <m/>
    <m/>
    <n v="1"/>
  </r>
  <r>
    <x v="48"/>
    <s v="24-0266"/>
    <x v="90"/>
    <s v="100277137400003"/>
    <s v="Poster, PVC Badge"/>
    <n v="944"/>
    <m/>
    <n v="944"/>
    <n v="47.2"/>
    <n v="991.2"/>
    <s v="MARINELLE"/>
    <m/>
    <m/>
    <m/>
    <n v="1"/>
  </r>
  <r>
    <x v="52"/>
    <s v="24-0267"/>
    <x v="90"/>
    <s v="-"/>
    <s v="A4 Envelope"/>
    <n v="395"/>
    <m/>
    <n v="395"/>
    <n v="19.75"/>
    <n v="414.75"/>
    <s v="MARINELLE"/>
    <m/>
    <m/>
    <m/>
    <n v="1"/>
  </r>
  <r>
    <x v="104"/>
    <s v="24-0268"/>
    <x v="90"/>
    <s v="-"/>
    <s v="A4 Envelope, A5 Notebook, Metal Pen"/>
    <n v="2195"/>
    <m/>
    <n v="2195"/>
    <n v="109.75"/>
    <n v="2304.75"/>
    <s v="MARINELLE"/>
    <m/>
    <m/>
    <m/>
    <n v="1"/>
  </r>
  <r>
    <x v="36"/>
    <s v="24-0269"/>
    <x v="90"/>
    <s v="100349055200003"/>
    <s v="Thank you Card, Dummy Cheque, Stickers, Plaque, Notebook"/>
    <n v="2726.25"/>
    <m/>
    <n v="2726.25"/>
    <n v="136.3125"/>
    <n v="2862.5625"/>
    <s v="MARINELLE"/>
    <m/>
    <m/>
    <m/>
    <n v="1"/>
  </r>
  <r>
    <x v="105"/>
    <s v="24-0270"/>
    <x v="91"/>
    <s v="-"/>
    <s v="Flower Box"/>
    <n v="8385"/>
    <m/>
    <n v="8385"/>
    <n v="419.25"/>
    <n v="8804.25"/>
    <s v="MARINELLE"/>
    <m/>
    <m/>
    <m/>
    <n v="1"/>
  </r>
  <r>
    <x v="0"/>
    <s v="24-0271"/>
    <x v="92"/>
    <s v="100542487200003"/>
    <s v="Business cards (Taaleem)"/>
    <n v="450"/>
    <m/>
    <n v="450"/>
    <n v="22.5"/>
    <n v="472.5"/>
    <s v="REENA"/>
    <m/>
    <m/>
    <m/>
    <n v="1"/>
  </r>
  <r>
    <x v="0"/>
    <s v="24-0272"/>
    <x v="92"/>
    <s v="100542487200003"/>
    <s v="Brochure (Hourani)"/>
    <n v="875"/>
    <m/>
    <n v="875"/>
    <n v="43.75"/>
    <n v="918.75"/>
    <s v="REENA"/>
    <m/>
    <m/>
    <m/>
    <n v="1"/>
  </r>
  <r>
    <x v="0"/>
    <s v="24-0273"/>
    <x v="92"/>
    <s v="100542487200003"/>
    <s v="Business card, Letterhead - FICHTE"/>
    <n v="985"/>
    <m/>
    <n v="985"/>
    <n v="49.25"/>
    <n v="1034.25"/>
    <s v="REENA"/>
    <m/>
    <m/>
    <m/>
    <n v="1"/>
  </r>
  <r>
    <x v="51"/>
    <s v="24-0274"/>
    <x v="93"/>
    <s v="100377505100003"/>
    <s v="Continental Family voucher / Envelope"/>
    <n v="1266"/>
    <m/>
    <n v="1266"/>
    <n v="63.300000000000004"/>
    <n v="1329.3"/>
    <s v="REENA"/>
    <m/>
    <m/>
    <m/>
    <n v="1"/>
  </r>
  <r>
    <x v="20"/>
    <s v="24-0275"/>
    <x v="91"/>
    <s v="100235699400003"/>
    <s v="Access Card printing"/>
    <n v="144"/>
    <m/>
    <n v="144"/>
    <n v="7.2"/>
    <n v="151.19999999999999"/>
    <s v="REENA"/>
    <m/>
    <m/>
    <m/>
    <n v="1"/>
  </r>
  <r>
    <x v="6"/>
    <s v="24-0276"/>
    <x v="91"/>
    <s v="100430750800003"/>
    <s v="Posters"/>
    <n v="1645"/>
    <m/>
    <n v="1645"/>
    <n v="82.25"/>
    <n v="1727.25"/>
    <s v="REENA"/>
    <m/>
    <m/>
    <m/>
    <n v="1"/>
  </r>
  <r>
    <x v="0"/>
    <s v="24-0277"/>
    <x v="91"/>
    <s v="100542487200003"/>
    <s v="Graduation Tickets, Easel poster, Certificate A4"/>
    <n v="1465.75"/>
    <m/>
    <n v="1465.75"/>
    <n v="73.287500000000009"/>
    <n v="1539.0374999999999"/>
    <s v="REENA"/>
    <m/>
    <m/>
    <m/>
    <n v="1"/>
  </r>
  <r>
    <x v="103"/>
    <s v="24-0278"/>
    <x v="91"/>
    <s v="-"/>
    <s v="Brochure, Tote bags,notebooks, pens, business card, booth branding"/>
    <n v="4955.5"/>
    <m/>
    <n v="4955.5"/>
    <n v="247.77500000000001"/>
    <n v="5203.2749999999996"/>
    <s v="REENA"/>
    <m/>
    <m/>
    <m/>
    <n v="1"/>
  </r>
  <r>
    <x v="0"/>
    <s v="24-0279"/>
    <x v="91"/>
    <s v="100542487200003"/>
    <s v="Photo booth - Floor standing - DBF"/>
    <n v="815"/>
    <m/>
    <n v="815"/>
    <n v="40.75"/>
    <n v="855.75"/>
    <s v="REENA"/>
    <m/>
    <m/>
    <m/>
    <n v="1"/>
  </r>
  <r>
    <x v="0"/>
    <s v="24-0280"/>
    <x v="91"/>
    <s v="100542487200003"/>
    <s v="Table cloth - JAS"/>
    <n v="300"/>
    <m/>
    <n v="300"/>
    <n v="15"/>
    <n v="315"/>
    <s v="REENA"/>
    <m/>
    <m/>
    <m/>
    <n v="1"/>
  </r>
  <r>
    <x v="0"/>
    <s v="24-0281"/>
    <x v="91"/>
    <s v="100542487200003"/>
    <s v="Round Neck Tshirts  (Dubai College UAE) "/>
    <n v="3787.5"/>
    <m/>
    <n v="3787.5"/>
    <n v="189.375"/>
    <n v="3976.875"/>
    <s v="REENA"/>
    <m/>
    <m/>
    <m/>
    <n v="1"/>
  </r>
  <r>
    <x v="106"/>
    <s v="24-0282"/>
    <x v="94"/>
    <s v="-"/>
    <s v="ECOTAG Box - Sampling Charges"/>
    <n v="285.70999999999998"/>
    <m/>
    <n v="285.70999999999998"/>
    <n v="14.285499999999999"/>
    <n v="299.99549999999999"/>
    <s v="MARINELLE"/>
    <m/>
    <m/>
    <m/>
    <n v="1"/>
  </r>
  <r>
    <x v="103"/>
    <s v="24-0283"/>
    <x v="94"/>
    <s v="-"/>
    <s v="Booth branding - Reprinting"/>
    <n v="450"/>
    <m/>
    <n v="450"/>
    <n v="22.5"/>
    <n v="472.5"/>
    <s v="REENA"/>
    <m/>
    <m/>
    <m/>
    <n v="1"/>
  </r>
  <r>
    <x v="33"/>
    <s v="24-0284"/>
    <x v="90"/>
    <s v="104020118600003"/>
    <s v="Business Cards"/>
    <n v="190"/>
    <m/>
    <n v="190"/>
    <n v="9.5"/>
    <n v="199.5"/>
    <s v="REENA"/>
    <m/>
    <m/>
    <m/>
    <n v="1"/>
  </r>
  <r>
    <x v="6"/>
    <s v="24-0285"/>
    <x v="93"/>
    <s v="100430750800003"/>
    <s v="Posters"/>
    <n v="1892"/>
    <m/>
    <n v="1892"/>
    <n v="94.600000000000009"/>
    <n v="1986.6"/>
    <s v="REENA"/>
    <m/>
    <m/>
    <m/>
    <n v="1"/>
  </r>
  <r>
    <x v="107"/>
    <s v="24-0286"/>
    <x v="93"/>
    <s v="-"/>
    <s v="ID card with die cut for lanyard hook "/>
    <n v="2173.75"/>
    <m/>
    <n v="2173.75"/>
    <n v="108.6875"/>
    <n v="2282.4375"/>
    <s v="MARINELLE"/>
    <m/>
    <m/>
    <m/>
    <n v="1"/>
  </r>
  <r>
    <x v="10"/>
    <s v="24-0287"/>
    <x v="93"/>
    <s v="100540543400003"/>
    <s v="Business Cards"/>
    <n v="1060"/>
    <m/>
    <n v="1060"/>
    <n v="53"/>
    <n v="1113"/>
    <s v="MARINELLE"/>
    <m/>
    <m/>
    <m/>
    <n v="1"/>
  </r>
  <r>
    <x v="37"/>
    <s v="24-0288"/>
    <x v="95"/>
    <s v="100249843200003 "/>
    <s v="Portrait Wooden Plaques with Box"/>
    <n v="3207.6"/>
    <m/>
    <n v="3207.6"/>
    <n v="160.38"/>
    <n v="3367.98"/>
    <s v="MARINELLE"/>
    <m/>
    <m/>
    <m/>
    <n v="1"/>
  </r>
  <r>
    <x v="37"/>
    <s v="24-0289"/>
    <x v="95"/>
    <s v="100249843200003 "/>
    <s v="Portrait Wooden Plaques with Box"/>
    <n v="89.1"/>
    <m/>
    <n v="89.1"/>
    <n v="4.4550000000000001"/>
    <n v="93.554999999999993"/>
    <s v="MARINELLE"/>
    <m/>
    <m/>
    <m/>
    <n v="1"/>
  </r>
  <r>
    <x v="108"/>
    <s v="24-0290"/>
    <x v="93"/>
    <s v="-"/>
    <s v="Brochure &amp; Business Cards"/>
    <n v="1183"/>
    <m/>
    <n v="1183"/>
    <n v="59.150000000000006"/>
    <n v="1242.1500000000001"/>
    <s v="REENA"/>
    <m/>
    <m/>
    <m/>
    <n v="1"/>
  </r>
  <r>
    <x v="20"/>
    <s v="24-0291"/>
    <x v="93"/>
    <m/>
    <s v="Void"/>
    <m/>
    <m/>
    <n v="0"/>
    <n v="0"/>
    <n v="0"/>
    <s v="REENA"/>
    <m/>
    <m/>
    <m/>
    <n v="1"/>
  </r>
  <r>
    <x v="20"/>
    <s v="24-0292"/>
    <x v="93"/>
    <s v="100235699400003"/>
    <s v="A4 Envelope"/>
    <n v="1190"/>
    <m/>
    <n v="1190"/>
    <n v="59.5"/>
    <n v="1249.5"/>
    <s v="REENA"/>
    <m/>
    <m/>
    <m/>
    <n v="1"/>
  </r>
  <r>
    <x v="20"/>
    <s v="24-0293"/>
    <x v="93"/>
    <s v="100235699400003"/>
    <s v="Business Cards"/>
    <n v="470"/>
    <m/>
    <n v="470"/>
    <n v="23.5"/>
    <n v="493.5"/>
    <s v="REENA"/>
    <m/>
    <m/>
    <m/>
    <n v="1"/>
  </r>
  <r>
    <x v="21"/>
    <s v="24-0294"/>
    <x v="95"/>
    <s v="-"/>
    <s v="3 fold Flyer"/>
    <n v="975"/>
    <m/>
    <n v="975"/>
    <n v="48.75"/>
    <n v="1023.75"/>
    <s v="REENA"/>
    <m/>
    <m/>
    <m/>
    <n v="1"/>
  </r>
  <r>
    <x v="6"/>
    <s v="24-0295"/>
    <x v="95"/>
    <s v="100430750800003"/>
    <s v="Business card"/>
    <n v="275"/>
    <m/>
    <n v="275"/>
    <n v="13.75"/>
    <n v="288.75"/>
    <s v="REENA"/>
    <m/>
    <m/>
    <m/>
    <n v="1"/>
  </r>
  <r>
    <x v="0"/>
    <s v="24-0296"/>
    <x v="96"/>
    <s v="100542487200003"/>
    <s v="JAS Board "/>
    <n v="875"/>
    <m/>
    <n v="875"/>
    <n v="43.75"/>
    <n v="918.75"/>
    <s v="REENA"/>
    <m/>
    <m/>
    <m/>
    <n v="1"/>
  </r>
  <r>
    <x v="0"/>
    <s v="24-0297"/>
    <x v="95"/>
    <s v="100542487200003"/>
    <s v="Business Card - DBS"/>
    <n v="105"/>
    <m/>
    <n v="105"/>
    <n v="5.25"/>
    <n v="110.25"/>
    <s v="REENA"/>
    <m/>
    <m/>
    <m/>
    <n v="1"/>
  </r>
  <r>
    <x v="0"/>
    <s v="24-0298"/>
    <x v="95"/>
    <s v="100542487200003"/>
    <s v="Canvas printing  - Jamil Azzam"/>
    <n v="540"/>
    <m/>
    <n v="540"/>
    <n v="27"/>
    <n v="567"/>
    <s v="REENA"/>
    <m/>
    <m/>
    <m/>
    <n v="1"/>
  </r>
  <r>
    <x v="17"/>
    <s v="24-0299"/>
    <x v="95"/>
    <s v="-"/>
    <s v="Business Cards"/>
    <n v="1145"/>
    <m/>
    <n v="1145"/>
    <n v="57.25"/>
    <n v="1202.25"/>
    <s v="REENA"/>
    <m/>
    <m/>
    <m/>
    <n v="1"/>
  </r>
  <r>
    <x v="15"/>
    <s v="24-0300"/>
    <x v="97"/>
    <s v="100399495900003"/>
    <s v="Business Cards"/>
    <n v="440"/>
    <m/>
    <n v="440"/>
    <n v="22"/>
    <n v="462"/>
    <s v="MARINELLE"/>
    <m/>
    <m/>
    <m/>
    <n v="1"/>
  </r>
  <r>
    <x v="37"/>
    <s v="24-0301"/>
    <x v="98"/>
    <s v="100249843200003 "/>
    <s v="Portrait Wooden Plaques with Box"/>
    <n v="178.2"/>
    <m/>
    <n v="178.2"/>
    <n v="8.91"/>
    <n v="187.10999999999999"/>
    <s v="MARINELLE"/>
    <m/>
    <m/>
    <m/>
    <n v="1"/>
  </r>
  <r>
    <x v="6"/>
    <s v="24-0302"/>
    <x v="98"/>
    <s v="100430750800003"/>
    <s v="Tote Bags, Sticker, A4 Flyer"/>
    <n v="5242.5"/>
    <m/>
    <n v="5242.5"/>
    <n v="262.125"/>
    <n v="5504.625"/>
    <s v="REENA"/>
    <m/>
    <m/>
    <m/>
    <n v="1"/>
  </r>
  <r>
    <x v="20"/>
    <s v="24-0303"/>
    <x v="98"/>
    <s v="100235699400003"/>
    <s v="Crystal Trophy"/>
    <n v="2250"/>
    <m/>
    <n v="2250"/>
    <n v="112.5"/>
    <n v="2362.5"/>
    <s v="REENA"/>
    <m/>
    <m/>
    <m/>
    <n v="1"/>
  </r>
  <r>
    <x v="3"/>
    <s v="24-0304"/>
    <x v="98"/>
    <s v="100032677500003"/>
    <s v="Business card"/>
    <n v="450"/>
    <m/>
    <n v="450"/>
    <n v="22.5"/>
    <n v="472.5"/>
    <s v="REENA"/>
    <m/>
    <m/>
    <m/>
    <n v="1"/>
  </r>
  <r>
    <x v="18"/>
    <s v="24-0305"/>
    <x v="97"/>
    <s v="100593105800003"/>
    <s v="A5 Flyer "/>
    <n v="1060"/>
    <m/>
    <n v="1060"/>
    <n v="53"/>
    <n v="1113"/>
    <s v="REENA"/>
    <m/>
    <m/>
    <m/>
    <n v="1"/>
  </r>
  <r>
    <x v="0"/>
    <s v="24-0306"/>
    <x v="99"/>
    <s v="100542487200003"/>
    <s v="Journal (DBSEH), Admission Card(DBSEH)"/>
    <n v="666.25"/>
    <m/>
    <n v="666.25"/>
    <n v="33.3125"/>
    <n v="699.5625"/>
    <s v="REENA"/>
    <m/>
    <m/>
    <m/>
    <n v="1"/>
  </r>
  <r>
    <x v="0"/>
    <s v="24-0307"/>
    <x v="99"/>
    <s v="100542487200003"/>
    <s v="Tshirts (Customized)"/>
    <n v="550"/>
    <m/>
    <n v="550"/>
    <n v="27.5"/>
    <n v="577.5"/>
    <s v="REENA"/>
    <m/>
    <m/>
    <m/>
    <n v="1"/>
  </r>
  <r>
    <x v="82"/>
    <s v="24-0308"/>
    <x v="98"/>
    <s v="100290916400003"/>
    <s v="Backpack - GSD 2024 Giveaway (GT KCT)"/>
    <n v="1240"/>
    <m/>
    <n v="1240"/>
    <n v="62"/>
    <n v="1302"/>
    <s v="MARINELLE"/>
    <m/>
    <m/>
    <m/>
    <n v="1"/>
  </r>
  <r>
    <x v="1"/>
    <s v="24-0309"/>
    <x v="100"/>
    <s v="104166051300003"/>
    <s v="Trophies and Hoodies"/>
    <n v="869"/>
    <m/>
    <n v="869"/>
    <n v="43.45"/>
    <n v="912.45"/>
    <s v="REENA"/>
    <m/>
    <m/>
    <m/>
    <n v="1"/>
  </r>
  <r>
    <x v="63"/>
    <s v="24-0310"/>
    <x v="100"/>
    <s v=" 100484375900003"/>
    <s v="Business Card"/>
    <n v="295"/>
    <m/>
    <n v="295"/>
    <n v="14.75"/>
    <n v="309.75"/>
    <s v="REENA"/>
    <m/>
    <m/>
    <m/>
    <n v="1"/>
  </r>
  <r>
    <x v="0"/>
    <s v="24-0311"/>
    <x v="101"/>
    <s v="100542487200003"/>
    <s v="JBS G12 Graduation Program 2024 Book"/>
    <n v="685.02"/>
    <m/>
    <n v="685.02"/>
    <n v="34.250999999999998"/>
    <n v="719.27099999999996"/>
    <s v="REENA"/>
    <m/>
    <m/>
    <m/>
    <n v="1"/>
  </r>
  <r>
    <x v="18"/>
    <s v="24-0312"/>
    <x v="98"/>
    <s v="100593105800003"/>
    <s v="Office Re-branding - PHASE II"/>
    <n v="2507"/>
    <m/>
    <n v="2507"/>
    <n v="125.35000000000001"/>
    <n v="2632.35"/>
    <s v="REENA"/>
    <m/>
    <m/>
    <m/>
    <n v="1"/>
  </r>
  <r>
    <x v="18"/>
    <s v="24-0313"/>
    <x v="98"/>
    <s v="100593105800003"/>
    <s v="Office Re-branding - PHASE II -8th Floor"/>
    <n v="5685"/>
    <m/>
    <n v="5685"/>
    <n v="284.25"/>
    <n v="5969.25"/>
    <s v="REENA"/>
    <m/>
    <m/>
    <m/>
    <n v="1"/>
  </r>
  <r>
    <x v="18"/>
    <s v="24-0314"/>
    <x v="100"/>
    <s v="100593105800003"/>
    <s v="20240508 - Sanji - Cassol - Aussizz - Al Tareeq"/>
    <n v="590"/>
    <m/>
    <n v="590"/>
    <n v="29.5"/>
    <n v="619.5"/>
    <s v="REENA"/>
    <m/>
    <m/>
    <m/>
    <n v="1"/>
  </r>
  <r>
    <x v="18"/>
    <s v="24-0315"/>
    <x v="98"/>
    <s v="100593105800003"/>
    <s v="Parking Permit"/>
    <n v="284.92"/>
    <m/>
    <n v="284.92"/>
    <n v="14.246000000000002"/>
    <n v="299.166"/>
    <s v="REENA"/>
    <m/>
    <m/>
    <m/>
    <n v="1"/>
  </r>
  <r>
    <x v="94"/>
    <s v="24-0316"/>
    <x v="101"/>
    <s v="100462479500003"/>
    <s v="A4 Sticker"/>
    <n v="195"/>
    <m/>
    <n v="195"/>
    <n v="9.75"/>
    <n v="204.75"/>
    <s v="REENA"/>
    <m/>
    <m/>
    <m/>
    <n v="1"/>
  </r>
  <r>
    <x v="6"/>
    <s v="24-0317"/>
    <x v="101"/>
    <s v="100430750800003"/>
    <s v="Business card"/>
    <n v="275"/>
    <m/>
    <n v="275"/>
    <n v="13.75"/>
    <n v="288.75"/>
    <s v="REENA"/>
    <m/>
    <m/>
    <m/>
    <n v="1"/>
  </r>
  <r>
    <x v="0"/>
    <s v="24-0318"/>
    <x v="102"/>
    <s v="100542487200003"/>
    <s v="Business card - FICHTE"/>
    <n v="420"/>
    <m/>
    <n v="420"/>
    <n v="21"/>
    <n v="441"/>
    <s v="REENA"/>
    <m/>
    <m/>
    <m/>
    <n v="1"/>
  </r>
  <r>
    <x v="0"/>
    <s v="24-0319"/>
    <x v="102"/>
    <s v="100542487200003"/>
    <s v="Raha School - Designing charges"/>
    <n v="350"/>
    <m/>
    <n v="350"/>
    <n v="17.5"/>
    <n v="367.5"/>
    <s v="REENA"/>
    <m/>
    <m/>
    <m/>
    <n v="1"/>
  </r>
  <r>
    <x v="16"/>
    <s v="24-0320"/>
    <x v="103"/>
    <s v="100293287700003"/>
    <s v="Recycled Notebook with Pen "/>
    <n v="1612.5"/>
    <m/>
    <n v="1612.5"/>
    <n v="80.625"/>
    <n v="1693.125"/>
    <s v="MARINELLE"/>
    <m/>
    <m/>
    <m/>
    <n v="1"/>
  </r>
  <r>
    <x v="5"/>
    <s v="24-0321"/>
    <x v="102"/>
    <s v="104037069200003"/>
    <s v="Business Cards"/>
    <n v="217.5"/>
    <m/>
    <n v="217.5"/>
    <n v="10.875"/>
    <n v="228.375"/>
    <s v="REENA"/>
    <m/>
    <m/>
    <m/>
    <n v="1"/>
  </r>
  <r>
    <x v="98"/>
    <s v="24-0322"/>
    <x v="102"/>
    <s v="100048520900003"/>
    <s v="Board Supplies done in May, 2024"/>
    <n v="210"/>
    <m/>
    <n v="210"/>
    <n v="10.5"/>
    <n v="220.5"/>
    <s v="REENA"/>
    <m/>
    <m/>
    <m/>
    <n v="1"/>
  </r>
  <r>
    <x v="99"/>
    <s v="24-0323"/>
    <x v="102"/>
    <s v="100048520900003"/>
    <s v="Board Supplies done in May, 2024"/>
    <n v="60"/>
    <m/>
    <n v="60"/>
    <n v="3"/>
    <n v="63"/>
    <s v="REENA"/>
    <m/>
    <m/>
    <m/>
    <n v="1"/>
  </r>
  <r>
    <x v="109"/>
    <s v="24-0324"/>
    <x v="102"/>
    <s v="-"/>
    <s v="Website Designing and Development"/>
    <n v="2250"/>
    <m/>
    <n v="2250"/>
    <n v="112.5"/>
    <n v="2362.5"/>
    <s v="PROFORMA"/>
    <m/>
    <m/>
    <m/>
    <n v="1"/>
  </r>
  <r>
    <x v="54"/>
    <s v="24-0325"/>
    <x v="102"/>
    <s v="104061690400003"/>
    <s v="Polo Shirts - Kids"/>
    <n v="7425"/>
    <m/>
    <n v="7425"/>
    <n v="371.25"/>
    <n v="7796.25"/>
    <s v="MARINELLE"/>
    <m/>
    <m/>
    <m/>
    <n v="1"/>
  </r>
  <r>
    <x v="70"/>
    <s v="24-0326"/>
    <x v="103"/>
    <s v="100282822400003"/>
    <s v="Brochure - SRH International College,Brochures  ICN, Paper bag"/>
    <n v="1757.5"/>
    <m/>
    <n v="1757.5"/>
    <n v="87.875"/>
    <n v="1845.375"/>
    <s v="REENA"/>
    <m/>
    <m/>
    <m/>
    <n v="1"/>
  </r>
  <r>
    <x v="37"/>
    <s v="24-0327"/>
    <x v="103"/>
    <s v="100282822400003"/>
    <s v="Portrait Wooden Plaques with Box"/>
    <n v="356.4"/>
    <m/>
    <n v="356.4"/>
    <n v="17.82"/>
    <n v="374.21999999999997"/>
    <s v="MARINELLE"/>
    <m/>
    <m/>
    <m/>
    <n v="1"/>
  </r>
  <r>
    <x v="6"/>
    <s v="24-0328"/>
    <x v="103"/>
    <s v="100430750800003"/>
    <s v="Polo Shirt"/>
    <n v="124"/>
    <m/>
    <n v="124"/>
    <n v="6.2"/>
    <n v="130.19999999999999"/>
    <s v="REENA"/>
    <m/>
    <m/>
    <m/>
    <n v="1"/>
  </r>
  <r>
    <x v="18"/>
    <s v="24-0329"/>
    <x v="103"/>
    <s v="100593105800003"/>
    <s v="Booth branding (Shell scheme) - Designing charges"/>
    <n v="6020"/>
    <m/>
    <n v="6020"/>
    <n v="301"/>
    <n v="6321"/>
    <s v="REENA"/>
    <m/>
    <m/>
    <m/>
    <n v="1"/>
  </r>
  <r>
    <x v="18"/>
    <s v="24-0330"/>
    <x v="103"/>
    <s v="100593105800003"/>
    <s v="IDP Business Cards"/>
    <n v="160"/>
    <m/>
    <n v="160"/>
    <n v="8"/>
    <n v="168"/>
    <s v="REENA"/>
    <m/>
    <m/>
    <m/>
    <n v="1"/>
  </r>
  <r>
    <x v="18"/>
    <s v="24-0331"/>
    <x v="103"/>
    <s v="100593105800003"/>
    <s v="Hoodie with zipper "/>
    <n v="381.25"/>
    <m/>
    <n v="381.25"/>
    <n v="19.0625"/>
    <n v="400.3125"/>
    <s v="REENA"/>
    <m/>
    <m/>
    <m/>
    <n v="1"/>
  </r>
  <r>
    <x v="18"/>
    <s v="24-0332"/>
    <x v="103"/>
    <s v="100593105800003"/>
    <s v="Dublin Training - Roll up - A3 Posters - Certificates"/>
    <n v="187.5"/>
    <m/>
    <n v="187.5"/>
    <n v="9.375"/>
    <n v="196.875"/>
    <s v="REENA"/>
    <m/>
    <m/>
    <m/>
    <n v="1"/>
  </r>
  <r>
    <x v="0"/>
    <s v="24-0333"/>
    <x v="103"/>
    <s v="100542487200003"/>
    <s v="Pop Up Banner"/>
    <n v="2550"/>
    <m/>
    <n v="2550"/>
    <n v="127.5"/>
    <n v="2677.5"/>
    <s v="REENA"/>
    <m/>
    <m/>
    <m/>
    <n v="1"/>
  </r>
  <r>
    <x v="36"/>
    <s v="24-0334"/>
    <x v="104"/>
    <s v="100349055200003"/>
    <s v="Balloons (Helium)"/>
    <n v="1233.75"/>
    <m/>
    <n v="1233.75"/>
    <n v="61.6875"/>
    <n v="1295.4375"/>
    <s v="MARINELLE"/>
    <m/>
    <m/>
    <m/>
    <n v="1"/>
  </r>
  <r>
    <x v="110"/>
    <s v="24-0335"/>
    <x v="105"/>
    <m/>
    <s v="Business Card"/>
    <n v="90"/>
    <m/>
    <n v="90"/>
    <n v="4.5"/>
    <n v="94.5"/>
    <s v="REENA"/>
    <m/>
    <m/>
    <m/>
    <n v="1"/>
  </r>
  <r>
    <x v="0"/>
    <s v="24-0336"/>
    <x v="106"/>
    <s v="100593105800003"/>
    <s v="A4 size, Total 16 pages"/>
    <n v="705"/>
    <m/>
    <n v="705"/>
    <n v="35.25"/>
    <n v="740.25"/>
    <s v="REENA"/>
    <m/>
    <m/>
    <m/>
    <n v="1"/>
  </r>
  <r>
    <x v="0"/>
    <s v="24-0337"/>
    <x v="106"/>
    <s v="100593105800003"/>
    <s v="Yearbook (Raha School)"/>
    <n v="18962"/>
    <m/>
    <n v="18962"/>
    <n v="948.1"/>
    <n v="19910.099999999999"/>
    <s v="REENA"/>
    <m/>
    <m/>
    <m/>
    <n v="1"/>
  </r>
  <r>
    <x v="0"/>
    <s v="24-0338"/>
    <x v="106"/>
    <s v="100593105800003"/>
    <s v="A5 Notepad (Top Glue)"/>
    <n v="945"/>
    <m/>
    <n v="945"/>
    <n v="47.25"/>
    <n v="992.25"/>
    <s v="REENA"/>
    <m/>
    <m/>
    <m/>
    <n v="1"/>
  </r>
  <r>
    <x v="21"/>
    <s v="24-0339"/>
    <x v="106"/>
    <s v="-"/>
    <s v="3 fold flyer, Business card"/>
    <n v="2785"/>
    <m/>
    <n v="2785"/>
    <n v="139.25"/>
    <n v="2924.25"/>
    <s v="REENA"/>
    <m/>
    <m/>
    <m/>
    <n v="1"/>
  </r>
  <r>
    <x v="0"/>
    <s v="24-0340"/>
    <x v="106"/>
    <s v="100593105800003"/>
    <s v="Designing Charges - GIS year book, Designing Charges - UIS year book, "/>
    <n v="4000"/>
    <m/>
    <n v="4000"/>
    <n v="200"/>
    <n v="4200"/>
    <s v="REENA"/>
    <m/>
    <m/>
    <m/>
    <n v="1"/>
  </r>
  <r>
    <x v="20"/>
    <s v="24-0341"/>
    <x v="104"/>
    <s v="100235699400003"/>
    <s v="Access cards (Client supplied)"/>
    <n v="1311"/>
    <m/>
    <n v="1311"/>
    <n v="65.55"/>
    <n v="1376.55"/>
    <s v="REENA"/>
    <m/>
    <m/>
    <m/>
    <n v="1"/>
  </r>
  <r>
    <x v="37"/>
    <s v="24-0342"/>
    <x v="107"/>
    <s v="100249843200003"/>
    <s v="Ribbon with printing "/>
    <n v="358.75"/>
    <m/>
    <n v="358.75"/>
    <n v="17.9375"/>
    <n v="376.6875"/>
    <s v="MARINELLE"/>
    <m/>
    <m/>
    <m/>
    <n v="1"/>
  </r>
  <r>
    <x v="111"/>
    <s v="24-0343"/>
    <x v="108"/>
    <s v="100511338400003"/>
    <s v="Mug"/>
    <n v="367.5"/>
    <m/>
    <n v="367.5"/>
    <n v="18.375"/>
    <n v="385.875"/>
    <s v="REENA"/>
    <m/>
    <m/>
    <m/>
    <n v="1"/>
  </r>
  <r>
    <x v="1"/>
    <s v="24-0344"/>
    <x v="108"/>
    <s v="104166051300003"/>
    <s v="A4 Notepad (PECUNIA), Pen (Metal), A4 Pocket folder, A4 Notepad (PECUNIA)"/>
    <n v="1788"/>
    <m/>
    <n v="1788"/>
    <n v="89.4"/>
    <n v="1877.4"/>
    <s v="REENA"/>
    <m/>
    <m/>
    <m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">
  <r>
    <x v="0"/>
    <s v="24-0001"/>
    <x v="0"/>
    <s v="100542487200003"/>
    <s v="A3 Poster - Jebel Ali School"/>
    <n v="425.49"/>
    <m/>
    <n v="425.49"/>
    <n v="21.274500000000003"/>
    <n v="446.7645"/>
    <s v="REENA"/>
    <m/>
    <m/>
    <m/>
    <n v="1"/>
  </r>
  <r>
    <x v="0"/>
    <s v="24-0002"/>
    <x v="1"/>
    <s v="100542487200003"/>
    <s v="A5 Booklet - DBSJP (Nov/Dec)"/>
    <n v="415"/>
    <m/>
    <n v="415"/>
    <n v="20.75"/>
    <n v="435.75"/>
    <s v="REENA"/>
    <m/>
    <m/>
    <m/>
    <n v="1"/>
  </r>
  <r>
    <x v="1"/>
    <s v="24-0003"/>
    <x v="1"/>
    <s v="104166051300003"/>
    <s v="Business Cards ( Ferhat Doghan ) "/>
    <n v="475"/>
    <m/>
    <n v="475"/>
    <n v="23.75"/>
    <n v="498.75"/>
    <s v="REENA"/>
    <m/>
    <m/>
    <m/>
    <n v="1"/>
  </r>
  <r>
    <x v="2"/>
    <s v="24-0004"/>
    <x v="2"/>
    <s v="100312976200003"/>
    <s v="Water Bottle , A5 Notebook (Anti-Microbial) , Metal Pen , Box"/>
    <n v="5850"/>
    <m/>
    <n v="5850"/>
    <n v="292.5"/>
    <n v="6142.5"/>
    <s v="MARINELLE"/>
    <m/>
    <m/>
    <m/>
    <n v="1"/>
  </r>
  <r>
    <x v="3"/>
    <s v="24-0005"/>
    <x v="3"/>
    <s v="100032677500003"/>
    <s v="Sticker (Paper)"/>
    <n v="425"/>
    <m/>
    <n v="425"/>
    <n v="21.25"/>
    <n v="446.25"/>
    <s v="REENA"/>
    <m/>
    <m/>
    <m/>
    <n v="1"/>
  </r>
  <r>
    <x v="4"/>
    <s v="24-0006"/>
    <x v="4"/>
    <s v="100522321700003"/>
    <s v="Wooden Board"/>
    <n v="7600"/>
    <m/>
    <n v="7600"/>
    <n v="380"/>
    <n v="7980"/>
    <s v="REENA"/>
    <m/>
    <m/>
    <m/>
    <n v="1"/>
  </r>
  <r>
    <x v="5"/>
    <s v="24-0007"/>
    <x v="5"/>
    <s v="104037069200003"/>
    <s v="Business Cards , Polo Shirts"/>
    <n v="848"/>
    <m/>
    <n v="848"/>
    <n v="42.400000000000006"/>
    <n v="890.4"/>
    <s v="REENA"/>
    <m/>
    <m/>
    <m/>
    <n v="1"/>
  </r>
  <r>
    <x v="6"/>
    <s v="24-0008"/>
    <x v="6"/>
    <s v=" 100430750800003"/>
    <s v="Round neck Tshirt"/>
    <n v="380"/>
    <m/>
    <n v="380"/>
    <n v="19"/>
    <n v="399"/>
    <s v="REENA"/>
    <m/>
    <m/>
    <m/>
    <n v="1"/>
  </r>
  <r>
    <x v="7"/>
    <s v="24-0009"/>
    <x v="7"/>
    <s v="100348311000003"/>
    <s v="Business Card ( Mohamed Ben Hamouda ) "/>
    <n v="405"/>
    <m/>
    <n v="405"/>
    <n v="20.25"/>
    <n v="425.25"/>
    <s v="REENA"/>
    <m/>
    <m/>
    <m/>
    <n v="1"/>
  </r>
  <r>
    <x v="8"/>
    <s v="24-0010"/>
    <x v="6"/>
    <s v="104014963300003"/>
    <s v="Business Cards ( Mr. Mehdi M Taki , Mr. Muhammed Midlaj ) "/>
    <n v="530"/>
    <m/>
    <n v="530"/>
    <n v="26.5"/>
    <n v="556.5"/>
    <s v="REENA"/>
    <m/>
    <m/>
    <m/>
    <n v="1"/>
  </r>
  <r>
    <x v="4"/>
    <s v="24-0011"/>
    <x v="5"/>
    <s v="100522321700003"/>
    <s v="Acrylic Stand"/>
    <n v="760"/>
    <m/>
    <n v="760"/>
    <n v="38"/>
    <n v="798"/>
    <s v="REENA"/>
    <m/>
    <m/>
    <m/>
    <n v="1"/>
  </r>
  <r>
    <x v="9"/>
    <s v="24-0012"/>
    <x v="6"/>
    <s v="-"/>
    <s v="Polo Shirt"/>
    <n v="227.90700000000001"/>
    <m/>
    <n v="227.90700000000001"/>
    <n v="11.395350000000001"/>
    <n v="239.30235000000002"/>
    <s v="REENA"/>
    <m/>
    <m/>
    <m/>
    <n v="1"/>
  </r>
  <r>
    <x v="10"/>
    <s v="24-0013"/>
    <x v="8"/>
    <s v="100540543400003"/>
    <s v="NCR Book"/>
    <n v="475"/>
    <m/>
    <n v="475"/>
    <n v="23.75"/>
    <n v="498.75"/>
    <s v="MARINELLE"/>
    <m/>
    <m/>
    <m/>
    <n v="1"/>
  </r>
  <r>
    <x v="0"/>
    <s v="24-0014"/>
    <x v="8"/>
    <s v=" 100542487200003"/>
    <s v="Poster , Flag ( Raha International School )"/>
    <n v="440"/>
    <m/>
    <n v="440"/>
    <n v="22"/>
    <n v="462"/>
    <s v="REENA"/>
    <m/>
    <m/>
    <m/>
    <n v="1"/>
  </r>
  <r>
    <x v="11"/>
    <s v="24-0015"/>
    <x v="8"/>
    <s v="100056728700003"/>
    <s v="Signage (Without Light)"/>
    <n v="1250"/>
    <m/>
    <n v="1250"/>
    <n v="62.5"/>
    <n v="1312.5"/>
    <s v="MARINELLE"/>
    <m/>
    <m/>
    <m/>
    <n v="1"/>
  </r>
  <r>
    <x v="3"/>
    <s v="24-0016"/>
    <x v="8"/>
    <s v="100032677500003"/>
    <s v="Business card ( Rineesh Ali )"/>
    <n v="165"/>
    <m/>
    <n v="165"/>
    <n v="8.25"/>
    <n v="173.25"/>
    <s v="REENA"/>
    <m/>
    <m/>
    <m/>
    <n v="1"/>
  </r>
  <r>
    <x v="12"/>
    <s v="24-0017"/>
    <x v="9"/>
    <s v=" 100482284500003"/>
    <s v="Business Card "/>
    <n v="825"/>
    <m/>
    <n v="825"/>
    <n v="41.25"/>
    <n v="866.25"/>
    <s v="REENA"/>
    <m/>
    <m/>
    <m/>
    <n v="1"/>
  </r>
  <r>
    <x v="13"/>
    <s v="24-0018"/>
    <x v="7"/>
    <s v="100567483100003"/>
    <s v="Polo Shirts"/>
    <n v="4252.5"/>
    <m/>
    <n v="4252.5"/>
    <n v="212.625"/>
    <n v="4465.125"/>
    <s v="MARINELLE"/>
    <m/>
    <m/>
    <m/>
    <n v="1"/>
  </r>
  <r>
    <x v="14"/>
    <s v="24-0019"/>
    <x v="10"/>
    <s v="-"/>
    <s v="Certificate Holder"/>
    <n v="1690"/>
    <m/>
    <n v="1690"/>
    <n v="84.5"/>
    <n v="1774.5"/>
    <s v="MARINELLE"/>
    <m/>
    <m/>
    <m/>
    <n v="1"/>
  </r>
  <r>
    <x v="15"/>
    <s v="24-0020"/>
    <x v="2"/>
    <s v="100399495900003"/>
    <s v="Business Card"/>
    <n v="310"/>
    <m/>
    <n v="310"/>
    <n v="15.5"/>
    <n v="325.5"/>
    <s v="MARINELLE"/>
    <m/>
    <m/>
    <m/>
    <n v="1"/>
  </r>
  <r>
    <x v="16"/>
    <s v="24-0021"/>
    <x v="10"/>
    <s v="100293287700003"/>
    <s v="Car Sunshades (Tyvek)"/>
    <n v="5975"/>
    <m/>
    <n v="5975"/>
    <n v="298.75"/>
    <n v="6273.75"/>
    <s v="MARINELLE"/>
    <m/>
    <m/>
    <m/>
    <n v="1"/>
  </r>
  <r>
    <x v="17"/>
    <s v="24-0022"/>
    <x v="8"/>
    <s v="-"/>
    <s v="Rubber stamp"/>
    <n v="120"/>
    <m/>
    <n v="120"/>
    <n v="6"/>
    <n v="126"/>
    <s v="REENA"/>
    <m/>
    <m/>
    <m/>
    <n v="1"/>
  </r>
  <r>
    <x v="18"/>
    <s v="24-0023"/>
    <x v="8"/>
    <s v="100593105800003"/>
    <s v="Rubber stamp"/>
    <n v="0"/>
    <m/>
    <n v="0"/>
    <n v="0"/>
    <n v="0"/>
    <s v="REENA"/>
    <m/>
    <m/>
    <m/>
    <n v="1"/>
  </r>
  <r>
    <x v="2"/>
    <s v="24-0024"/>
    <x v="10"/>
    <s v="100312976200003"/>
    <s v="Prints for Gift Box"/>
    <n v="200"/>
    <m/>
    <n v="200"/>
    <n v="10"/>
    <n v="210"/>
    <s v="MARINELLE"/>
    <m/>
    <m/>
    <m/>
    <n v="1"/>
  </r>
  <r>
    <x v="19"/>
    <s v="24-0025"/>
    <x v="11"/>
    <s v="-"/>
    <s v="Pop Up Banner (Straight) , Roll up , Book Mark (Steel) , Table Flag with Stand"/>
    <n v="7595.24"/>
    <m/>
    <n v="7595.24"/>
    <n v="379.762"/>
    <n v="7975.0019999999995"/>
    <s v="MARINELLE"/>
    <m/>
    <m/>
    <m/>
    <n v="1"/>
  </r>
  <r>
    <x v="20"/>
    <s v="24-0026"/>
    <x v="12"/>
    <s v="100235699400003"/>
    <s v="Business Card ( Darshit B. Kapadiwala , Ahmed Hamid )"/>
    <n v="470"/>
    <m/>
    <n v="470"/>
    <n v="23.5"/>
    <n v="493.5"/>
    <s v="REENA"/>
    <m/>
    <m/>
    <m/>
    <n v="1"/>
  </r>
  <r>
    <x v="18"/>
    <s v="24-0027"/>
    <x v="13"/>
    <s v="100593105800003"/>
    <s v="Roll up , A3 Posters , Certificates"/>
    <n v="526.5"/>
    <m/>
    <n v="526.5"/>
    <n v="26.325000000000003"/>
    <n v="552.82500000000005"/>
    <s v="REENA"/>
    <m/>
    <m/>
    <m/>
    <n v="1"/>
  </r>
  <r>
    <x v="0"/>
    <s v="24-0028"/>
    <x v="14"/>
    <s v="100542487200003"/>
    <s v="Brochure , Roll Up ( Charter School ) "/>
    <n v="955"/>
    <m/>
    <n v="955"/>
    <n v="47.75"/>
    <n v="1002.75"/>
    <s v="REENA"/>
    <m/>
    <m/>
    <m/>
    <n v="1"/>
  </r>
  <r>
    <x v="21"/>
    <s v="24-0029"/>
    <x v="15"/>
    <s v="-"/>
    <s v="Business cards , A4 Desktop"/>
    <n v="350"/>
    <m/>
    <n v="350"/>
    <n v="17.5"/>
    <n v="367.5"/>
    <s v="REENA"/>
    <m/>
    <m/>
    <m/>
    <n v="1"/>
  </r>
  <r>
    <x v="0"/>
    <s v="24-0030"/>
    <x v="14"/>
    <s v=" 100542487200003"/>
    <s v="Roll Up - DBSJ , Roll Up - Taaleem"/>
    <n v="435"/>
    <m/>
    <n v="435"/>
    <n v="21.75"/>
    <n v="456.75"/>
    <s v="REENA"/>
    <m/>
    <m/>
    <m/>
    <n v="1"/>
  </r>
  <r>
    <x v="1"/>
    <s v="24-0031"/>
    <x v="14"/>
    <s v=" 104166051300003"/>
    <s v="Sticker"/>
    <n v="78.75"/>
    <m/>
    <n v="78.75"/>
    <n v="3.9375"/>
    <n v="82.6875"/>
    <s v="REENA"/>
    <m/>
    <m/>
    <m/>
    <n v="1"/>
  </r>
  <r>
    <x v="6"/>
    <s v="24-0032"/>
    <x v="15"/>
    <s v="100430750800003"/>
    <s v="A4 Envelope"/>
    <n v="424.95"/>
    <m/>
    <n v="424.95"/>
    <n v="21.247500000000002"/>
    <n v="446.19749999999999"/>
    <s v="REENA"/>
    <m/>
    <m/>
    <m/>
    <n v="1"/>
  </r>
  <r>
    <x v="20"/>
    <s v="24-0033"/>
    <x v="16"/>
    <s v="100235699400003"/>
    <s v="Crystal Trophy"/>
    <n v="4290"/>
    <m/>
    <n v="4290"/>
    <n v="214.5"/>
    <n v="4504.5"/>
    <s v="REENA"/>
    <m/>
    <m/>
    <m/>
    <n v="1"/>
  </r>
  <r>
    <x v="3"/>
    <s v="24-0034"/>
    <x v="17"/>
    <s v="100032677500003"/>
    <s v="Receipt Voucher Book"/>
    <n v="725"/>
    <m/>
    <n v="725"/>
    <n v="36.25"/>
    <n v="761.25"/>
    <s v="REENA"/>
    <m/>
    <m/>
    <m/>
    <n v="1"/>
  </r>
  <r>
    <x v="22"/>
    <s v="24-0035"/>
    <x v="17"/>
    <s v="100519331100003"/>
    <s v="Wall Calendar"/>
    <n v="3150"/>
    <m/>
    <n v="3150"/>
    <n v="157.5"/>
    <n v="3307.5"/>
    <s v="MARINELLE"/>
    <m/>
    <m/>
    <m/>
    <n v="1"/>
  </r>
  <r>
    <x v="23"/>
    <s v="24-0036"/>
    <x v="11"/>
    <s v="100065352500003"/>
    <s v="Ceramic Mug with Lid and Cork Base"/>
    <n v="380"/>
    <m/>
    <n v="380"/>
    <n v="19"/>
    <n v="399"/>
    <s v="MARINELLE"/>
    <m/>
    <m/>
    <m/>
    <n v="1"/>
  </r>
  <r>
    <x v="24"/>
    <s v="24-0037"/>
    <x v="11"/>
    <s v="-"/>
    <s v="Designing Charges"/>
    <n v="1250"/>
    <m/>
    <n v="1250"/>
    <n v="62.5"/>
    <n v="1312.5"/>
    <s v="REENA"/>
    <m/>
    <m/>
    <m/>
    <n v="1"/>
  </r>
  <r>
    <x v="21"/>
    <s v="24-0038"/>
    <x v="18"/>
    <s v="-"/>
    <s v="3 fold Flyer , Business Card"/>
    <n v="4125"/>
    <m/>
    <n v="4125"/>
    <n v="206.25"/>
    <n v="4331.25"/>
    <s v="REENA"/>
    <m/>
    <m/>
    <m/>
    <n v="1"/>
  </r>
  <r>
    <x v="25"/>
    <s v="24-0039"/>
    <x v="11"/>
    <s v="-"/>
    <s v="Metal Pen , Signage "/>
    <n v="995"/>
    <m/>
    <n v="995"/>
    <n v="49.75"/>
    <n v="1044.75"/>
    <s v="MARINELLE"/>
    <m/>
    <m/>
    <m/>
    <n v="1"/>
  </r>
  <r>
    <x v="26"/>
    <s v="24-0040"/>
    <x v="11"/>
    <s v="-"/>
    <s v="Signage"/>
    <n v="95"/>
    <m/>
    <n v="95"/>
    <n v="4.75"/>
    <n v="99.75"/>
    <s v="MARINELLE"/>
    <m/>
    <m/>
    <m/>
    <n v="1"/>
  </r>
  <r>
    <x v="0"/>
    <s v="24-0041"/>
    <x v="16"/>
    <s v="100542487200003"/>
    <s v="Business Card - JBS ( Natalie Pringle ) "/>
    <n v="210"/>
    <m/>
    <n v="210"/>
    <n v="10.5"/>
    <n v="220.5"/>
    <s v="REENA"/>
    <m/>
    <m/>
    <m/>
    <n v="1"/>
  </r>
  <r>
    <x v="27"/>
    <s v="24-0042"/>
    <x v="16"/>
    <s v="100336122500003"/>
    <s v="Polo Shirt"/>
    <n v="1106"/>
    <m/>
    <n v="1106"/>
    <n v="55.300000000000004"/>
    <n v="1161.3"/>
    <s v="GLEN"/>
    <m/>
    <m/>
    <m/>
    <n v="1"/>
  </r>
  <r>
    <x v="0"/>
    <s v="24-0043"/>
    <x v="16"/>
    <s v="100542487200003"/>
    <s v="Table Cloth - DBSJ , Table Runner"/>
    <n v="435"/>
    <m/>
    <n v="435"/>
    <n v="21.75"/>
    <n v="456.75"/>
    <s v="REENA"/>
    <m/>
    <m/>
    <m/>
    <n v="1"/>
  </r>
  <r>
    <x v="0"/>
    <s v="24-0044"/>
    <x v="16"/>
    <s v="100542487200003"/>
    <s v="Display Stand - AAG"/>
    <n v="5580"/>
    <m/>
    <n v="5580"/>
    <n v="279"/>
    <n v="5859"/>
    <s v="REENA"/>
    <m/>
    <m/>
    <m/>
    <n v="1"/>
  </r>
  <r>
    <x v="28"/>
    <s v="24-0045"/>
    <x v="7"/>
    <s v="-"/>
    <s v="Repair of 2 Trophies "/>
    <n v="400"/>
    <m/>
    <n v="400"/>
    <n v="20"/>
    <n v="420"/>
    <s v="MARINELLE"/>
    <m/>
    <m/>
    <m/>
    <n v="1"/>
  </r>
  <r>
    <x v="29"/>
    <s v="24-0046"/>
    <x v="19"/>
    <s v="100494671900003"/>
    <s v="Customized Small Envelope , Letterhead"/>
    <n v="745"/>
    <m/>
    <n v="745"/>
    <n v="37.25"/>
    <n v="782.25"/>
    <s v="MARINELLE"/>
    <m/>
    <m/>
    <m/>
    <n v="1"/>
  </r>
  <r>
    <x v="30"/>
    <s v="24-0047"/>
    <x v="19"/>
    <s v=" 104020641700003"/>
    <s v="Letterhead"/>
    <n v="250"/>
    <m/>
    <n v="250"/>
    <n v="12.5"/>
    <n v="262.5"/>
    <s v="MARINELLE"/>
    <m/>
    <m/>
    <m/>
    <n v="1"/>
  </r>
  <r>
    <x v="31"/>
    <s v="24-0048"/>
    <x v="19"/>
    <s v=" 100566746200003"/>
    <s v="Letterhead"/>
    <n v="250"/>
    <m/>
    <n v="250"/>
    <n v="12.5"/>
    <n v="262.5"/>
    <s v="MARINELLE"/>
    <m/>
    <m/>
    <m/>
    <n v="1"/>
  </r>
  <r>
    <x v="32"/>
    <s v="24-0049"/>
    <x v="19"/>
    <s v="104149170300003"/>
    <s v="Letterhead"/>
    <n v="200"/>
    <m/>
    <n v="200"/>
    <n v="10"/>
    <n v="210"/>
    <s v="MARINELLE"/>
    <m/>
    <m/>
    <m/>
    <n v="1"/>
  </r>
  <r>
    <x v="33"/>
    <s v="24-0050"/>
    <x v="20"/>
    <s v="104020118600003"/>
    <s v="Recycled 15W Wireless Charger Multi - Cable Set"/>
    <n v="3950"/>
    <m/>
    <n v="3950"/>
    <n v="197.5"/>
    <n v="4147.5"/>
    <s v="REENA"/>
    <m/>
    <m/>
    <m/>
    <n v="1"/>
  </r>
  <r>
    <x v="18"/>
    <s v="24-0051"/>
    <x v="20"/>
    <s v="100593105800003"/>
    <s v="Service award certificates"/>
    <n v="28"/>
    <m/>
    <n v="28"/>
    <n v="1.4000000000000001"/>
    <n v="29.4"/>
    <s v="REENA"/>
    <m/>
    <m/>
    <m/>
    <n v="1"/>
  </r>
  <r>
    <x v="34"/>
    <s v="24-0052"/>
    <x v="12"/>
    <s v="104166051300003"/>
    <s v="Business card , Pocket Folder , Letterhead"/>
    <n v="1780"/>
    <m/>
    <n v="1780"/>
    <n v="89"/>
    <n v="1869"/>
    <s v="REENA"/>
    <m/>
    <m/>
    <m/>
    <n v="1"/>
  </r>
  <r>
    <x v="35"/>
    <s v="24-0053"/>
    <x v="20"/>
    <s v="-"/>
    <s v="Wall Calendar"/>
    <n v="4687.5"/>
    <m/>
    <n v="4687.5"/>
    <n v="234.375"/>
    <n v="4921.875"/>
    <s v="MARINELLE"/>
    <m/>
    <m/>
    <m/>
    <n v="1"/>
  </r>
  <r>
    <x v="20"/>
    <s v="24-0054"/>
    <x v="20"/>
    <s v="100235699400003"/>
    <s v="Business Cards ( Waleed Asfour )"/>
    <n v="405"/>
    <m/>
    <n v="405"/>
    <n v="20.25"/>
    <n v="425.25"/>
    <s v="REENA"/>
    <m/>
    <m/>
    <m/>
    <n v="1"/>
  </r>
  <r>
    <x v="20"/>
    <s v="24-0055"/>
    <x v="20"/>
    <s v="100235699400003"/>
    <s v="Business Cards ( Madhu Mala )"/>
    <n v="405"/>
    <m/>
    <n v="405"/>
    <n v="20.25"/>
    <n v="425.25"/>
    <s v="REENA"/>
    <m/>
    <m/>
    <m/>
    <n v="1"/>
  </r>
  <r>
    <x v="20"/>
    <s v="24-0056"/>
    <x v="20"/>
    <s v="100235699400003"/>
    <s v="Business Cards ( Varghese Mathew )"/>
    <n v="405"/>
    <m/>
    <n v="405"/>
    <n v="20.25"/>
    <n v="425.25"/>
    <s v="REENA"/>
    <m/>
    <m/>
    <m/>
    <n v="1"/>
  </r>
  <r>
    <x v="36"/>
    <s v="24-0057"/>
    <x v="12"/>
    <s v="100349055200003"/>
    <s v="Anti Stress Balls"/>
    <n v="1125"/>
    <m/>
    <n v="1125"/>
    <n v="56.25"/>
    <n v="1181.25"/>
    <s v="MARINELLE"/>
    <m/>
    <m/>
    <m/>
    <n v="1"/>
  </r>
  <r>
    <x v="37"/>
    <s v="24-0058"/>
    <x v="19"/>
    <s v="100249843200003 "/>
    <s v="Flags with Eyelets , Lanyard (Customized) , Certificate Holder , Grid Lined Notebook 7mm x 7mm , Non Woven Bag , Journal (Landscape)"/>
    <n v="19067.5"/>
    <m/>
    <n v="19067.5"/>
    <n v="953.375"/>
    <n v="20020.875"/>
    <s v="MARINELLE"/>
    <m/>
    <m/>
    <m/>
    <n v="1"/>
  </r>
  <r>
    <x v="38"/>
    <s v="24-0059"/>
    <x v="12"/>
    <s v="100044062600003"/>
    <s v="Polo Shirt"/>
    <n v="1140"/>
    <m/>
    <n v="1140"/>
    <n v="57"/>
    <n v="1197"/>
    <s v="MARINELLE"/>
    <m/>
    <m/>
    <m/>
    <n v="1"/>
  </r>
  <r>
    <x v="19"/>
    <s v="24-0060"/>
    <x v="19"/>
    <s v="-"/>
    <s v="RFID Sliding Card Holder , Wood &amp; Crystal Trophy , Wooden Trophy with Diamond Crystal on Top , Non Woven Bag"/>
    <n v="7082.5"/>
    <m/>
    <n v="7082.5"/>
    <n v="354.125"/>
    <n v="7436.625"/>
    <s v="MARINELLE"/>
    <m/>
    <m/>
    <m/>
    <n v="1"/>
  </r>
  <r>
    <x v="27"/>
    <s v="24-0061"/>
    <x v="12"/>
    <s v="100336122500003"/>
    <s v="Metal Pen ( White / Blue ) "/>
    <n v="4675"/>
    <m/>
    <n v="4675"/>
    <n v="233.75"/>
    <n v="4908.75"/>
    <s v="GLEN"/>
    <m/>
    <m/>
    <m/>
    <n v="1"/>
  </r>
  <r>
    <x v="6"/>
    <s v="24-0062"/>
    <x v="19"/>
    <s v="100430750800003"/>
    <s v="Business card"/>
    <n v="440"/>
    <m/>
    <n v="440"/>
    <n v="22"/>
    <n v="462"/>
    <s v="REENA"/>
    <m/>
    <m/>
    <m/>
    <n v="1"/>
  </r>
  <r>
    <x v="0"/>
    <s v="24-0063"/>
    <x v="12"/>
    <s v="100542487200003"/>
    <s v="A5 Booklet - DBSJP (Dec/Jan)"/>
    <n v="475"/>
    <m/>
    <n v="475"/>
    <n v="23.75"/>
    <n v="498.75"/>
    <s v="REENA"/>
    <m/>
    <m/>
    <m/>
    <n v="1"/>
  </r>
  <r>
    <x v="0"/>
    <s v="24-0064"/>
    <x v="12"/>
    <s v="100542487200003"/>
    <s v="Instagram Frame - Taaleem"/>
    <n v="280"/>
    <m/>
    <n v="280"/>
    <n v="14"/>
    <n v="294"/>
    <s v="REENA"/>
    <m/>
    <m/>
    <m/>
    <n v="1"/>
  </r>
  <r>
    <x v="5"/>
    <s v="24-0065"/>
    <x v="12"/>
    <s v="104037069200003"/>
    <s v="Signage - Italian Furniture (without light)"/>
    <n v="4525"/>
    <m/>
    <n v="4525"/>
    <n v="226.25"/>
    <n v="4751.25"/>
    <s v="REENA"/>
    <m/>
    <m/>
    <m/>
    <n v="1"/>
  </r>
  <r>
    <x v="39"/>
    <s v="24-0066"/>
    <x v="12"/>
    <s v="-"/>
    <s v="Rollup Banner"/>
    <n v="525"/>
    <m/>
    <n v="525"/>
    <n v="26.25"/>
    <n v="551.25"/>
    <s v="REENA"/>
    <m/>
    <m/>
    <m/>
    <n v="1"/>
  </r>
  <r>
    <x v="40"/>
    <s v="24-0067"/>
    <x v="21"/>
    <s v="100204025900003"/>
    <s v="Glass Door Sticker ( Plotter Cut Sticker )"/>
    <n v="300"/>
    <m/>
    <n v="300"/>
    <n v="15"/>
    <n v="315"/>
    <s v="GLEN"/>
    <m/>
    <m/>
    <m/>
    <n v="1"/>
  </r>
  <r>
    <x v="6"/>
    <s v="24-0068"/>
    <x v="21"/>
    <s v=" 100430750800003"/>
    <s v="Tote Bags , Metal Pens , Sticker , A4 Flyers , MBA Flyer - Trifold"/>
    <n v="9558.4"/>
    <m/>
    <n v="9558.4"/>
    <n v="477.92"/>
    <n v="10036.32"/>
    <s v="REENA"/>
    <m/>
    <m/>
    <m/>
    <n v="1"/>
  </r>
  <r>
    <x v="41"/>
    <s v="24-0069"/>
    <x v="21"/>
    <s v="100048520900003"/>
    <s v="Board Supply January, 2024"/>
    <n v="165"/>
    <m/>
    <n v="165"/>
    <n v="8.25"/>
    <n v="173.25"/>
    <s v="REENA"/>
    <m/>
    <m/>
    <m/>
    <n v="1"/>
  </r>
  <r>
    <x v="41"/>
    <s v="24-0070"/>
    <x v="21"/>
    <s v="100048520900003"/>
    <s v="Board Supply January, 2024"/>
    <n v="210"/>
    <m/>
    <n v="210"/>
    <n v="10.5"/>
    <n v="220.5"/>
    <s v="REENA"/>
    <m/>
    <m/>
    <m/>
    <n v="1"/>
  </r>
  <r>
    <x v="42"/>
    <s v="24-0071"/>
    <x v="21"/>
    <s v="100435244700003"/>
    <s v="Sampling Charges"/>
    <n v="150"/>
    <m/>
    <n v="150"/>
    <n v="7.5"/>
    <n v="157.5"/>
    <s v="MARINELLE"/>
    <m/>
    <m/>
    <m/>
    <n v="1"/>
  </r>
  <r>
    <x v="43"/>
    <s v="24-0072"/>
    <x v="21"/>
    <s v="100003895800003"/>
    <s v="Paper Cups with Lids"/>
    <n v="0"/>
    <m/>
    <n v="0"/>
    <n v="0"/>
    <n v="0"/>
    <s v="MARINELLE"/>
    <m/>
    <m/>
    <m/>
    <n v="1"/>
  </r>
  <r>
    <x v="44"/>
    <s v="24-0073"/>
    <x v="21"/>
    <s v="100533217400003"/>
    <s v="Corporate Media Kit ( Island Tuckshop Pvt Ltd )"/>
    <n v="1250"/>
    <m/>
    <n v="1250"/>
    <n v="62.5"/>
    <n v="1312.5"/>
    <s v="REENA"/>
    <m/>
    <m/>
    <m/>
    <n v="1"/>
  </r>
  <r>
    <x v="37"/>
    <s v="24-0074"/>
    <x v="21"/>
    <s v=" 100249843200003 "/>
    <s v="Lanyard (Customized)"/>
    <n v="126"/>
    <m/>
    <n v="126"/>
    <n v="6.3000000000000007"/>
    <n v="132.30000000000001"/>
    <s v="MARINELLE"/>
    <m/>
    <m/>
    <m/>
    <n v="1"/>
  </r>
  <r>
    <x v="45"/>
    <s v="24-0075"/>
    <x v="21"/>
    <s v="100594103200003"/>
    <s v="Business Card ( RICHARD ZUCCALA , LORNA BINNIE, MARITES SUNDIAM , MICHAEL HUNTER )"/>
    <n v="1060"/>
    <m/>
    <n v="1060"/>
    <n v="53"/>
    <n v="1113"/>
    <s v="MARINELLE"/>
    <m/>
    <m/>
    <m/>
    <n v="1"/>
  </r>
  <r>
    <x v="18"/>
    <s v="24-0076"/>
    <x v="21"/>
    <s v="100593105800003"/>
    <s v="Rollup Banners (Roadshow) , A4 Flyer , A3 Poster"/>
    <n v="4785"/>
    <m/>
    <n v="4785"/>
    <n v="239.25"/>
    <n v="5024.25"/>
    <s v="REENA"/>
    <m/>
    <m/>
    <m/>
    <n v="1"/>
  </r>
  <r>
    <x v="46"/>
    <s v="24-0077"/>
    <x v="21"/>
    <s v="100279643900003"/>
    <s v="Gift box ( Notebook - Premium , Metal Ballpoint Pen )"/>
    <n v="14375"/>
    <m/>
    <n v="14375"/>
    <n v="718.75"/>
    <n v="15093.75"/>
    <s v="REENA"/>
    <m/>
    <m/>
    <m/>
    <n v="1"/>
  </r>
  <r>
    <x v="47"/>
    <s v="24-0078"/>
    <x v="22"/>
    <s v=" 104048906200003"/>
    <s v="Paper Bag (50% Advance Invoice)"/>
    <n v="1575"/>
    <m/>
    <n v="1575"/>
    <n v="78.75"/>
    <n v="1653.75"/>
    <s v="MARINELLE"/>
    <m/>
    <m/>
    <m/>
    <n v="1"/>
  </r>
  <r>
    <x v="48"/>
    <s v="24-0079"/>
    <x v="23"/>
    <s v="100277137400003"/>
    <s v="4 in 1 Charging Cable"/>
    <n v="1400"/>
    <m/>
    <n v="1400"/>
    <n v="70"/>
    <n v="1470"/>
    <s v="MARINELLE"/>
    <m/>
    <m/>
    <m/>
    <n v="1"/>
  </r>
  <r>
    <x v="47"/>
    <s v="24-0080"/>
    <x v="23"/>
    <s v="104048906200003"/>
    <s v="Paper Bag ( 50% Final Payment )"/>
    <n v="1575"/>
    <m/>
    <n v="1575"/>
    <n v="78.75"/>
    <n v="1653.75"/>
    <s v="MARINELLE"/>
    <m/>
    <m/>
    <m/>
    <n v="1"/>
  </r>
  <r>
    <x v="49"/>
    <s v="24-0081"/>
    <x v="23"/>
    <s v="100245948300003"/>
    <s v="Showroom Signage Change"/>
    <n v="275"/>
    <m/>
    <n v="275"/>
    <n v="13.75"/>
    <n v="288.75"/>
    <s v="REENA"/>
    <m/>
    <m/>
    <m/>
    <n v="1"/>
  </r>
  <r>
    <x v="50"/>
    <s v="24-0082"/>
    <x v="24"/>
    <s v="100052630900003"/>
    <s v="Trophy"/>
    <n v="10965"/>
    <m/>
    <n v="10965"/>
    <n v="548.25"/>
    <n v="11513.25"/>
    <s v="MARINELLE"/>
    <m/>
    <m/>
    <m/>
    <n v="1"/>
  </r>
  <r>
    <x v="51"/>
    <s v="24-0083"/>
    <x v="25"/>
    <s v=" 100377505100003"/>
    <s v="Trophy - 10 years of  Partnership - Al Fardan Group"/>
    <n v="685"/>
    <m/>
    <n v="685"/>
    <n v="34.25"/>
    <n v="719.25"/>
    <s v="REENA"/>
    <m/>
    <m/>
    <m/>
    <n v="1"/>
  </r>
  <r>
    <x v="20"/>
    <s v="24-0084"/>
    <x v="25"/>
    <s v="100235699400003"/>
    <s v="Business Cards ( Preeti D’souza )"/>
    <n v="405"/>
    <m/>
    <n v="405"/>
    <n v="20.25"/>
    <n v="425.25"/>
    <s v="REENA"/>
    <m/>
    <m/>
    <m/>
    <n v="1"/>
  </r>
  <r>
    <x v="52"/>
    <s v="24-0085"/>
    <x v="26"/>
    <s v="-"/>
    <s v="Clear Sticker , Safety Vest"/>
    <n v="779"/>
    <m/>
    <n v="779"/>
    <n v="38.950000000000003"/>
    <n v="817.95"/>
    <s v="MARINELLE"/>
    <m/>
    <m/>
    <m/>
    <n v="1"/>
  </r>
  <r>
    <x v="53"/>
    <s v="24-0086"/>
    <x v="27"/>
    <s v="-"/>
    <s v="A3 Desktop Rollup"/>
    <n v="140"/>
    <m/>
    <n v="140"/>
    <n v="7"/>
    <n v="147"/>
    <s v="REENA"/>
    <m/>
    <m/>
    <m/>
    <n v="1"/>
  </r>
  <r>
    <x v="49"/>
    <s v="24-0087"/>
    <x v="28"/>
    <s v="100245948300003"/>
    <s v="Gift Voucher"/>
    <n v="350"/>
    <m/>
    <n v="350"/>
    <n v="17.5"/>
    <n v="367.5"/>
    <s v="REENA"/>
    <m/>
    <m/>
    <m/>
    <n v="1"/>
  </r>
  <r>
    <x v="54"/>
    <s v="24-0088"/>
    <x v="28"/>
    <s v="104061690400003"/>
    <s v="Polo Shirt (Customized) , Round Neck T-Shirt"/>
    <n v="989"/>
    <m/>
    <n v="989"/>
    <n v="49.45"/>
    <n v="1038.45"/>
    <s v="MARINELLE"/>
    <m/>
    <m/>
    <m/>
    <n v="1"/>
  </r>
  <r>
    <x v="55"/>
    <s v="24-0089"/>
    <x v="28"/>
    <s v="100433257100003"/>
    <s v="Kraft Paper Bag"/>
    <n v="1580"/>
    <m/>
    <n v="1580"/>
    <n v="79"/>
    <n v="1659"/>
    <s v="MARINELLE"/>
    <m/>
    <m/>
    <m/>
    <n v="1"/>
  </r>
  <r>
    <x v="0"/>
    <s v="24-0090"/>
    <x v="29"/>
    <s v="100542487200003"/>
    <s v="Receipts - AAG"/>
    <n v="1125"/>
    <m/>
    <n v="1125"/>
    <n v="56.25"/>
    <n v="1181.25"/>
    <s v="REENA"/>
    <m/>
    <m/>
    <m/>
    <n v="1"/>
  </r>
  <r>
    <x v="17"/>
    <s v="24-0091"/>
    <x v="28"/>
    <s v="-"/>
    <s v="Business card ( Right Trademark )"/>
    <n v="190"/>
    <m/>
    <n v="190"/>
    <n v="9.5"/>
    <n v="199.5"/>
    <s v="REENA"/>
    <m/>
    <m/>
    <m/>
    <n v="1"/>
  </r>
  <r>
    <x v="20"/>
    <s v="24-0092"/>
    <x v="29"/>
    <s v="100235699400003"/>
    <s v="Business cards ( MTA )"/>
    <n v="390"/>
    <m/>
    <n v="390"/>
    <n v="19.5"/>
    <n v="409.5"/>
    <s v="REENA"/>
    <m/>
    <m/>
    <m/>
    <n v="1"/>
  </r>
  <r>
    <x v="20"/>
    <s v="24-0093"/>
    <x v="29"/>
    <s v="100235699400003"/>
    <s v="Crystal Trophy"/>
    <n v="1800"/>
    <m/>
    <n v="1800"/>
    <n v="90"/>
    <n v="1890"/>
    <s v="REENA"/>
    <m/>
    <m/>
    <m/>
    <n v="1"/>
  </r>
  <r>
    <x v="56"/>
    <s v="24-0094"/>
    <x v="30"/>
    <n v="100060213400003"/>
    <s v="Wedding Luggage Tags"/>
    <n v="13000"/>
    <m/>
    <n v="13000"/>
    <n v="650"/>
    <n v="13650"/>
    <s v="REENA"/>
    <m/>
    <m/>
    <m/>
    <n v="1"/>
  </r>
  <r>
    <x v="57"/>
    <s v="24-0095"/>
    <x v="31"/>
    <s v="-"/>
    <s v="Letterhead "/>
    <n v="525"/>
    <m/>
    <n v="525"/>
    <n v="26.25"/>
    <n v="551.25"/>
    <s v="REENA"/>
    <m/>
    <m/>
    <m/>
    <n v="1"/>
  </r>
  <r>
    <x v="0"/>
    <s v="24-0096"/>
    <x v="32"/>
    <n v="100542487200003"/>
    <s v="Selfie Frame - DBSJP , Prop - #Outstanding"/>
    <n v="595"/>
    <m/>
    <n v="595"/>
    <n v="29.75"/>
    <n v="624.75"/>
    <s v="REENA"/>
    <m/>
    <m/>
    <m/>
    <n v="1"/>
  </r>
  <r>
    <x v="0"/>
    <s v="24-0097"/>
    <x v="31"/>
    <n v="100542487200003"/>
    <s v="Roll Up - AAG"/>
    <n v="145"/>
    <m/>
    <n v="145"/>
    <n v="7.25"/>
    <n v="152.25"/>
    <s v="REENA"/>
    <m/>
    <m/>
    <m/>
    <n v="1"/>
  </r>
  <r>
    <x v="10"/>
    <s v="24-0098"/>
    <x v="33"/>
    <n v="100540543400003"/>
    <s v="NCR Book , Business Cards"/>
    <n v="860"/>
    <m/>
    <n v="860"/>
    <n v="43"/>
    <n v="903"/>
    <s v="MARINELLE"/>
    <m/>
    <m/>
    <m/>
    <n v="1"/>
  </r>
  <r>
    <x v="0"/>
    <s v="24-0099"/>
    <x v="34"/>
    <n v="100542487200003"/>
    <s v="Letterhead - FICHTE"/>
    <n v="625"/>
    <m/>
    <n v="625"/>
    <n v="31.25"/>
    <n v="656.25"/>
    <s v="REENA"/>
    <m/>
    <m/>
    <m/>
    <n v="1"/>
  </r>
  <r>
    <x v="58"/>
    <s v="24-0100"/>
    <x v="31"/>
    <n v="100470289800003"/>
    <s v="Flex to be changed for existing light box"/>
    <n v="8850"/>
    <m/>
    <n v="8850"/>
    <n v="442.5"/>
    <n v="9292.5"/>
    <s v="REENA"/>
    <m/>
    <m/>
    <m/>
    <n v="1"/>
  </r>
  <r>
    <x v="59"/>
    <s v="24-0101"/>
    <x v="31"/>
    <s v="IT 07817950152"/>
    <s v="Flyer , Recycled 6-in-1 Charging Cable"/>
    <n v="3335"/>
    <m/>
    <n v="3335"/>
    <n v="166.75"/>
    <n v="3501.75"/>
    <s v="MARINELLE"/>
    <m/>
    <m/>
    <m/>
    <n v="1"/>
  </r>
  <r>
    <x v="60"/>
    <s v="24-0102"/>
    <x v="31"/>
    <s v="-"/>
    <s v="Brochure"/>
    <n v="1225"/>
    <m/>
    <n v="1225"/>
    <n v="61.25"/>
    <n v="1286.25"/>
    <s v="REENA"/>
    <m/>
    <m/>
    <m/>
    <n v="1"/>
  </r>
  <r>
    <x v="18"/>
    <s v="24-0103"/>
    <x v="33"/>
    <n v="100593105800003"/>
    <s v="Dubai Roadshow Millenium Downtown, 17th Feb 2024"/>
    <n v="103245.5"/>
    <m/>
    <n v="103245.5"/>
    <n v="5162.2750000000005"/>
    <n v="108407.77499999999"/>
    <s v="REENA"/>
    <m/>
    <m/>
    <m/>
    <n v="1"/>
  </r>
  <r>
    <x v="18"/>
    <s v="24-0104"/>
    <x v="33"/>
    <n v="100593105800003"/>
    <s v="Abu Dhabi Roadshow 18 Feb 2024, InterContinental "/>
    <n v="51717.75"/>
    <m/>
    <n v="51717.75"/>
    <n v="2585.8875000000003"/>
    <n v="54303.637499999997"/>
    <s v="REENA"/>
    <m/>
    <m/>
    <m/>
    <n v="1"/>
  </r>
  <r>
    <x v="61"/>
    <s v="24-0105"/>
    <x v="35"/>
    <n v="100323347300003"/>
    <s v="Parking Signage"/>
    <n v="892.5"/>
    <m/>
    <n v="892.5"/>
    <n v="44.625"/>
    <n v="937.125"/>
    <s v="MARINELLE"/>
    <m/>
    <m/>
    <m/>
    <n v="1"/>
  </r>
  <r>
    <x v="0"/>
    <s v="24-0106"/>
    <x v="35"/>
    <n v="100542487200003"/>
    <s v="Flyer -  Taylor Wessing"/>
    <n v="190"/>
    <m/>
    <n v="190"/>
    <n v="9.5"/>
    <n v="199.5"/>
    <s v="REENA"/>
    <m/>
    <m/>
    <m/>
    <n v="1"/>
  </r>
  <r>
    <x v="0"/>
    <s v="24-0107"/>
    <x v="34"/>
    <n v="100542487200003"/>
    <s v="Journal - DBSEH"/>
    <n v="585"/>
    <m/>
    <n v="585"/>
    <n v="29.25"/>
    <n v="614.25"/>
    <s v="REENA"/>
    <m/>
    <m/>
    <m/>
    <n v="1"/>
  </r>
  <r>
    <x v="62"/>
    <s v="24-0108"/>
    <x v="35"/>
    <n v="100359923800003"/>
    <s v="Polo Shirts"/>
    <n v="1920"/>
    <m/>
    <n v="1920"/>
    <n v="96"/>
    <n v="2016"/>
    <s v="MARINELLE"/>
    <m/>
    <m/>
    <m/>
    <n v="1"/>
  </r>
  <r>
    <x v="63"/>
    <s v="24-0109"/>
    <x v="36"/>
    <n v="100484375900003"/>
    <s v="Business Cards , ID Cards"/>
    <n v="420"/>
    <m/>
    <n v="420"/>
    <n v="21"/>
    <n v="441"/>
    <s v="REENA"/>
    <m/>
    <m/>
    <m/>
    <n v="1"/>
  </r>
  <r>
    <x v="0"/>
    <s v="24-0110"/>
    <x v="36"/>
    <n v="100542487200003"/>
    <s v="Top Curve Flags - Al Salaam Charter School"/>
    <n v="6250"/>
    <m/>
    <n v="6250"/>
    <n v="312.5"/>
    <n v="6562.5"/>
    <s v="REENA"/>
    <m/>
    <m/>
    <m/>
    <n v="1"/>
  </r>
  <r>
    <x v="0"/>
    <s v="24-0111"/>
    <x v="37"/>
    <n v="100542487200003"/>
    <s v="Rollup Banners (GIS) , Designing charges"/>
    <n v="390"/>
    <m/>
    <n v="390"/>
    <n v="19.5"/>
    <n v="409.5"/>
    <s v="REENA"/>
    <m/>
    <m/>
    <m/>
    <n v="1"/>
  </r>
  <r>
    <x v="0"/>
    <s v="24-0112"/>
    <x v="37"/>
    <n v="100542487200003"/>
    <s v="Round Neck Tshirts (Wellbeing) - Charter School"/>
    <n v="4220.5"/>
    <m/>
    <n v="4220.5"/>
    <n v="211.02500000000001"/>
    <n v="4431.5249999999996"/>
    <s v="REENA"/>
    <m/>
    <m/>
    <m/>
    <n v="1"/>
  </r>
  <r>
    <x v="20"/>
    <s v="24-0113"/>
    <x v="37"/>
    <n v="100235699400003"/>
    <s v="Business Cards ( Dipak M Shelke )"/>
    <n v="405"/>
    <m/>
    <n v="405"/>
    <n v="20.25"/>
    <n v="425.25"/>
    <s v="REENA"/>
    <m/>
    <m/>
    <m/>
    <n v="1"/>
  </r>
  <r>
    <x v="36"/>
    <s v="24-0114"/>
    <x v="38"/>
    <n v="100349055200003"/>
    <s v="Vertical Matt Veneer Wooden Plaque"/>
    <n v="225"/>
    <m/>
    <n v="225"/>
    <n v="11.25"/>
    <n v="236.25"/>
    <s v="MARINELLE"/>
    <m/>
    <m/>
    <m/>
    <n v="1"/>
  </r>
  <r>
    <x v="64"/>
    <s v="24-0115"/>
    <x v="37"/>
    <n v="103215109200003"/>
    <s v="A4 Pocket Folder , A4 Envelope , DL Envelope , A5 Notebook , Pens (Plastic) , Ceramic Mugs , Plastic Folders (transcluscent)"/>
    <n v="2715"/>
    <m/>
    <n v="2715"/>
    <n v="135.75"/>
    <n v="2850.75"/>
    <s v="REENA"/>
    <m/>
    <m/>
    <m/>
    <n v="1"/>
  </r>
  <r>
    <x v="51"/>
    <s v="24-0116"/>
    <x v="39"/>
    <n v="100377505100003"/>
    <s v="Trophy"/>
    <n v="3150"/>
    <m/>
    <n v="3150"/>
    <n v="157.5"/>
    <n v="3307.5"/>
    <s v="REENA"/>
    <m/>
    <m/>
    <m/>
    <n v="1"/>
  </r>
  <r>
    <x v="18"/>
    <s v="24-0117"/>
    <x v="37"/>
    <s v="100593105800003"/>
    <s v="Name Tags , Expo Cards"/>
    <n v="0"/>
    <m/>
    <n v="0"/>
    <n v="0"/>
    <n v="0"/>
    <s v="REENA"/>
    <m/>
    <m/>
    <m/>
    <n v="1"/>
  </r>
  <r>
    <x v="18"/>
    <s v="24-0118"/>
    <x v="37"/>
    <n v="100593105800003"/>
    <s v="IDP Excellence Awards - 21-Feb-24"/>
    <n v="7142.1"/>
    <m/>
    <n v="7142.1"/>
    <n v="357.10500000000002"/>
    <n v="7499.2049999999999"/>
    <s v="REENA"/>
    <m/>
    <m/>
    <m/>
    <n v="1"/>
  </r>
  <r>
    <x v="18"/>
    <s v="24-0119"/>
    <x v="37"/>
    <n v="100593105800003"/>
    <s v="Roll up , A3 Posters , Certificates"/>
    <n v="1419"/>
    <m/>
    <n v="1419"/>
    <n v="70.95"/>
    <n v="1489.95"/>
    <s v="REENA"/>
    <m/>
    <m/>
    <m/>
    <n v="1"/>
  </r>
  <r>
    <x v="18"/>
    <s v="24-0120"/>
    <x v="37"/>
    <n v="100593105800003"/>
    <s v="IDP Business Cards -  (Abu Dhabi)"/>
    <n v="960"/>
    <m/>
    <n v="960"/>
    <n v="48"/>
    <n v="1008"/>
    <s v="REENA"/>
    <m/>
    <m/>
    <m/>
    <n v="1"/>
  </r>
  <r>
    <x v="18"/>
    <s v="24-0121"/>
    <x v="37"/>
    <n v="100593105800003"/>
    <s v="IDP Business Cards - (Dubai ) "/>
    <n v="0"/>
    <m/>
    <n v="0"/>
    <n v="0"/>
    <n v="0"/>
    <s v="REENA"/>
    <m/>
    <m/>
    <m/>
    <n v="1"/>
  </r>
  <r>
    <x v="65"/>
    <s v="24-0122"/>
    <x v="40"/>
    <n v="100246622300003"/>
    <s v="Business card , Ribbons with printing , Paper Bag , Paper Stickers , Wrapping Paper"/>
    <n v="3490"/>
    <m/>
    <n v="3490"/>
    <n v="174"/>
    <n v="3664"/>
    <s v="REENA"/>
    <m/>
    <m/>
    <m/>
    <n v="1"/>
  </r>
  <r>
    <x v="66"/>
    <s v="24-0123"/>
    <x v="38"/>
    <n v="100247605700003"/>
    <s v="Gift Box - Black  , Paper Bag "/>
    <n v="0"/>
    <m/>
    <n v="0"/>
    <n v="0"/>
    <n v="0"/>
    <s v="REENA"/>
    <m/>
    <m/>
    <m/>
    <n v="1"/>
  </r>
  <r>
    <x v="12"/>
    <s v="24-0124"/>
    <x v="40"/>
    <n v="100482284500003"/>
    <s v="Business Card"/>
    <n v="310"/>
    <m/>
    <n v="310"/>
    <n v="15.5"/>
    <n v="325.5"/>
    <s v="REENA"/>
    <m/>
    <m/>
    <m/>
    <n v="1"/>
  </r>
  <r>
    <x v="66"/>
    <s v="24-0125"/>
    <x v="41"/>
    <n v="100247605700003"/>
    <s v="Gift Box - Black , Paper Bag"/>
    <n v="6775"/>
    <m/>
    <n v="6775"/>
    <n v="338.75"/>
    <n v="7113.75"/>
    <s v="REENA"/>
    <m/>
    <m/>
    <m/>
    <n v="1"/>
  </r>
  <r>
    <x v="42"/>
    <s v="24-0126"/>
    <x v="41"/>
    <n v="100435244700003"/>
    <s v="Big Card, Small Card, Thank You Card"/>
    <n v="915"/>
    <m/>
    <n v="915"/>
    <n v="45.75"/>
    <n v="960.75"/>
    <s v="MARINELLE"/>
    <m/>
    <m/>
    <m/>
    <n v="1"/>
  </r>
  <r>
    <x v="67"/>
    <s v="24-0127"/>
    <x v="41"/>
    <s v="-"/>
    <s v="Brochure 2024 , Courier Charges to Abu Dhabi"/>
    <n v="1925"/>
    <m/>
    <n v="1925"/>
    <n v="96.25"/>
    <n v="2021.25"/>
    <s v="REENA"/>
    <m/>
    <m/>
    <m/>
    <n v="1"/>
  </r>
  <r>
    <x v="30"/>
    <s v="24-0128"/>
    <x v="39"/>
    <n v="104020641700003"/>
    <s v="Website Designing and Development ( 75% Advance Invoice )"/>
    <n v="2362.38"/>
    <m/>
    <n v="2362.38"/>
    <n v="118.11900000000001"/>
    <n v="2480.4990000000003"/>
    <s v="MARINELLE"/>
    <m/>
    <m/>
    <m/>
    <n v="1"/>
  </r>
  <r>
    <x v="68"/>
    <s v="24-0129"/>
    <x v="39"/>
    <n v="100566746200003"/>
    <s v="Website Designing and Development ( 75% Advance Invoice )"/>
    <n v="2362.38"/>
    <m/>
    <n v="2362.38"/>
    <n v="118.11900000000001"/>
    <n v="2480.4990000000003"/>
    <s v="MARINELLE"/>
    <m/>
    <m/>
    <m/>
    <n v="1"/>
  </r>
  <r>
    <x v="29"/>
    <s v="24-0130"/>
    <x v="39"/>
    <n v="100494671900003"/>
    <s v="Website Designing and Development ( 75% Advance Invoice )"/>
    <n v="2362.38"/>
    <m/>
    <n v="2362.38"/>
    <n v="118.11900000000001"/>
    <n v="2480.4990000000003"/>
    <s v="MARINELLE"/>
    <m/>
    <m/>
    <m/>
    <n v="1"/>
  </r>
  <r>
    <x v="69"/>
    <s v="24-0131"/>
    <x v="39"/>
    <n v="104061117800003"/>
    <s v="Sampling Charges - Polo Shirt"/>
    <n v="47.62"/>
    <m/>
    <n v="47.62"/>
    <n v="2.3809999999999998"/>
    <n v="50.000999999999998"/>
    <s v="REENA"/>
    <m/>
    <m/>
    <m/>
    <n v="1"/>
  </r>
  <r>
    <x v="1"/>
    <s v="24-0132"/>
    <x v="40"/>
    <n v="104166051300003"/>
    <s v="A4 Envelopes (customized) , DL Envelopes (customized) , Top spiral Notebook"/>
    <n v="1248"/>
    <m/>
    <n v="1248"/>
    <n v="62.400000000000006"/>
    <n v="1310.4000000000001"/>
    <s v="REENA"/>
    <m/>
    <m/>
    <m/>
    <n v="1"/>
  </r>
  <r>
    <x v="41"/>
    <s v="24-0133"/>
    <x v="40"/>
    <n v="100048520900003"/>
    <s v="Board Supply February, 2024"/>
    <n v="90"/>
    <m/>
    <n v="90"/>
    <n v="4.5"/>
    <n v="94.5"/>
    <s v="REENA"/>
    <m/>
    <m/>
    <m/>
    <n v="1"/>
  </r>
  <r>
    <x v="41"/>
    <s v="24-0134"/>
    <x v="40"/>
    <n v="100048520900003"/>
    <s v="Board Supply February, 2024"/>
    <n v="105"/>
    <m/>
    <n v="105"/>
    <n v="5.25"/>
    <n v="110.25"/>
    <s v="REENA"/>
    <m/>
    <m/>
    <m/>
    <n v="1"/>
  </r>
  <r>
    <x v="70"/>
    <s v="24-0135"/>
    <x v="42"/>
    <n v="100282822400003"/>
    <s v="Table cloth - Bridal Satin , A4 Flyer (ICN)"/>
    <n v="485"/>
    <m/>
    <n v="485"/>
    <n v="24.25"/>
    <n v="509.25"/>
    <s v="REENA"/>
    <m/>
    <m/>
    <m/>
    <n v="1"/>
  </r>
  <r>
    <x v="0"/>
    <s v="24-0136"/>
    <x v="40"/>
    <n v="100542487200003"/>
    <s v="Customized Vest - Taaleem"/>
    <n v="1890"/>
    <m/>
    <n v="1890"/>
    <n v="94.5"/>
    <n v="1984.5"/>
    <s v="REENA"/>
    <m/>
    <m/>
    <m/>
    <n v="1"/>
  </r>
  <r>
    <x v="10"/>
    <s v="24-0137"/>
    <x v="40"/>
    <n v="100540543400003"/>
    <s v="Receipt Voucher"/>
    <n v="487.5"/>
    <m/>
    <n v="487.5"/>
    <n v="24.375"/>
    <n v="511.875"/>
    <s v="MARINELLE"/>
    <m/>
    <m/>
    <m/>
    <n v="1"/>
  </r>
  <r>
    <x v="1"/>
    <s v="24-0138"/>
    <x v="40"/>
    <n v="104166051300003"/>
    <s v="Metal Pen , A4 Notepad"/>
    <n v="1162.5"/>
    <m/>
    <n v="1162.5"/>
    <n v="58.125"/>
    <n v="1220.625"/>
    <s v="REENA"/>
    <m/>
    <m/>
    <m/>
    <n v="1"/>
  </r>
  <r>
    <x v="30"/>
    <s v="24-0139"/>
    <x v="39"/>
    <n v="104020641700003"/>
    <s v="Website Designing and Development ( 25% Final Invoice )"/>
    <n v="787.62"/>
    <m/>
    <n v="787.62"/>
    <n v="39.381"/>
    <n v="827.00099999999998"/>
    <s v="MARINELLE"/>
    <m/>
    <m/>
    <m/>
    <n v="1"/>
  </r>
  <r>
    <x v="68"/>
    <s v="24-0140"/>
    <x v="39"/>
    <n v="100566746200003"/>
    <s v="Website Designing and Development ( 25% Final Invoice )"/>
    <n v="787.62"/>
    <m/>
    <n v="787.62"/>
    <n v="39.381"/>
    <n v="827.00099999999998"/>
    <s v="MARINELLE"/>
    <m/>
    <m/>
    <m/>
    <n v="1"/>
  </r>
  <r>
    <x v="29"/>
    <s v="24-0141"/>
    <x v="39"/>
    <n v="100494671900003"/>
    <s v="Website Designing and Development ( 25% Final Invoice )"/>
    <n v="787.62"/>
    <m/>
    <n v="787.62"/>
    <n v="39.381"/>
    <n v="827.00099999999998"/>
    <s v="MARINELLE"/>
    <m/>
    <m/>
    <m/>
    <n v="1"/>
  </r>
  <r>
    <x v="0"/>
    <s v="24-0142"/>
    <x v="42"/>
    <s v="100542487200003"/>
    <s v="Business cards (Taaleem)"/>
    <n v="450"/>
    <m/>
    <n v="450"/>
    <n v="22.5"/>
    <n v="472.5"/>
    <s v="REENA"/>
    <m/>
    <m/>
    <m/>
    <n v="1"/>
  </r>
  <r>
    <x v="6"/>
    <s v="24-0143"/>
    <x v="43"/>
    <s v="100430750800003"/>
    <s v="Business card"/>
    <n v="275"/>
    <m/>
    <n v="275"/>
    <n v="13.75"/>
    <n v="288.75"/>
    <s v="REENA"/>
    <m/>
    <m/>
    <m/>
    <n v="1"/>
  </r>
  <r>
    <x v="70"/>
    <s v="24-0144"/>
    <x v="43"/>
    <s v="100282822400003"/>
    <s v="Rollup Banner , A3 Desktop Rollup , A4 Flyer (ICN)"/>
    <n v="505"/>
    <m/>
    <n v="505"/>
    <n v="25.25"/>
    <n v="530.25"/>
    <s v="REENA"/>
    <m/>
    <m/>
    <m/>
    <n v="1"/>
  </r>
  <r>
    <x v="0"/>
    <s v="24-0145"/>
    <x v="43"/>
    <s v="100542487200003"/>
    <s v="Business Card - DBSJ"/>
    <n v="220"/>
    <m/>
    <n v="220"/>
    <n v="11"/>
    <n v="231"/>
    <s v="REENA"/>
    <m/>
    <m/>
    <m/>
    <n v="1"/>
  </r>
  <r>
    <x v="20"/>
    <s v="24-0146"/>
    <x v="44"/>
    <s v="100235699400003"/>
    <s v="Business Cards (Jomer Pinohermoso)"/>
    <n v="405"/>
    <m/>
    <n v="405"/>
    <n v="20.25"/>
    <n v="425.25"/>
    <s v="REENA"/>
    <m/>
    <m/>
    <m/>
    <n v="1"/>
  </r>
  <r>
    <x v="21"/>
    <s v="24-0147"/>
    <x v="45"/>
    <s v="-"/>
    <s v="Student Gift Set of A5 Notebook and Pen With Bamboo Element , Jute Bag"/>
    <n v="18930"/>
    <m/>
    <n v="18930"/>
    <n v="946.5"/>
    <n v="19876.5"/>
    <s v="REENA"/>
    <m/>
    <m/>
    <m/>
    <n v="1"/>
  </r>
  <r>
    <x v="21"/>
    <s v="24-0148"/>
    <x v="43"/>
    <s v="-"/>
    <s v="Brochure - Pre Departure"/>
    <n v="2585"/>
    <m/>
    <n v="2585"/>
    <n v="129.25"/>
    <n v="2714.25"/>
    <s v="REENA"/>
    <m/>
    <m/>
    <m/>
    <n v="1"/>
  </r>
  <r>
    <x v="55"/>
    <s v="24-0149"/>
    <x v="46"/>
    <s v="100433257100003"/>
    <s v="Black Mug"/>
    <n v="1130"/>
    <m/>
    <n v="1130"/>
    <n v="56.5"/>
    <n v="1186.5"/>
    <s v="MARINELLE"/>
    <m/>
    <m/>
    <m/>
    <n v="1"/>
  </r>
  <r>
    <x v="20"/>
    <s v="24-0150"/>
    <x v="44"/>
    <s v="100235699400003"/>
    <s v="Business Cards (HAKIM LABRAHMI)"/>
    <n v="405"/>
    <m/>
    <n v="405"/>
    <n v="20.25"/>
    <n v="425.25"/>
    <s v="REENA"/>
    <m/>
    <m/>
    <m/>
    <n v="1"/>
  </r>
  <r>
    <x v="0"/>
    <s v="24-0151"/>
    <x v="47"/>
    <s v="100542487200003"/>
    <s v="Leaflet - 3 fold (DBSJ)"/>
    <n v="840"/>
    <m/>
    <n v="840"/>
    <n v="42"/>
    <n v="882"/>
    <s v="REENA"/>
    <m/>
    <m/>
    <m/>
    <n v="1"/>
  </r>
  <r>
    <x v="7"/>
    <s v="24-0152"/>
    <x v="48"/>
    <s v="100348311000003"/>
    <s v="A5 Envelopes"/>
    <n v="540"/>
    <m/>
    <n v="540"/>
    <n v="27"/>
    <n v="567"/>
    <s v="REENA"/>
    <m/>
    <m/>
    <m/>
    <n v="1"/>
  </r>
  <r>
    <x v="71"/>
    <s v="24-0153"/>
    <x v="48"/>
    <s v="100483620900003"/>
    <s v="Job card"/>
    <n v="925"/>
    <m/>
    <n v="925"/>
    <n v="46.25"/>
    <n v="971.25"/>
    <s v="REENA"/>
    <m/>
    <m/>
    <m/>
    <n v="1"/>
  </r>
  <r>
    <x v="0"/>
    <s v="24-0154"/>
    <x v="48"/>
    <s v="100542487200003"/>
    <s v="Business cards -Taaleem (Nora Ghannam , Alan Williamson)"/>
    <n v="450"/>
    <m/>
    <n v="450"/>
    <n v="22.5"/>
    <n v="472.5"/>
    <s v="REENA"/>
    <m/>
    <m/>
    <m/>
    <n v="1"/>
  </r>
  <r>
    <x v="72"/>
    <s v="24-0155"/>
    <x v="49"/>
    <s v="-"/>
    <s v="Receipt Voucher Book"/>
    <n v="210"/>
    <m/>
    <n v="210"/>
    <n v="10.5"/>
    <n v="220.5"/>
    <s v="REENA"/>
    <m/>
    <m/>
    <m/>
    <n v="1"/>
  </r>
  <r>
    <x v="57"/>
    <s v="24-0156"/>
    <x v="50"/>
    <s v="-"/>
    <s v="Business card"/>
    <n v="550"/>
    <m/>
    <n v="550"/>
    <n v="27.5"/>
    <n v="577.5"/>
    <s v="REENA"/>
    <m/>
    <m/>
    <m/>
    <n v="1"/>
  </r>
  <r>
    <x v="21"/>
    <s v="24-0157"/>
    <x v="49"/>
    <s v="-"/>
    <s v="Jute Bag"/>
    <n v="662.5"/>
    <m/>
    <n v="662.5"/>
    <n v="33.125"/>
    <n v="695.625"/>
    <s v="REENA"/>
    <m/>
    <m/>
    <m/>
    <n v="1"/>
  </r>
  <r>
    <x v="63"/>
    <s v="24-0158"/>
    <x v="48"/>
    <s v="100484375900003"/>
    <s v="Business Card (Amit Nangpal)"/>
    <n v="185"/>
    <m/>
    <n v="185"/>
    <n v="9.25"/>
    <n v="194.25"/>
    <s v="REENA"/>
    <m/>
    <m/>
    <m/>
    <n v="1"/>
  </r>
  <r>
    <x v="70"/>
    <s v="24-0159"/>
    <x v="49"/>
    <s v="100282822400003"/>
    <s v="Business Cards (Alejandro Celli)"/>
    <n v="135"/>
    <m/>
    <n v="135"/>
    <n v="6.75"/>
    <n v="141.75"/>
    <s v="REENA"/>
    <m/>
    <m/>
    <m/>
    <n v="1"/>
  </r>
  <r>
    <x v="0"/>
    <s v="24-0160"/>
    <x v="51"/>
    <m/>
    <s v="Taaleem Items"/>
    <n v="3703.5"/>
    <m/>
    <n v="3703.5"/>
    <n v="185.17500000000001"/>
    <n v="3888.6750000000002"/>
    <s v="REENA"/>
    <m/>
    <m/>
    <m/>
    <n v="1"/>
  </r>
  <r>
    <x v="0"/>
    <s v="24-0161"/>
    <x v="51"/>
    <m/>
    <s v="GIS Tshirts"/>
    <n v="3360"/>
    <m/>
    <n v="3360"/>
    <n v="168"/>
    <n v="3528"/>
    <s v="REENA"/>
    <m/>
    <m/>
    <m/>
    <n v="1"/>
  </r>
  <r>
    <x v="0"/>
    <s v="24-0162"/>
    <x v="51"/>
    <m/>
    <s v="DBSJP Journal 23"/>
    <n v="475"/>
    <m/>
    <n v="475"/>
    <n v="23.75"/>
    <n v="498.75"/>
    <s v="REENA"/>
    <m/>
    <m/>
    <m/>
    <n v="1"/>
  </r>
  <r>
    <x v="73"/>
    <s v="24-0163"/>
    <x v="51"/>
    <m/>
    <s v="Note Books 50"/>
    <n v="750"/>
    <m/>
    <n v="750"/>
    <n v="37.5"/>
    <n v="787.5"/>
    <s v="MARINELLE"/>
    <m/>
    <m/>
    <m/>
    <n v="1"/>
  </r>
  <r>
    <x v="20"/>
    <s v="24-0164"/>
    <x v="52"/>
    <m/>
    <s v="BC Ifthikar"/>
    <n v="405"/>
    <m/>
    <n v="405"/>
    <n v="20.25"/>
    <n v="425.25"/>
    <s v="REENA"/>
    <m/>
    <m/>
    <m/>
    <n v="1"/>
  </r>
  <r>
    <x v="0"/>
    <s v="24-0165"/>
    <x v="53"/>
    <m/>
    <s v="AAG Gift Hampera"/>
    <n v="3600"/>
    <m/>
    <n v="3600"/>
    <n v="180"/>
    <n v="3780"/>
    <s v="REENA"/>
    <m/>
    <m/>
    <m/>
    <n v="1"/>
  </r>
  <r>
    <x v="0"/>
    <s v="24-0166"/>
    <x v="53"/>
    <m/>
    <s v="Taylor Wessing Journal"/>
    <n v="2242.5"/>
    <m/>
    <n v="2242.5"/>
    <n v="112.125"/>
    <n v="2354.625"/>
    <s v="REENA"/>
    <m/>
    <m/>
    <m/>
    <n v="1"/>
  </r>
  <r>
    <x v="6"/>
    <s v="24-0167"/>
    <x v="53"/>
    <m/>
    <s v="BC Yulia"/>
    <n v="275"/>
    <m/>
    <n v="275"/>
    <n v="13.75"/>
    <n v="288.75"/>
    <s v="REENA"/>
    <m/>
    <m/>
    <m/>
    <n v="1"/>
  </r>
  <r>
    <x v="74"/>
    <s v="24-0168"/>
    <x v="54"/>
    <m/>
    <s v="Office Branding"/>
    <n v="5350"/>
    <m/>
    <n v="5350"/>
    <n v="267.5"/>
    <n v="5617.5"/>
    <s v="REENA"/>
    <m/>
    <m/>
    <m/>
    <n v="1"/>
  </r>
  <r>
    <x v="0"/>
    <s v="24-0169"/>
    <x v="55"/>
    <m/>
    <s v="DBSJ Flyer"/>
    <n v="290"/>
    <m/>
    <n v="290"/>
    <n v="14.5"/>
    <n v="304.5"/>
    <s v="REENA"/>
    <m/>
    <m/>
    <m/>
    <n v="1"/>
  </r>
  <r>
    <x v="72"/>
    <s v="24-0170"/>
    <x v="56"/>
    <m/>
    <s v="BC Anugha"/>
    <n v="195"/>
    <m/>
    <n v="195"/>
    <n v="9.75"/>
    <n v="204.75"/>
    <s v="REENA"/>
    <m/>
    <m/>
    <m/>
    <n v="1"/>
  </r>
  <r>
    <x v="75"/>
    <s v="24-0171"/>
    <x v="57"/>
    <m/>
    <s v="Non Woven Bags"/>
    <n v="1725"/>
    <m/>
    <n v="1725"/>
    <n v="86.25"/>
    <n v="1811.25"/>
    <s v="MARINELLE"/>
    <m/>
    <m/>
    <m/>
    <n v="1"/>
  </r>
  <r>
    <x v="76"/>
    <s v="24-0172"/>
    <x v="56"/>
    <m/>
    <s v="RU/Tags/A6 Cards/Tent Cards"/>
    <n v="1925"/>
    <m/>
    <n v="1925"/>
    <n v="96.25"/>
    <n v="2021.25"/>
    <s v="REENA"/>
    <m/>
    <m/>
    <m/>
    <n v="1"/>
  </r>
  <r>
    <x v="77"/>
    <s v="24-0173"/>
    <x v="58"/>
    <m/>
    <s v="BC"/>
    <n v="275"/>
    <m/>
    <n v="275"/>
    <n v="13.75"/>
    <n v="288.75"/>
    <s v="REENA"/>
    <m/>
    <m/>
    <m/>
    <n v="1"/>
  </r>
  <r>
    <x v="77"/>
    <s v="24-0174"/>
    <x v="58"/>
    <m/>
    <s v="Pens/Bags/Flyers"/>
    <n v="10260"/>
    <m/>
    <n v="10260"/>
    <n v="513"/>
    <n v="10773"/>
    <s v="REENA"/>
    <m/>
    <m/>
    <m/>
    <n v="1"/>
  </r>
  <r>
    <x v="78"/>
    <s v="24-0175"/>
    <x v="59"/>
    <m/>
    <s v="NCR Book"/>
    <n v="285"/>
    <m/>
    <n v="285"/>
    <n v="14.25"/>
    <n v="299.25"/>
    <s v="REENA"/>
    <m/>
    <m/>
    <m/>
    <n v="1"/>
  </r>
  <r>
    <x v="11"/>
    <s v="24-0176"/>
    <x v="60"/>
    <s v="100056728700003"/>
    <s v="Office Signage"/>
    <n v="1250"/>
    <m/>
    <n v="1250"/>
    <n v="62.5"/>
    <n v="1312.5"/>
    <s v="MARINELLE"/>
    <m/>
    <m/>
    <m/>
    <n v="1"/>
  </r>
  <r>
    <x v="74"/>
    <s v="24-0177"/>
    <x v="59"/>
    <s v="100056728700003"/>
    <s v="Office Branding"/>
    <n v="1275"/>
    <m/>
    <n v="1275"/>
    <n v="63.75"/>
    <n v="1338.75"/>
    <s v="REENA"/>
    <m/>
    <m/>
    <m/>
    <n v="1"/>
  </r>
  <r>
    <x v="77"/>
    <s v="24-0178"/>
    <x v="57"/>
    <s v="100056728700003"/>
    <s v="Instagram Frame."/>
    <n v="185"/>
    <m/>
    <n v="185"/>
    <n v="9.25"/>
    <n v="194.25"/>
    <s v="REENA"/>
    <m/>
    <m/>
    <m/>
    <n v="1"/>
  </r>
  <r>
    <x v="0"/>
    <s v="24-0179"/>
    <x v="61"/>
    <s v="100056728700003"/>
    <s v="Dummy Cheque (DBSEH)"/>
    <n v="145"/>
    <m/>
    <n v="145"/>
    <n v="7.25"/>
    <n v="152.25"/>
    <s v="REENA"/>
    <m/>
    <m/>
    <m/>
    <n v="1"/>
  </r>
  <r>
    <x v="0"/>
    <s v="24-0180"/>
    <x v="61"/>
    <s v="100056728700003"/>
    <s v="Journal (DBSEH)"/>
    <n v="450"/>
    <m/>
    <n v="450"/>
    <n v="22.5"/>
    <n v="472.5"/>
    <s v="REENA"/>
    <m/>
    <m/>
    <m/>
    <n v="1"/>
  </r>
  <r>
    <x v="0"/>
    <s v="24-0181"/>
    <x v="61"/>
    <s v="100056728700003"/>
    <s v="Business card - FICHTE"/>
    <n v="630"/>
    <m/>
    <n v="630"/>
    <n v="31.5"/>
    <n v="661.5"/>
    <s v="REENA"/>
    <m/>
    <m/>
    <m/>
    <n v="1"/>
  </r>
  <r>
    <x v="79"/>
    <s v="24-0182"/>
    <x v="57"/>
    <s v="100056728700003"/>
    <s v="A6 Ramadan Cards -Power Lease/Ikonic"/>
    <n v="435"/>
    <m/>
    <n v="435"/>
    <n v="21.75"/>
    <n v="456.75"/>
    <s v="REENA"/>
    <m/>
    <m/>
    <m/>
    <n v="1"/>
  </r>
  <r>
    <x v="20"/>
    <s v="24-0183"/>
    <x v="61"/>
    <s v="100056728700003"/>
    <s v="A3 &amp; A4 ENVELOPES"/>
    <n v="1615"/>
    <m/>
    <n v="1615"/>
    <n v="80.75"/>
    <n v="1695.75"/>
    <s v="REENA"/>
    <m/>
    <m/>
    <m/>
    <n v="1"/>
  </r>
  <r>
    <x v="80"/>
    <s v="24-0184"/>
    <x v="61"/>
    <s v="100056728700003"/>
    <s v="A4 &amp; A5 Paper Bags"/>
    <n v="6920"/>
    <m/>
    <n v="6920"/>
    <n v="346"/>
    <n v="7266"/>
    <s v="MARINELLE"/>
    <m/>
    <m/>
    <m/>
    <n v="1"/>
  </r>
  <r>
    <x v="11"/>
    <s v="24-0185"/>
    <x v="62"/>
    <s v="100056728700003"/>
    <s v="Sticker on CRETA Signage"/>
    <n v="350"/>
    <m/>
    <n v="350"/>
    <n v="17.5"/>
    <n v="367.5"/>
    <s v="MARINELLE"/>
    <m/>
    <m/>
    <m/>
    <n v="1"/>
  </r>
  <r>
    <x v="81"/>
    <s v="24-0186"/>
    <x v="62"/>
    <s v="100056728700003"/>
    <s v="Polo shirts"/>
    <n v="1440"/>
    <m/>
    <n v="1440"/>
    <n v="72"/>
    <n v="1512"/>
    <s v="MARINELLE"/>
    <m/>
    <m/>
    <m/>
    <n v="1"/>
  </r>
  <r>
    <x v="11"/>
    <s v="24-0187"/>
    <x v="62"/>
    <s v="100056728700003"/>
    <s v="Notebooks &amp; Business cards"/>
    <n v="7875"/>
    <m/>
    <n v="7875"/>
    <n v="393.75"/>
    <n v="8268.75"/>
    <s v="MARINELLE"/>
    <m/>
    <m/>
    <m/>
    <n v="1"/>
  </r>
  <r>
    <x v="76"/>
    <s v="24-0188"/>
    <x v="63"/>
    <m/>
    <s v="Tshirts (Holi)"/>
    <n v="2300"/>
    <m/>
    <n v="2300"/>
    <n v="115"/>
    <n v="2415"/>
    <s v="REENA"/>
    <m/>
    <m/>
    <m/>
    <n v="1"/>
  </r>
  <r>
    <x v="1"/>
    <s v="24-0189"/>
    <x v="63"/>
    <m/>
    <s v="A4 Notebook (PECUNIA)"/>
    <n v="792.5"/>
    <m/>
    <n v="792.5"/>
    <n v="39.625"/>
    <n v="832.125"/>
    <s v="REENA"/>
    <m/>
    <m/>
    <m/>
    <n v="1"/>
  </r>
  <r>
    <x v="0"/>
    <s v="24-0190"/>
    <x v="63"/>
    <m/>
    <s v="Brochure (Dubai School) "/>
    <n v="1575"/>
    <m/>
    <n v="1575"/>
    <n v="78.75"/>
    <n v="1653.75"/>
    <s v="REENA"/>
    <m/>
    <m/>
    <m/>
    <n v="1"/>
  </r>
  <r>
    <x v="18"/>
    <s v="24-0191"/>
    <x v="63"/>
    <m/>
    <s v="Table Cloth"/>
    <n v="585"/>
    <m/>
    <n v="585"/>
    <n v="29.25"/>
    <n v="614.25"/>
    <s v="REENA"/>
    <m/>
    <m/>
    <m/>
    <n v="1"/>
  </r>
  <r>
    <x v="41"/>
    <s v="24-0192"/>
    <x v="63"/>
    <m/>
    <s v="Name boards HO"/>
    <n v="60"/>
    <m/>
    <n v="60"/>
    <n v="3"/>
    <n v="63"/>
    <s v="REENA"/>
    <m/>
    <m/>
    <m/>
    <n v="1"/>
  </r>
  <r>
    <x v="41"/>
    <s v="24-0193"/>
    <x v="63"/>
    <m/>
    <s v="Name boards Br."/>
    <n v="90"/>
    <m/>
    <n v="90"/>
    <n v="4.5"/>
    <n v="94.5"/>
    <s v="REENA"/>
    <m/>
    <m/>
    <m/>
    <n v="1"/>
  </r>
  <r>
    <x v="82"/>
    <s v="24-0194"/>
    <x v="63"/>
    <s v="100290916400003"/>
    <s v="Bags"/>
    <n v="2358.75"/>
    <m/>
    <n v="2358.75"/>
    <n v="117.9375"/>
    <n v="2476.6875"/>
    <s v="MARINELLE"/>
    <m/>
    <m/>
    <m/>
    <n v="1"/>
  </r>
  <r>
    <x v="83"/>
    <s v="24-0195"/>
    <x v="64"/>
    <s v="100225882800003"/>
    <s v="Vacuum Mug With Cork Base - White"/>
    <n v="1750.5"/>
    <m/>
    <n v="1750.5"/>
    <n v="87.525000000000006"/>
    <n v="1838.0250000000001"/>
    <s v="MARINELLE"/>
    <m/>
    <m/>
    <m/>
    <n v="1"/>
  </r>
  <r>
    <x v="0"/>
    <s v="24-0196"/>
    <x v="65"/>
    <s v="100542487200003"/>
    <s v="Canvas print on frame (JAS)"/>
    <n v="1506"/>
    <m/>
    <n v="1506"/>
    <n v="75.3"/>
    <n v="1581.3"/>
    <s v="REENA"/>
    <m/>
    <m/>
    <m/>
    <n v="1"/>
  </r>
  <r>
    <x v="33"/>
    <s v="24-0197"/>
    <x v="66"/>
    <s v="104020118600003"/>
    <s v="Pens(Plastic)"/>
    <n v="1050"/>
    <m/>
    <n v="1050"/>
    <n v="52.5"/>
    <n v="1102.5"/>
    <s v="REENA"/>
    <m/>
    <m/>
    <m/>
    <n v="1"/>
  </r>
  <r>
    <x v="0"/>
    <s v="24-0198"/>
    <x v="65"/>
    <s v="100542487200003"/>
    <s v="Business Card - JBS"/>
    <n v="235"/>
    <m/>
    <n v="235"/>
    <n v="11.75"/>
    <n v="246.75"/>
    <s v="REENA"/>
    <m/>
    <m/>
    <m/>
    <n v="1"/>
  </r>
  <r>
    <x v="84"/>
    <s v="24-0199"/>
    <x v="67"/>
    <s v="100336526700003"/>
    <s v="Ceramic Mug, Business Cards"/>
    <n v="1167"/>
    <m/>
    <n v="1167"/>
    <n v="58.35"/>
    <n v="1225.3499999999999"/>
    <s v="MARINELLE"/>
    <m/>
    <m/>
    <m/>
    <n v="1"/>
  </r>
  <r>
    <x v="82"/>
    <s v="24-0200"/>
    <x v="63"/>
    <s v="100290916400003"/>
    <s v="Bags"/>
    <n v="5827.5"/>
    <m/>
    <n v="5827.5"/>
    <n v="291.375"/>
    <n v="6118.875"/>
    <s v="MARINELLE"/>
    <m/>
    <m/>
    <m/>
    <n v="1"/>
  </r>
  <r>
    <x v="82"/>
    <s v="24-0201"/>
    <x v="63"/>
    <s v="100290916400003"/>
    <s v="Bags"/>
    <n v="4440"/>
    <m/>
    <n v="4440"/>
    <n v="222"/>
    <n v="4662"/>
    <s v="MARINELLE"/>
    <m/>
    <m/>
    <m/>
    <n v="1"/>
  </r>
  <r>
    <x v="85"/>
    <s v="24-0202"/>
    <x v="63"/>
    <s v="100290916400003"/>
    <s v="Bags"/>
    <n v="8463.75"/>
    <m/>
    <n v="8463.75"/>
    <n v="423.1875"/>
    <n v="8886.9375"/>
    <s v="MARINELLE"/>
    <m/>
    <m/>
    <m/>
    <n v="1"/>
  </r>
  <r>
    <x v="86"/>
    <s v="24-0203"/>
    <x v="63"/>
    <s v="-"/>
    <s v="Bags"/>
    <n v="693.81"/>
    <m/>
    <n v="693.81"/>
    <n v="34.6905"/>
    <n v="728.50049999999999"/>
    <s v="MARINELLE"/>
    <m/>
    <m/>
    <m/>
    <n v="1"/>
  </r>
  <r>
    <x v="87"/>
    <s v="24-0204"/>
    <x v="63"/>
    <s v="310562221900003"/>
    <s v="Bags"/>
    <n v="2497.7199999999998"/>
    <m/>
    <n v="2497.7199999999998"/>
    <n v="124.886"/>
    <n v="2622.6059999999998"/>
    <s v="MARINELLE"/>
    <m/>
    <m/>
    <m/>
    <n v="1"/>
  </r>
  <r>
    <x v="86"/>
    <s v="24-0205"/>
    <x v="63"/>
    <s v="-"/>
    <s v="Bags"/>
    <n v="6799.34"/>
    <m/>
    <n v="6799.34"/>
    <n v="339.96700000000004"/>
    <n v="7139.3069999999998"/>
    <s v="MARINELLE"/>
    <m/>
    <m/>
    <m/>
    <n v="1"/>
  </r>
  <r>
    <x v="88"/>
    <s v="24-0206"/>
    <x v="68"/>
    <s v="100583350200003"/>
    <s v="Gift Box - 50% advance"/>
    <n v="11000"/>
    <m/>
    <n v="11000"/>
    <n v="550"/>
    <n v="11550"/>
    <s v="MARINELLE"/>
    <m/>
    <m/>
    <m/>
    <n v="1"/>
  </r>
  <r>
    <x v="89"/>
    <s v="24-0207"/>
    <x v="69"/>
    <s v="100054016900003"/>
    <s v="Printing of Logo on Client provided items, MousePads"/>
    <n v="285.5"/>
    <m/>
    <n v="285.5"/>
    <n v="14.275"/>
    <n v="299.77499999999998"/>
    <s v="REENA"/>
    <m/>
    <m/>
    <m/>
    <n v="1"/>
  </r>
  <r>
    <x v="0"/>
    <s v="24-0208"/>
    <x v="70"/>
    <s v="100542487200003"/>
    <s v="Karlita Baby Shower Poster"/>
    <n v="175"/>
    <m/>
    <n v="175"/>
    <n v="8.75"/>
    <n v="183.75"/>
    <s v="REENA"/>
    <m/>
    <m/>
    <m/>
    <n v="1"/>
  </r>
  <r>
    <x v="90"/>
    <s v="24-0209"/>
    <x v="71"/>
    <s v="100345098600003"/>
    <s v="Gift Set, back pack and NFC card"/>
    <n v="27360"/>
    <m/>
    <n v="27360"/>
    <n v="1368"/>
    <n v="28728"/>
    <s v="MARINELLE"/>
    <m/>
    <m/>
    <m/>
    <n v="1"/>
  </r>
  <r>
    <x v="36"/>
    <s v="24-0210"/>
    <x v="72"/>
    <s v="100349055200003"/>
    <s v="Flyer"/>
    <n v="375"/>
    <m/>
    <n v="375"/>
    <n v="18.75"/>
    <n v="393.75"/>
    <s v="MARINELLE"/>
    <m/>
    <m/>
    <m/>
    <n v="1"/>
  </r>
  <r>
    <x v="91"/>
    <s v="24-0211"/>
    <x v="68"/>
    <s v="100386934200003"/>
    <s v="Safety Jacket &amp; Safety Shoes"/>
    <n v="1205"/>
    <m/>
    <n v="1205"/>
    <n v="60.25"/>
    <n v="1265.25"/>
    <s v="MARINELLE"/>
    <m/>
    <m/>
    <m/>
    <n v="1"/>
  </r>
  <r>
    <x v="92"/>
    <s v="24-0212"/>
    <x v="73"/>
    <s v="100524667100003"/>
    <s v="Lanyard"/>
    <n v="380"/>
    <m/>
    <n v="380"/>
    <n v="19"/>
    <n v="399"/>
    <s v="MARINELLE"/>
    <m/>
    <m/>
    <m/>
    <n v="1"/>
  </r>
  <r>
    <x v="19"/>
    <s v="24-0213"/>
    <x v="73"/>
    <s v="-"/>
    <s v="Table Cloth"/>
    <n v="325"/>
    <m/>
    <n v="325"/>
    <n v="16.25"/>
    <n v="341.25"/>
    <s v="MARINELLE"/>
    <m/>
    <m/>
    <m/>
    <n v="1"/>
  </r>
  <r>
    <x v="88"/>
    <s v="24-0214"/>
    <x v="68"/>
    <s v="100583350200003"/>
    <s v="Paper Bag"/>
    <n v="2100"/>
    <m/>
    <n v="2100"/>
    <n v="105"/>
    <n v="2205"/>
    <s v="MARINELLE"/>
    <m/>
    <m/>
    <m/>
    <n v="1"/>
  </r>
  <r>
    <x v="11"/>
    <s v="24-0215"/>
    <x v="69"/>
    <s v="100056728700003"/>
    <s v="Business Card"/>
    <n v="1100"/>
    <m/>
    <n v="1100"/>
    <n v="55"/>
    <n v="1155"/>
    <s v="MARINELLE"/>
    <m/>
    <m/>
    <m/>
    <n v="1"/>
  </r>
  <r>
    <x v="93"/>
    <s v="24-0216"/>
    <x v="73"/>
    <s v="-"/>
    <s v="Notebooks &amp; Caps"/>
    <n v="2850"/>
    <m/>
    <n v="2850"/>
    <n v="142.5"/>
    <n v="2992.5"/>
    <s v="REENA"/>
    <m/>
    <m/>
    <m/>
    <n v="1"/>
  </r>
  <r>
    <x v="12"/>
    <s v="24-0217"/>
    <x v="74"/>
    <s v="100482284500003"/>
    <s v="Business Cards"/>
    <n v="825"/>
    <m/>
    <n v="825"/>
    <n v="41.25"/>
    <n v="866.25"/>
    <s v="REENA"/>
    <m/>
    <m/>
    <m/>
    <n v="1"/>
  </r>
  <r>
    <x v="0"/>
    <s v="24-0218"/>
    <x v="74"/>
    <s v="100542487200003"/>
    <s v="Coloring Book - DBSJ"/>
    <n v="550"/>
    <m/>
    <n v="550"/>
    <n v="27.5"/>
    <n v="577.5"/>
    <s v="REENA"/>
    <m/>
    <m/>
    <m/>
    <n v="1"/>
  </r>
  <r>
    <x v="21"/>
    <s v="24-0219"/>
    <x v="71"/>
    <s v="-"/>
    <s v="Business Cards"/>
    <n v="310"/>
    <m/>
    <n v="310"/>
    <n v="15.5"/>
    <n v="325.5"/>
    <s v="REENA"/>
    <m/>
    <m/>
    <m/>
    <n v="1"/>
  </r>
  <r>
    <x v="0"/>
    <s v="24-0220"/>
    <x v="74"/>
    <s v="100542487200003"/>
    <s v="Roll up"/>
    <n v="575"/>
    <m/>
    <n v="575"/>
    <n v="28.75"/>
    <n v="603.75"/>
    <s v="REENA"/>
    <m/>
    <m/>
    <m/>
    <n v="1"/>
  </r>
  <r>
    <x v="20"/>
    <s v="24-0221"/>
    <x v="71"/>
    <s v="100235699400003"/>
    <s v="Business Cards"/>
    <n v="405"/>
    <m/>
    <n v="405"/>
    <n v="20.25"/>
    <n v="425.25"/>
    <s v="REENA"/>
    <m/>
    <m/>
    <m/>
    <n v="1"/>
  </r>
  <r>
    <x v="7"/>
    <s v="24-0222"/>
    <x v="71"/>
    <s v="100348311000003"/>
    <s v="Business Cards"/>
    <n v="845"/>
    <m/>
    <n v="845"/>
    <n v="42.25"/>
    <n v="887.25"/>
    <s v="REENA"/>
    <m/>
    <m/>
    <m/>
    <n v="1"/>
  </r>
  <r>
    <x v="7"/>
    <s v="24-0223"/>
    <x v="71"/>
    <s v="-"/>
    <m/>
    <n v="0"/>
    <m/>
    <n v="0"/>
    <n v="0"/>
    <n v="0"/>
    <s v="REENA"/>
    <m/>
    <m/>
    <m/>
    <n v="1"/>
  </r>
  <r>
    <x v="18"/>
    <s v="24-0224"/>
    <x v="71"/>
    <s v="100593105800003"/>
    <s v="Booth branding (Shell scheme)"/>
    <n v="2850"/>
    <m/>
    <n v="2850"/>
    <n v="142.5"/>
    <n v="2992.5"/>
    <s v="REENA"/>
    <m/>
    <m/>
    <m/>
    <n v="1"/>
  </r>
  <r>
    <x v="18"/>
    <s v="24-0225"/>
    <x v="71"/>
    <s v="100593105800003"/>
    <s v="Roll up, A3 Posters, Certificates"/>
    <n v="972"/>
    <m/>
    <n v="972"/>
    <n v="48.6"/>
    <n v="1020.6"/>
    <s v="REENA"/>
    <m/>
    <m/>
    <m/>
    <n v="1"/>
  </r>
  <r>
    <x v="36"/>
    <s v="24-0225-A"/>
    <x v="75"/>
    <s v="100349055200003"/>
    <s v="Balloons and cup sleeve"/>
    <n v="1628.75"/>
    <m/>
    <n v="1628.75"/>
    <n v="81.4375"/>
    <n v="1710.1875"/>
    <s v="MARINELLE"/>
    <m/>
    <m/>
    <m/>
    <n v="1"/>
  </r>
  <r>
    <x v="6"/>
    <s v="24-0226"/>
    <x v="76"/>
    <s v="100430750800003"/>
    <s v="Tote bags, Pens, Tritan Water Bottle, Notebook"/>
    <n v="3704"/>
    <m/>
    <n v="3704"/>
    <n v="185.20000000000002"/>
    <n v="3889.2"/>
    <s v="REENA"/>
    <m/>
    <m/>
    <m/>
    <n v="1"/>
  </r>
  <r>
    <x v="30"/>
    <s v="24-0226-A"/>
    <x v="77"/>
    <s v="104020641700003"/>
    <s v="Signage"/>
    <n v="85"/>
    <m/>
    <n v="85"/>
    <n v="4.25"/>
    <n v="89.25"/>
    <s v="MARINELLE"/>
    <m/>
    <m/>
    <m/>
    <n v="1"/>
  </r>
  <r>
    <x v="0"/>
    <s v="24-0227"/>
    <x v="76"/>
    <s v="100542487200003"/>
    <s v="Coloring Book - Dubai School"/>
    <n v="702"/>
    <m/>
    <n v="702"/>
    <n v="35.1"/>
    <n v="737.1"/>
    <s v="REENA"/>
    <m/>
    <m/>
    <m/>
    <n v="1"/>
  </r>
  <r>
    <x v="32"/>
    <s v="24-0227-A"/>
    <x v="77"/>
    <s v="104149170300003"/>
    <s v="Signage"/>
    <n v="85"/>
    <m/>
    <n v="85"/>
    <n v="4.25"/>
    <n v="89.25"/>
    <s v="MARINELLE"/>
    <m/>
    <m/>
    <m/>
    <n v="1"/>
  </r>
  <r>
    <x v="88"/>
    <s v="24-0228"/>
    <x v="78"/>
    <s v="100583350200003"/>
    <s v="Gift Box - 50% balance"/>
    <n v="11000"/>
    <m/>
    <n v="11000"/>
    <n v="550"/>
    <n v="11550"/>
    <s v="MARINELLE"/>
    <m/>
    <m/>
    <m/>
    <n v="1"/>
  </r>
  <r>
    <x v="68"/>
    <s v="24-0228-A"/>
    <x v="77"/>
    <s v="100566746200003"/>
    <s v="Signage, Acrylic Signboard"/>
    <n v="260"/>
    <m/>
    <n v="260"/>
    <n v="13"/>
    <n v="273"/>
    <s v="MARINELLE"/>
    <m/>
    <m/>
    <m/>
    <n v="1"/>
  </r>
  <r>
    <x v="94"/>
    <s v="24-0229"/>
    <x v="78"/>
    <s v="100462479500003"/>
    <s v="A4 Sticker"/>
    <n v="202.95"/>
    <m/>
    <n v="202.95"/>
    <n v="10.147500000000001"/>
    <n v="213.0975"/>
    <s v="REENA"/>
    <m/>
    <m/>
    <m/>
    <n v="1"/>
  </r>
  <r>
    <x v="52"/>
    <s v="24-0229-A"/>
    <x v="75"/>
    <s v="-"/>
    <s v="Business Cards"/>
    <n v="375"/>
    <m/>
    <n v="375"/>
    <n v="18.75"/>
    <n v="393.75"/>
    <s v="MARINELLE"/>
    <m/>
    <m/>
    <m/>
    <n v="1"/>
  </r>
  <r>
    <x v="6"/>
    <s v="24-0230"/>
    <x v="79"/>
    <s v="100430750800003"/>
    <s v="Round neck Tshirt"/>
    <n v="190"/>
    <m/>
    <n v="190"/>
    <n v="9.5"/>
    <n v="199.5"/>
    <s v="REENA"/>
    <m/>
    <m/>
    <m/>
    <n v="1"/>
  </r>
  <r>
    <x v="0"/>
    <s v="24-0231"/>
    <x v="78"/>
    <s v="100542487200003"/>
    <s v="Business card - FICHTE"/>
    <n v="780"/>
    <m/>
    <n v="780"/>
    <n v="39"/>
    <n v="819"/>
    <s v="REENA"/>
    <m/>
    <m/>
    <m/>
    <n v="1"/>
  </r>
  <r>
    <x v="6"/>
    <s v="24-0232"/>
    <x v="80"/>
    <s v="100430750800003"/>
    <s v="Business Cards"/>
    <n v="270"/>
    <m/>
    <n v="270"/>
    <n v="13.5"/>
    <n v="283.5"/>
    <s v="REENA"/>
    <m/>
    <m/>
    <m/>
    <n v="1"/>
  </r>
  <r>
    <x v="95"/>
    <s v="24-0233"/>
    <x v="81"/>
    <s v="100357115300003"/>
    <s v="Safety Vest - Customized"/>
    <n v="1249.5"/>
    <m/>
    <n v="1249.5"/>
    <n v="62.475000000000001"/>
    <n v="1311.9749999999999"/>
    <s v="MARINELLE"/>
    <m/>
    <m/>
    <m/>
    <n v="1"/>
  </r>
  <r>
    <x v="38"/>
    <s v="24-0234"/>
    <x v="81"/>
    <s v="100044062600003"/>
    <s v="Polo Shirt - (Customized)"/>
    <n v="6000"/>
    <m/>
    <n v="6000"/>
    <n v="300"/>
    <n v="6300"/>
    <s v="MARINELLE"/>
    <m/>
    <m/>
    <m/>
    <n v="1"/>
  </r>
  <r>
    <x v="6"/>
    <s v="24-0235"/>
    <x v="80"/>
    <s v="100430750800003"/>
    <s v="Roll up, A3  Desktop Roll up, flyer"/>
    <n v="505"/>
    <m/>
    <n v="505"/>
    <n v="25.25"/>
    <n v="530.25"/>
    <s v="REENA"/>
    <m/>
    <m/>
    <m/>
    <n v="1"/>
  </r>
  <r>
    <x v="90"/>
    <s v="24-0236"/>
    <x v="81"/>
    <s v="100345098600003"/>
    <s v="ID Holders and Lanyard"/>
    <n v="1972.5"/>
    <m/>
    <n v="1972.5"/>
    <n v="98.625"/>
    <n v="2071.125"/>
    <s v="MARINELLE"/>
    <m/>
    <m/>
    <m/>
    <n v="1"/>
  </r>
  <r>
    <x v="0"/>
    <s v="24-0237"/>
    <x v="81"/>
    <s v="100542487200003"/>
    <s v="Curvetop Flags"/>
    <n v="3890"/>
    <m/>
    <n v="3890"/>
    <n v="194.5"/>
    <n v="4084.5"/>
    <s v="REENA"/>
    <m/>
    <m/>
    <m/>
    <n v="1"/>
  </r>
  <r>
    <x v="0"/>
    <s v="24-0238"/>
    <x v="81"/>
    <s v="100542487200003"/>
    <s v="Leaflet - 3 fold (DBSJ)"/>
    <n v="1008"/>
    <m/>
    <n v="1008"/>
    <n v="50.400000000000006"/>
    <n v="1058.4000000000001"/>
    <s v="REENA"/>
    <m/>
    <m/>
    <m/>
    <n v="1"/>
  </r>
  <r>
    <x v="96"/>
    <s v="24-0239"/>
    <x v="82"/>
    <s v="100556794400003"/>
    <s v="Business Card - PERI"/>
    <n v="380"/>
    <m/>
    <n v="380"/>
    <n v="19"/>
    <n v="399"/>
    <s v="REENA"/>
    <m/>
    <m/>
    <m/>
    <n v="1"/>
  </r>
  <r>
    <x v="0"/>
    <s v="24-0240"/>
    <x v="82"/>
    <s v="100542487200003"/>
    <s v="Letterhead (Obaid Almaazmi)"/>
    <n v="450"/>
    <m/>
    <n v="450"/>
    <n v="22.5"/>
    <n v="472.5"/>
    <s v="REENA"/>
    <m/>
    <m/>
    <m/>
    <n v="1"/>
  </r>
  <r>
    <x v="18"/>
    <s v="24-0241"/>
    <x v="82"/>
    <s v="100593105800003"/>
    <s v="20240415 - Fast - Migration  (Roll Up, A3 Posters, Certificates)"/>
    <n v="375"/>
    <m/>
    <n v="375"/>
    <n v="18.75"/>
    <n v="393.75"/>
    <s v="REENA"/>
    <m/>
    <m/>
    <m/>
    <n v="1"/>
  </r>
  <r>
    <x v="97"/>
    <s v="24-0242"/>
    <x v="82"/>
    <s v="-"/>
    <s v="Volleyball Jersey sets"/>
    <n v="900"/>
    <m/>
    <n v="900"/>
    <n v="45"/>
    <n v="945"/>
    <s v="REENA"/>
    <m/>
    <m/>
    <m/>
    <n v="1"/>
  </r>
  <r>
    <x v="98"/>
    <s v="24-0243"/>
    <x v="82"/>
    <s v="100048520900003"/>
    <s v="Supplies done in April, 2024"/>
    <n v="180"/>
    <m/>
    <n v="180"/>
    <n v="9"/>
    <n v="189"/>
    <s v="REENA"/>
    <m/>
    <m/>
    <m/>
    <n v="1"/>
  </r>
  <r>
    <x v="99"/>
    <s v="24-0244"/>
    <x v="82"/>
    <s v="100048520900003"/>
    <s v="Supplies done in April, 2024"/>
    <n v="90"/>
    <m/>
    <n v="90"/>
    <n v="4.5"/>
    <n v="94.5"/>
    <s v="REENA"/>
    <m/>
    <m/>
    <m/>
    <n v="1"/>
  </r>
  <r>
    <x v="6"/>
    <s v="24-0245"/>
    <x v="83"/>
    <s v="100430750800003"/>
    <s v="Poster Board for Easel"/>
    <n v="932"/>
    <m/>
    <n v="932"/>
    <n v="46.6"/>
    <n v="978.6"/>
    <s v="REENA"/>
    <m/>
    <m/>
    <m/>
    <n v="1"/>
  </r>
  <r>
    <x v="20"/>
    <s v="24-0246"/>
    <x v="83"/>
    <s v="100235699400003"/>
    <s v="Business Cards -Shabeek Yusuf"/>
    <n v="405"/>
    <m/>
    <n v="405"/>
    <n v="20.25"/>
    <n v="425.25"/>
    <s v="REENA"/>
    <m/>
    <m/>
    <m/>
    <n v="1"/>
  </r>
  <r>
    <x v="100"/>
    <s v="24-0247"/>
    <x v="84"/>
    <s v="-"/>
    <s v="Office Branding"/>
    <n v="2225"/>
    <m/>
    <n v="2225"/>
    <n v="111.25"/>
    <n v="2336.25"/>
    <s v="REENA"/>
    <m/>
    <m/>
    <m/>
    <n v="1"/>
  </r>
  <r>
    <x v="101"/>
    <s v="24-0248"/>
    <x v="85"/>
    <s v="100066699800003"/>
    <s v="Paper Sticker"/>
    <n v="350"/>
    <m/>
    <n v="350"/>
    <n v="17.5"/>
    <n v="367.5"/>
    <s v="MARINELLE"/>
    <m/>
    <m/>
    <m/>
    <n v="1"/>
  </r>
  <r>
    <x v="15"/>
    <s v="24-0249"/>
    <x v="85"/>
    <s v="100399495900003"/>
    <s v="Pledge Card, Tent Card, Roll Up"/>
    <n v="570"/>
    <m/>
    <n v="570"/>
    <n v="28.5"/>
    <n v="598.5"/>
    <s v="MARINELLE"/>
    <m/>
    <m/>
    <m/>
    <n v="1"/>
  </r>
  <r>
    <x v="6"/>
    <s v="24-0250"/>
    <x v="85"/>
    <s v="100430750800003"/>
    <s v="Floor Stickers"/>
    <n v="512"/>
    <m/>
    <n v="512"/>
    <n v="25.6"/>
    <n v="537.6"/>
    <s v="REENA"/>
    <m/>
    <m/>
    <m/>
    <n v="1"/>
  </r>
  <r>
    <x v="70"/>
    <s v="24-0251"/>
    <x v="86"/>
    <s v="100430750800003"/>
    <s v="Brochure (Destination Guide) "/>
    <n v="3425"/>
    <m/>
    <n v="3425"/>
    <n v="171.25"/>
    <n v="3596.25"/>
    <s v="REENA"/>
    <m/>
    <m/>
    <m/>
    <n v="1"/>
  </r>
  <r>
    <x v="0"/>
    <s v="24-0252"/>
    <x v="86"/>
    <s v="100542487200003"/>
    <s v="NotePad (top glue) - Taaleem"/>
    <n v="1380"/>
    <m/>
    <n v="1380"/>
    <n v="69"/>
    <n v="1449"/>
    <s v="REENA"/>
    <m/>
    <m/>
    <m/>
    <n v="1"/>
  </r>
  <r>
    <x v="0"/>
    <s v="24-0253"/>
    <x v="86"/>
    <s v="100542487200003"/>
    <s v="Roll Up with designing charges"/>
    <n v="340"/>
    <m/>
    <n v="340"/>
    <n v="17"/>
    <n v="357"/>
    <s v="REENA"/>
    <m/>
    <m/>
    <m/>
    <n v="1"/>
  </r>
  <r>
    <x v="0"/>
    <s v="24-0254"/>
    <x v="86"/>
    <s v="100542487200003"/>
    <s v="A5 Acrylic Display Stand (Raha School)"/>
    <n v="371.5"/>
    <m/>
    <n v="371.5"/>
    <n v="18.574999999999999"/>
    <n v="390.07499999999999"/>
    <s v="REENA"/>
    <m/>
    <m/>
    <m/>
    <n v="1"/>
  </r>
  <r>
    <x v="0"/>
    <s v="24-0255"/>
    <x v="86"/>
    <s v="100542487200003"/>
    <s v="Yearbook DBSJP"/>
    <n v="2510"/>
    <m/>
    <n v="2510"/>
    <n v="125.5"/>
    <n v="2635.5"/>
    <s v="REENA"/>
    <m/>
    <m/>
    <m/>
    <n v="1"/>
  </r>
  <r>
    <x v="76"/>
    <s v="24-0256"/>
    <x v="87"/>
    <s v="104146932900003"/>
    <s v="Round Neck Tshirts"/>
    <n v="350"/>
    <m/>
    <n v="350"/>
    <n v="17.5"/>
    <n v="367.5"/>
    <s v="REENA"/>
    <m/>
    <m/>
    <m/>
    <n v="1"/>
  </r>
  <r>
    <x v="102"/>
    <s v="24-0257"/>
    <x v="87"/>
    <s v="104014823900003"/>
    <s v="Business card "/>
    <n v="175"/>
    <m/>
    <n v="175"/>
    <n v="8.75"/>
    <n v="183.75"/>
    <s v="REENA"/>
    <m/>
    <m/>
    <m/>
    <n v="1"/>
  </r>
  <r>
    <x v="70"/>
    <s v="24-0258"/>
    <x v="87"/>
    <s v="100282822400003"/>
    <s v="Roll up Banner,  A3 Desktop roll up, Table Runner"/>
    <n v="1020"/>
    <m/>
    <n v="1020"/>
    <n v="51"/>
    <n v="1071"/>
    <s v="REENA"/>
    <m/>
    <m/>
    <m/>
    <n v="1"/>
  </r>
  <r>
    <x v="20"/>
    <s v="24-0259"/>
    <x v="75"/>
    <s v="100235699400003"/>
    <s v="Business cards - Ali El Sayed"/>
    <n v="405"/>
    <m/>
    <n v="405"/>
    <n v="20.25"/>
    <n v="425.25"/>
    <s v="REENA"/>
    <m/>
    <m/>
    <m/>
    <n v="1"/>
  </r>
  <r>
    <x v="6"/>
    <s v="24-0260"/>
    <x v="75"/>
    <s v="100430750800003"/>
    <s v="Posters"/>
    <n v="1600"/>
    <m/>
    <n v="1600"/>
    <n v="80"/>
    <n v="1680"/>
    <s v="REENA"/>
    <m/>
    <m/>
    <m/>
    <n v="1"/>
  </r>
  <r>
    <x v="0"/>
    <s v="24-0261"/>
    <x v="75"/>
    <s v="100542487200003"/>
    <s v="Void/ Business cards (Taaleem)"/>
    <s v="-"/>
    <s v="-"/>
    <s v="-"/>
    <s v="-"/>
    <s v="-"/>
    <s v="REENA"/>
    <m/>
    <m/>
    <m/>
    <n v="1"/>
  </r>
  <r>
    <x v="103"/>
    <s v="24-0262"/>
    <x v="88"/>
    <s v="-"/>
    <s v="Brochure, Tote bags,notebooks, pens, business card, table cloth, desktop roll up"/>
    <n v="6085"/>
    <m/>
    <n v="6085"/>
    <n v="304.25"/>
    <n v="6389.25"/>
    <s v="REENA"/>
    <m/>
    <m/>
    <m/>
    <n v="1"/>
  </r>
  <r>
    <x v="63"/>
    <s v="24-0263"/>
    <x v="89"/>
    <s v="100484375900003"/>
    <s v="Business Cards"/>
    <n v="125"/>
    <m/>
    <n v="125"/>
    <n v="6.25"/>
    <n v="131.25"/>
    <s v="REENA"/>
    <m/>
    <m/>
    <m/>
    <n v="1"/>
  </r>
  <r>
    <x v="84"/>
    <s v="24-0264"/>
    <x v="90"/>
    <s v="100336526700003"/>
    <s v="Ceramic Mug, Business Cards"/>
    <n v="250"/>
    <m/>
    <n v="250"/>
    <n v="12.5"/>
    <n v="262.5"/>
    <s v="MARINELLE"/>
    <m/>
    <m/>
    <m/>
    <n v="1"/>
  </r>
  <r>
    <x v="80"/>
    <s v="24-0265"/>
    <x v="91"/>
    <s v="100267612800003"/>
    <s v="Ortho Cast Model Box"/>
    <n v="12375"/>
    <m/>
    <n v="12375"/>
    <n v="618.75"/>
    <n v="12993.75"/>
    <s v="MARINELLE"/>
    <m/>
    <m/>
    <m/>
    <n v="1"/>
  </r>
  <r>
    <x v="48"/>
    <s v="24-0266"/>
    <x v="90"/>
    <s v="100277137400003"/>
    <s v="Poster, PVC Badge"/>
    <n v="944"/>
    <m/>
    <n v="944"/>
    <n v="47.2"/>
    <n v="991.2"/>
    <s v="MARINELLE"/>
    <m/>
    <m/>
    <m/>
    <n v="1"/>
  </r>
  <r>
    <x v="52"/>
    <s v="24-0267"/>
    <x v="90"/>
    <s v="-"/>
    <s v="A4 Envelope"/>
    <n v="395"/>
    <m/>
    <n v="395"/>
    <n v="19.75"/>
    <n v="414.75"/>
    <s v="MARINELLE"/>
    <m/>
    <m/>
    <m/>
    <n v="1"/>
  </r>
  <r>
    <x v="104"/>
    <s v="24-0268"/>
    <x v="90"/>
    <s v="-"/>
    <s v="A4 Envelope, A5 Notebook, Metal Pen"/>
    <n v="2195"/>
    <m/>
    <n v="2195"/>
    <n v="109.75"/>
    <n v="2304.75"/>
    <s v="MARINELLE"/>
    <m/>
    <m/>
    <m/>
    <n v="1"/>
  </r>
  <r>
    <x v="36"/>
    <s v="24-0269"/>
    <x v="90"/>
    <s v="100349055200003"/>
    <s v="Thank you Card, Dummy Cheque, Stickers, Plaque, Notebook"/>
    <n v="2726.25"/>
    <m/>
    <n v="2726.25"/>
    <n v="136.3125"/>
    <n v="2862.5625"/>
    <s v="MARINELLE"/>
    <m/>
    <m/>
    <m/>
    <n v="1"/>
  </r>
  <r>
    <x v="105"/>
    <s v="24-0270"/>
    <x v="91"/>
    <s v="-"/>
    <s v="Flower Box"/>
    <n v="8385"/>
    <m/>
    <n v="8385"/>
    <n v="419.25"/>
    <n v="8804.25"/>
    <s v="MARINELLE"/>
    <m/>
    <m/>
    <m/>
    <n v="1"/>
  </r>
  <r>
    <x v="0"/>
    <s v="24-0271"/>
    <x v="92"/>
    <s v="100542487200003"/>
    <s v="Business cards (Taaleem)"/>
    <n v="450"/>
    <m/>
    <n v="450"/>
    <n v="22.5"/>
    <n v="472.5"/>
    <s v="REENA"/>
    <m/>
    <m/>
    <m/>
    <n v="1"/>
  </r>
  <r>
    <x v="0"/>
    <s v="24-0272"/>
    <x v="92"/>
    <s v="100542487200003"/>
    <s v="Brochure (Hourani)"/>
    <n v="875"/>
    <m/>
    <n v="875"/>
    <n v="43.75"/>
    <n v="918.75"/>
    <s v="REENA"/>
    <m/>
    <m/>
    <m/>
    <n v="1"/>
  </r>
  <r>
    <x v="0"/>
    <s v="24-0273"/>
    <x v="92"/>
    <s v="100542487200003"/>
    <s v="Business card, Letterhead - FICHTE"/>
    <n v="985"/>
    <m/>
    <n v="985"/>
    <n v="49.25"/>
    <n v="1034.25"/>
    <s v="REENA"/>
    <m/>
    <m/>
    <m/>
    <n v="1"/>
  </r>
  <r>
    <x v="51"/>
    <s v="24-0274"/>
    <x v="93"/>
    <s v="100377505100003"/>
    <s v="Continental Family voucher / Envelope"/>
    <n v="1266"/>
    <m/>
    <n v="1266"/>
    <n v="63.300000000000004"/>
    <n v="1329.3"/>
    <s v="REENA"/>
    <m/>
    <m/>
    <m/>
    <n v="1"/>
  </r>
  <r>
    <x v="20"/>
    <s v="24-0275"/>
    <x v="91"/>
    <s v="100235699400003"/>
    <s v="Access Card printing"/>
    <n v="144"/>
    <m/>
    <n v="144"/>
    <n v="7.2"/>
    <n v="151.19999999999999"/>
    <s v="REENA"/>
    <m/>
    <m/>
    <m/>
    <n v="1"/>
  </r>
  <r>
    <x v="6"/>
    <s v="24-0276"/>
    <x v="91"/>
    <s v="100430750800003"/>
    <s v="Posters"/>
    <n v="1645"/>
    <m/>
    <n v="1645"/>
    <n v="82.25"/>
    <n v="1727.25"/>
    <s v="REENA"/>
    <m/>
    <m/>
    <m/>
    <n v="1"/>
  </r>
  <r>
    <x v="0"/>
    <s v="24-0277"/>
    <x v="91"/>
    <s v="100542487200003"/>
    <s v="Graduation Tickets, Easel poster, Certificate A4"/>
    <n v="1465.75"/>
    <m/>
    <n v="1465.75"/>
    <n v="73.287500000000009"/>
    <n v="1539.0374999999999"/>
    <s v="REENA"/>
    <m/>
    <m/>
    <m/>
    <n v="1"/>
  </r>
  <r>
    <x v="103"/>
    <s v="24-0278"/>
    <x v="91"/>
    <s v="-"/>
    <s v="Brochure, Tote bags,notebooks, pens, business card, booth branding"/>
    <n v="4955.5"/>
    <m/>
    <n v="4955.5"/>
    <n v="247.77500000000001"/>
    <n v="5203.2749999999996"/>
    <s v="REENA"/>
    <m/>
    <m/>
    <m/>
    <n v="1"/>
  </r>
  <r>
    <x v="0"/>
    <s v="24-0279"/>
    <x v="91"/>
    <s v="100542487200003"/>
    <s v="Photo booth - Floor standing - DBF"/>
    <n v="960"/>
    <m/>
    <n v="960"/>
    <n v="48"/>
    <n v="1008"/>
    <s v="REENA"/>
    <m/>
    <m/>
    <m/>
    <n v="1"/>
  </r>
  <r>
    <x v="0"/>
    <s v="24-0280"/>
    <x v="91"/>
    <s v="100542487200003"/>
    <s v="Table cloth - JAS"/>
    <n v="300"/>
    <m/>
    <n v="300"/>
    <n v="15"/>
    <n v="315"/>
    <s v="REENA"/>
    <m/>
    <m/>
    <m/>
    <n v="1"/>
  </r>
  <r>
    <x v="0"/>
    <s v="24-0281"/>
    <x v="91"/>
    <s v="100542487200003"/>
    <s v="Round Neck Tshirts  (Dubai College UAE) "/>
    <n v="3787.5"/>
    <m/>
    <n v="3787.5"/>
    <n v="189.375"/>
    <n v="3976.875"/>
    <s v="REENA"/>
    <m/>
    <m/>
    <m/>
    <n v="1"/>
  </r>
  <r>
    <x v="106"/>
    <s v="24-0282"/>
    <x v="94"/>
    <s v="-"/>
    <s v="ECOTAG Box - Sampling Charges"/>
    <n v="285.70999999999998"/>
    <m/>
    <n v="285.70999999999998"/>
    <n v="14.285499999999999"/>
    <n v="299.99549999999999"/>
    <s v="MARINELLE"/>
    <m/>
    <m/>
    <m/>
    <n v="1"/>
  </r>
  <r>
    <x v="103"/>
    <s v="24-0283"/>
    <x v="94"/>
    <s v="-"/>
    <s v="Booth branding - Reprinting"/>
    <n v="450"/>
    <m/>
    <n v="450"/>
    <n v="22.5"/>
    <n v="472.5"/>
    <s v="REENA"/>
    <m/>
    <m/>
    <m/>
    <n v="1"/>
  </r>
  <r>
    <x v="33"/>
    <s v="24-0284"/>
    <x v="90"/>
    <s v="104020118600003"/>
    <s v="Business Cards"/>
    <n v="190"/>
    <m/>
    <n v="190"/>
    <n v="9.5"/>
    <n v="199.5"/>
    <s v="REENA"/>
    <m/>
    <m/>
    <m/>
    <n v="1"/>
  </r>
  <r>
    <x v="6"/>
    <s v="24-0285"/>
    <x v="93"/>
    <s v="100430750800003"/>
    <s v="Posters"/>
    <n v="1892"/>
    <m/>
    <n v="1892"/>
    <n v="94.600000000000009"/>
    <n v="1986.6"/>
    <s v="REENA"/>
    <m/>
    <m/>
    <m/>
    <n v="1"/>
  </r>
  <r>
    <x v="107"/>
    <s v="24-0286"/>
    <x v="93"/>
    <s v="-"/>
    <s v="ID card with die cut for lanyard hook "/>
    <n v="2173.75"/>
    <m/>
    <n v="2173.75"/>
    <n v="108.6875"/>
    <n v="2282.4375"/>
    <s v="MARINELLE"/>
    <m/>
    <m/>
    <m/>
    <n v="1"/>
  </r>
  <r>
    <x v="10"/>
    <s v="24-0287"/>
    <x v="93"/>
    <s v="100540543400003"/>
    <s v="Business Cards"/>
    <n v="1060"/>
    <m/>
    <n v="1060"/>
    <n v="53"/>
    <n v="1113"/>
    <s v="MARINELLE"/>
    <m/>
    <m/>
    <m/>
    <n v="1"/>
  </r>
  <r>
    <x v="37"/>
    <s v="24-0288"/>
    <x v="95"/>
    <s v="100249843200003 "/>
    <s v="Portrait Wooden Plaques with Box"/>
    <n v="3207.6"/>
    <m/>
    <n v="3207.6"/>
    <n v="160.38"/>
    <n v="3367.98"/>
    <s v="MARINELLE"/>
    <m/>
    <m/>
    <m/>
    <n v="1"/>
  </r>
  <r>
    <x v="37"/>
    <s v="24-0289"/>
    <x v="95"/>
    <s v="100249843200003 "/>
    <s v="Portrait Wooden Plaques with Box"/>
    <n v="89.1"/>
    <m/>
    <n v="89.1"/>
    <n v="4.4550000000000001"/>
    <n v="93.554999999999993"/>
    <s v="MARINELLE"/>
    <m/>
    <m/>
    <m/>
    <n v="1"/>
  </r>
  <r>
    <x v="108"/>
    <s v="24-0290"/>
    <x v="93"/>
    <s v="-"/>
    <s v="Brochure &amp; Business Cards"/>
    <n v="1183"/>
    <m/>
    <n v="1183"/>
    <n v="59.150000000000006"/>
    <n v="1242.1500000000001"/>
    <s v="REENA"/>
    <m/>
    <m/>
    <m/>
    <n v="1"/>
  </r>
  <r>
    <x v="20"/>
    <s v="24-0291"/>
    <x v="93"/>
    <m/>
    <s v="Void"/>
    <m/>
    <m/>
    <n v="0"/>
    <n v="0"/>
    <n v="0"/>
    <s v="REENA"/>
    <m/>
    <m/>
    <m/>
    <n v="1"/>
  </r>
  <r>
    <x v="20"/>
    <s v="24-0292"/>
    <x v="93"/>
    <s v="100235699400003"/>
    <s v="A4 Envelope"/>
    <n v="1190"/>
    <m/>
    <n v="1190"/>
    <n v="59.5"/>
    <n v="1249.5"/>
    <s v="REENA"/>
    <m/>
    <m/>
    <m/>
    <n v="1"/>
  </r>
  <r>
    <x v="20"/>
    <s v="24-0293"/>
    <x v="93"/>
    <s v="100235699400003"/>
    <s v="Business Cards"/>
    <n v="470"/>
    <m/>
    <n v="470"/>
    <n v="23.5"/>
    <n v="493.5"/>
    <s v="REENA"/>
    <m/>
    <m/>
    <m/>
    <n v="1"/>
  </r>
  <r>
    <x v="21"/>
    <s v="24-0294"/>
    <x v="95"/>
    <s v="-"/>
    <s v="3 fold Flyer"/>
    <n v="975"/>
    <m/>
    <n v="975"/>
    <n v="48.75"/>
    <n v="1023.75"/>
    <s v="REENA"/>
    <m/>
    <m/>
    <m/>
    <n v="1"/>
  </r>
  <r>
    <x v="6"/>
    <s v="24-0295"/>
    <x v="95"/>
    <s v="100430750800003"/>
    <s v="Business card"/>
    <n v="275"/>
    <m/>
    <n v="275"/>
    <n v="13.75"/>
    <n v="288.75"/>
    <s v="REENA"/>
    <m/>
    <m/>
    <m/>
    <n v="1"/>
  </r>
  <r>
    <x v="0"/>
    <s v="24-0296"/>
    <x v="96"/>
    <s v="100542487200003"/>
    <s v="JAS Board "/>
    <n v="875"/>
    <m/>
    <n v="875"/>
    <n v="43.75"/>
    <n v="918.75"/>
    <s v="REENA"/>
    <m/>
    <m/>
    <m/>
    <n v="1"/>
  </r>
  <r>
    <x v="0"/>
    <s v="24-0297"/>
    <x v="95"/>
    <s v="100542487200003"/>
    <s v="Business Card - DBS"/>
    <n v="105"/>
    <m/>
    <n v="105"/>
    <n v="5.25"/>
    <n v="110.25"/>
    <s v="REENA"/>
    <m/>
    <m/>
    <m/>
    <n v="1"/>
  </r>
  <r>
    <x v="0"/>
    <s v="24-0298"/>
    <x v="95"/>
    <s v="100542487200003"/>
    <s v="Canvas printing  - Jamil Azzam"/>
    <n v="540"/>
    <m/>
    <n v="540"/>
    <n v="27"/>
    <n v="567"/>
    <s v="REENA"/>
    <m/>
    <m/>
    <m/>
    <n v="1"/>
  </r>
  <r>
    <x v="17"/>
    <s v="24-0299"/>
    <x v="95"/>
    <s v="-"/>
    <s v="Business Cards"/>
    <n v="1145"/>
    <m/>
    <n v="1145"/>
    <n v="57.25"/>
    <n v="1202.25"/>
    <s v="REENA"/>
    <m/>
    <m/>
    <m/>
    <n v="1"/>
  </r>
  <r>
    <x v="15"/>
    <s v="24-0300"/>
    <x v="97"/>
    <s v="100399495900003"/>
    <s v="Business Cards"/>
    <n v="440"/>
    <m/>
    <n v="440"/>
    <n v="22"/>
    <n v="462"/>
    <s v="MARINELLE"/>
    <m/>
    <m/>
    <m/>
    <n v="1"/>
  </r>
  <r>
    <x v="37"/>
    <s v="24-0301"/>
    <x v="98"/>
    <s v="100249843200003 "/>
    <s v="Portrait Wooden Plaques with Box"/>
    <n v="178.2"/>
    <m/>
    <n v="178.2"/>
    <n v="8.91"/>
    <n v="187.10999999999999"/>
    <s v="MARINELLE"/>
    <m/>
    <m/>
    <m/>
    <n v="1"/>
  </r>
  <r>
    <x v="6"/>
    <s v="24-0302"/>
    <x v="98"/>
    <s v="100430750800003"/>
    <s v="Tote Bags, Sticker, A4 Flyer"/>
    <n v="5242.5"/>
    <m/>
    <n v="5242.5"/>
    <n v="262.125"/>
    <n v="5504.625"/>
    <s v="REENA"/>
    <m/>
    <m/>
    <m/>
    <n v="1"/>
  </r>
  <r>
    <x v="20"/>
    <s v="24-0303"/>
    <x v="98"/>
    <s v="100235699400003"/>
    <s v="Crystal Trophy"/>
    <n v="2250"/>
    <m/>
    <n v="2250"/>
    <n v="112.5"/>
    <n v="2362.5"/>
    <s v="REENA"/>
    <m/>
    <m/>
    <m/>
    <n v="1"/>
  </r>
  <r>
    <x v="3"/>
    <s v="24-0304"/>
    <x v="98"/>
    <s v="100032677500003"/>
    <s v="Business card"/>
    <n v="450"/>
    <m/>
    <n v="450"/>
    <n v="22.5"/>
    <n v="472.5"/>
    <s v="REENA"/>
    <m/>
    <m/>
    <m/>
    <n v="1"/>
  </r>
  <r>
    <x v="18"/>
    <s v="24-0305"/>
    <x v="97"/>
    <s v="100593105800003"/>
    <s v="A5 Flyer "/>
    <n v="1060"/>
    <m/>
    <n v="1060"/>
    <n v="53"/>
    <n v="1113"/>
    <s v="REENA"/>
    <m/>
    <m/>
    <m/>
    <n v="1"/>
  </r>
  <r>
    <x v="0"/>
    <s v="24-0306"/>
    <x v="99"/>
    <s v="100542487200003"/>
    <s v="Journal (DBSEH), Admission Card(DBSEH)"/>
    <n v="666.25"/>
    <m/>
    <n v="666.25"/>
    <n v="33.3125"/>
    <n v="699.5625"/>
    <s v="REENA"/>
    <m/>
    <m/>
    <m/>
    <n v="1"/>
  </r>
  <r>
    <x v="0"/>
    <s v="24-0307"/>
    <x v="99"/>
    <s v="100542487200003"/>
    <s v="Tshirts (Customized)"/>
    <n v="550"/>
    <m/>
    <n v="550"/>
    <n v="27.5"/>
    <n v="577.5"/>
    <s v="REENA"/>
    <m/>
    <m/>
    <m/>
    <n v="1"/>
  </r>
  <r>
    <x v="82"/>
    <s v="24-0308"/>
    <x v="98"/>
    <s v="100290916400003"/>
    <s v="Backpack - GSD 2024 Giveaway (GT KCT)"/>
    <n v="1240"/>
    <m/>
    <n v="1240"/>
    <n v="62"/>
    <n v="1302"/>
    <s v="MARINELLE"/>
    <m/>
    <m/>
    <m/>
    <n v="1"/>
  </r>
  <r>
    <x v="1"/>
    <s v="24-0309"/>
    <x v="100"/>
    <s v="104166051300003"/>
    <s v="Trophies and Hoodies"/>
    <n v="869"/>
    <m/>
    <n v="869"/>
    <n v="43.45"/>
    <n v="912.45"/>
    <s v="REENA"/>
    <m/>
    <m/>
    <m/>
    <n v="1"/>
  </r>
  <r>
    <x v="63"/>
    <s v="24-0310"/>
    <x v="100"/>
    <s v=" 100484375900003"/>
    <s v="Business Card"/>
    <n v="295"/>
    <m/>
    <n v="295"/>
    <n v="14.75"/>
    <n v="309.75"/>
    <s v="REENA"/>
    <m/>
    <m/>
    <m/>
    <n v="1"/>
  </r>
  <r>
    <x v="0"/>
    <s v="24-0311"/>
    <x v="101"/>
    <s v="100542487200003"/>
    <s v="JBS G12 Graduation Program 2024 Book"/>
    <n v="685.02"/>
    <m/>
    <n v="685.02"/>
    <n v="34.250999999999998"/>
    <n v="719.27099999999996"/>
    <s v="REENA"/>
    <m/>
    <m/>
    <m/>
    <n v="1"/>
  </r>
  <r>
    <x v="18"/>
    <s v="24-0312"/>
    <x v="98"/>
    <s v="100593105800003"/>
    <s v="Office Re-branding - PHASE II"/>
    <n v="2507"/>
    <m/>
    <n v="2507"/>
    <n v="125.35000000000001"/>
    <n v="2632.35"/>
    <s v="REENA"/>
    <m/>
    <m/>
    <m/>
    <n v="1"/>
  </r>
  <r>
    <x v="18"/>
    <s v="24-0313"/>
    <x v="98"/>
    <s v="100593105800003"/>
    <s v="Office Re-branding - PHASE II -8th Floor"/>
    <n v="5685"/>
    <m/>
    <n v="5685"/>
    <n v="284.25"/>
    <n v="5969.25"/>
    <s v="REENA"/>
    <m/>
    <m/>
    <m/>
    <n v="1"/>
  </r>
  <r>
    <x v="18"/>
    <s v="24-0314"/>
    <x v="100"/>
    <s v="100593105800003"/>
    <s v="20240508 - Sanji - Cassol - Aussizz - Al Tareeq"/>
    <n v="590"/>
    <m/>
    <n v="590"/>
    <n v="29.5"/>
    <n v="619.5"/>
    <s v="REENA"/>
    <m/>
    <m/>
    <m/>
    <n v="1"/>
  </r>
  <r>
    <x v="18"/>
    <s v="24-0315"/>
    <x v="98"/>
    <s v="100593105800003"/>
    <s v="Parking Permit"/>
    <n v="284.92"/>
    <m/>
    <n v="284.92"/>
    <n v="14.246000000000002"/>
    <n v="299.166"/>
    <s v="REENA"/>
    <m/>
    <m/>
    <m/>
    <n v="1"/>
  </r>
  <r>
    <x v="94"/>
    <s v="24-0316"/>
    <x v="101"/>
    <s v="100462479500003"/>
    <s v="A4 Sticker"/>
    <n v="195"/>
    <m/>
    <n v="195"/>
    <n v="9.75"/>
    <n v="204.75"/>
    <s v="REENA"/>
    <m/>
    <m/>
    <m/>
    <n v="1"/>
  </r>
  <r>
    <x v="6"/>
    <s v="24-0317"/>
    <x v="101"/>
    <s v="100430750800003"/>
    <s v="Business card"/>
    <n v="275"/>
    <m/>
    <n v="275"/>
    <n v="13.75"/>
    <n v="288.75"/>
    <s v="REENA"/>
    <m/>
    <m/>
    <m/>
    <n v="1"/>
  </r>
  <r>
    <x v="0"/>
    <s v="24-0318"/>
    <x v="102"/>
    <s v="100542487200003"/>
    <s v="Business card - FICHTE"/>
    <n v="420"/>
    <m/>
    <n v="420"/>
    <n v="21"/>
    <n v="441"/>
    <s v="REENA"/>
    <m/>
    <m/>
    <m/>
    <n v="1"/>
  </r>
  <r>
    <x v="0"/>
    <s v="24-0319"/>
    <x v="102"/>
    <s v="100542487200003"/>
    <s v="Raha School - Designing charges"/>
    <n v="350"/>
    <m/>
    <n v="350"/>
    <n v="17.5"/>
    <n v="367.5"/>
    <s v="REENA"/>
    <m/>
    <m/>
    <m/>
    <n v="1"/>
  </r>
  <r>
    <x v="16"/>
    <s v="24-0320"/>
    <x v="103"/>
    <s v="100293287700003"/>
    <s v="Recycled Notebook with Pen "/>
    <n v="1612.5"/>
    <m/>
    <n v="1612.5"/>
    <n v="80.625"/>
    <n v="1693.125"/>
    <s v="MARINELLE"/>
    <m/>
    <m/>
    <m/>
    <n v="1"/>
  </r>
  <r>
    <x v="5"/>
    <s v="24-0321"/>
    <x v="102"/>
    <s v="104037069200003"/>
    <s v="Business Cards"/>
    <n v="217.5"/>
    <m/>
    <n v="217.5"/>
    <n v="10.875"/>
    <n v="228.375"/>
    <s v="REENA"/>
    <m/>
    <m/>
    <m/>
    <n v="1"/>
  </r>
  <r>
    <x v="98"/>
    <s v="24-0322"/>
    <x v="102"/>
    <s v="100048520900003"/>
    <s v="Board Supplies done in May, 2024"/>
    <n v="210"/>
    <m/>
    <n v="210"/>
    <n v="10.5"/>
    <n v="220.5"/>
    <s v="REENA"/>
    <m/>
    <m/>
    <m/>
    <n v="1"/>
  </r>
  <r>
    <x v="99"/>
    <s v="24-0323"/>
    <x v="102"/>
    <s v="100048520900003"/>
    <s v="Board Supplies done in May, 2024"/>
    <n v="60"/>
    <m/>
    <n v="60"/>
    <n v="3"/>
    <n v="63"/>
    <s v="REENA"/>
    <m/>
    <m/>
    <m/>
    <n v="1"/>
  </r>
  <r>
    <x v="109"/>
    <s v="24-0324"/>
    <x v="102"/>
    <s v="-"/>
    <s v="Website Designing and Development"/>
    <n v="2000"/>
    <m/>
    <n v="2000"/>
    <n v="100"/>
    <n v="2100"/>
    <s v="REENA"/>
    <m/>
    <m/>
    <m/>
    <n v="1"/>
  </r>
  <r>
    <x v="54"/>
    <s v="24-0325"/>
    <x v="102"/>
    <s v="104061690400003"/>
    <s v="Polo Shirts - Kids"/>
    <n v="7425"/>
    <m/>
    <n v="7425"/>
    <n v="371.25"/>
    <n v="7796.25"/>
    <s v="MARINELLE"/>
    <m/>
    <m/>
    <m/>
    <n v="1"/>
  </r>
  <r>
    <x v="70"/>
    <s v="24-0326"/>
    <x v="103"/>
    <s v="100282822400003"/>
    <s v="Brochure - SRH International College,Brochures  ICN, Paper bag"/>
    <n v="1757.5"/>
    <m/>
    <n v="1757.5"/>
    <n v="87.875"/>
    <n v="1845.375"/>
    <s v="REENA"/>
    <m/>
    <m/>
    <m/>
    <n v="1"/>
  </r>
  <r>
    <x v="37"/>
    <s v="24-0327"/>
    <x v="103"/>
    <s v="100282822400003"/>
    <s v="Portrait Wooden Plaques with Box"/>
    <n v="356.4"/>
    <m/>
    <n v="356.4"/>
    <n v="17.82"/>
    <n v="374.21999999999997"/>
    <s v="MARINELLE"/>
    <m/>
    <m/>
    <m/>
    <n v="1"/>
  </r>
  <r>
    <x v="6"/>
    <s v="24-0328"/>
    <x v="103"/>
    <s v="100430750800003"/>
    <s v="Polo Shirt"/>
    <n v="124"/>
    <m/>
    <n v="124"/>
    <n v="6.2"/>
    <n v="130.19999999999999"/>
    <s v="REENA"/>
    <m/>
    <m/>
    <m/>
    <n v="1"/>
  </r>
  <r>
    <x v="18"/>
    <s v="24-0329"/>
    <x v="103"/>
    <s v="100593105800003"/>
    <s v="Booth branding (Shell scheme) - Designing charges"/>
    <n v="6020"/>
    <m/>
    <n v="6020"/>
    <n v="301"/>
    <n v="6321"/>
    <s v="REENA"/>
    <m/>
    <m/>
    <m/>
    <n v="1"/>
  </r>
  <r>
    <x v="18"/>
    <s v="24-0330"/>
    <x v="103"/>
    <s v="100593105800003"/>
    <s v="-"/>
    <s v="-"/>
    <m/>
    <s v="-"/>
    <s v="-"/>
    <s v="-"/>
    <s v="REENA"/>
    <m/>
    <m/>
    <m/>
    <n v="1"/>
  </r>
  <r>
    <x v="18"/>
    <s v="24-0331"/>
    <x v="103"/>
    <s v="100593105800003"/>
    <s v="Hoodie with zipper "/>
    <n v="381.25"/>
    <m/>
    <n v="381.25"/>
    <n v="19.0625"/>
    <n v="400.3125"/>
    <s v="REENA"/>
    <m/>
    <m/>
    <m/>
    <n v="1"/>
  </r>
  <r>
    <x v="18"/>
    <s v="24-0332"/>
    <x v="103"/>
    <s v="100593105800003"/>
    <s v="Dublin Training - Roll up - A3 Posters - Certificates"/>
    <n v="187.5"/>
    <m/>
    <n v="187.5"/>
    <n v="9.375"/>
    <n v="196.875"/>
    <s v="REENA"/>
    <m/>
    <m/>
    <m/>
    <n v="1"/>
  </r>
  <r>
    <x v="0"/>
    <s v="24-0333"/>
    <x v="103"/>
    <s v="100542487200003"/>
    <s v="Pop Up Banner"/>
    <n v="2550"/>
    <m/>
    <n v="2550"/>
    <n v="127.5"/>
    <n v="2677.5"/>
    <s v="REENA"/>
    <m/>
    <m/>
    <m/>
    <n v="1"/>
  </r>
  <r>
    <x v="36"/>
    <s v="24-0334"/>
    <x v="104"/>
    <s v="100349055200003"/>
    <s v="Balloons (Helium)"/>
    <n v="1233.75"/>
    <m/>
    <n v="1233.75"/>
    <n v="61.6875"/>
    <n v="1295.4375"/>
    <s v="MARINELLE"/>
    <m/>
    <m/>
    <m/>
    <n v="1"/>
  </r>
  <r>
    <x v="110"/>
    <s v="24-0335"/>
    <x v="105"/>
    <m/>
    <s v="Business Card"/>
    <n v="90"/>
    <m/>
    <n v="90"/>
    <n v="4.5"/>
    <n v="94.5"/>
    <s v="REENA"/>
    <m/>
    <m/>
    <m/>
    <n v="1"/>
  </r>
  <r>
    <x v="0"/>
    <s v="24-0336"/>
    <x v="106"/>
    <s v="100593105800003"/>
    <s v="A4 size, Total 16 pages"/>
    <n v="705"/>
    <m/>
    <n v="705"/>
    <n v="35.25"/>
    <n v="740.25"/>
    <s v="REENA"/>
    <m/>
    <m/>
    <m/>
    <n v="1"/>
  </r>
  <r>
    <x v="0"/>
    <s v="24-0337"/>
    <x v="106"/>
    <s v="100593105800003"/>
    <s v="Yearbook (Raha School)"/>
    <n v="18962.5"/>
    <m/>
    <n v="18962.5"/>
    <n v="948.125"/>
    <n v="19910.625"/>
    <s v="REENA"/>
    <m/>
    <m/>
    <m/>
    <n v="1"/>
  </r>
  <r>
    <x v="0"/>
    <s v="24-0338"/>
    <x v="106"/>
    <s v="100593105800003"/>
    <s v="A5 Notepad (Top Glue)"/>
    <n v="945"/>
    <m/>
    <n v="945"/>
    <n v="47.25"/>
    <n v="992.25"/>
    <s v="REENA"/>
    <m/>
    <m/>
    <m/>
    <n v="1"/>
  </r>
  <r>
    <x v="21"/>
    <s v="24-0339"/>
    <x v="106"/>
    <s v="-"/>
    <s v="3 fold flyer, Business card"/>
    <n v="2260"/>
    <m/>
    <n v="2260"/>
    <n v="113"/>
    <n v="2373"/>
    <s v="REENA"/>
    <m/>
    <m/>
    <m/>
    <n v="1"/>
  </r>
  <r>
    <x v="0"/>
    <s v="24-0340"/>
    <x v="106"/>
    <s v="100593105800003"/>
    <s v="Designing Charges - GIS year book, Designing Charges - UIS year book, "/>
    <n v="4000"/>
    <m/>
    <n v="4000"/>
    <n v="200"/>
    <n v="4200"/>
    <s v="REENA"/>
    <m/>
    <m/>
    <m/>
    <n v="1"/>
  </r>
  <r>
    <x v="20"/>
    <s v="24-0341"/>
    <x v="104"/>
    <s v="100235699400003"/>
    <s v="Access cards (Client supplied)"/>
    <n v="1311"/>
    <m/>
    <n v="1311"/>
    <n v="65.55"/>
    <n v="1376.55"/>
    <s v="REENA"/>
    <m/>
    <m/>
    <m/>
    <n v="1"/>
  </r>
  <r>
    <x v="37"/>
    <s v="24-0342"/>
    <x v="107"/>
    <s v="100249843200003"/>
    <s v="Ribbon with printing "/>
    <n v="358.75"/>
    <m/>
    <n v="358.75"/>
    <n v="17.9375"/>
    <n v="376.6875"/>
    <s v="MARINELLE"/>
    <m/>
    <m/>
    <m/>
    <n v="1"/>
  </r>
  <r>
    <x v="111"/>
    <s v="24-0342 A"/>
    <x v="108"/>
    <s v="100511338400003"/>
    <s v="Mug"/>
    <n v="367.5"/>
    <m/>
    <n v="367.5"/>
    <n v="18.375"/>
    <n v="385.875"/>
    <s v="REENA"/>
    <m/>
    <m/>
    <m/>
    <n v="1"/>
  </r>
  <r>
    <x v="1"/>
    <s v="24-0344"/>
    <x v="108"/>
    <s v="104166051300003"/>
    <s v="A4 Notepad (PECUNIA), Pen (Metal), A4 Pocket folder, A4 Notepad (PECUNIA)"/>
    <n v="1788"/>
    <m/>
    <n v="1788"/>
    <n v="89.4"/>
    <n v="1877.4"/>
    <s v="REENA"/>
    <m/>
    <m/>
    <m/>
    <n v="1"/>
  </r>
  <r>
    <x v="6"/>
    <s v="24-0345"/>
    <x v="109"/>
    <s v="100430750800003"/>
    <s v="Students Course Guide , Metal Pens, A4 Flyers , "/>
    <n v="9397.5"/>
    <m/>
    <n v="9397.5"/>
    <n v="469.875"/>
    <n v="9867.375"/>
    <s v="REENA"/>
    <m/>
    <m/>
    <m/>
    <n v="1"/>
  </r>
  <r>
    <x v="0"/>
    <s v="24-0346"/>
    <x v="107"/>
    <s v="100542487200003"/>
    <s v="Coloring Book"/>
    <n v="1345"/>
    <m/>
    <n v="1345"/>
    <n v="67.25"/>
    <n v="1412.25"/>
    <s v="REENA"/>
    <m/>
    <m/>
    <m/>
    <n v="1"/>
  </r>
  <r>
    <x v="0"/>
    <s v="24-0347"/>
    <x v="107"/>
    <s v="100542487200003"/>
    <s v="A5 prints- Taaleem"/>
    <n v="125"/>
    <m/>
    <n v="125"/>
    <n v="6.25"/>
    <n v="131.25"/>
    <s v="REENA"/>
    <m/>
    <m/>
    <m/>
    <n v="1"/>
  </r>
  <r>
    <x v="0"/>
    <s v="24-0348"/>
    <x v="107"/>
    <s v="100542487200003"/>
    <s v="Leaflet - GIS"/>
    <n v="925"/>
    <m/>
    <n v="925"/>
    <n v="46.25"/>
    <n v="971.25"/>
    <s v="REENA"/>
    <m/>
    <m/>
    <m/>
    <n v="1"/>
  </r>
  <r>
    <x v="10"/>
    <s v="24-0349"/>
    <x v="110"/>
    <s v="100540543400003"/>
    <s v="Patient Profile Books"/>
    <n v="1695"/>
    <m/>
    <n v="1695"/>
    <n v="84.75"/>
    <n v="1779.75"/>
    <s v="MARINELLE"/>
    <m/>
    <m/>
    <m/>
    <n v="1"/>
  </r>
  <r>
    <x v="0"/>
    <s v="24-0350"/>
    <x v="107"/>
    <s v="100542487200003"/>
    <s v="T-shirts"/>
    <n v="1344"/>
    <m/>
    <n v="1344"/>
    <n v="67.2"/>
    <n v="1411.2"/>
    <s v="REENA"/>
    <m/>
    <m/>
    <m/>
    <n v="1"/>
  </r>
  <r>
    <x v="20"/>
    <s v="24-0351"/>
    <x v="104"/>
    <s v="100235699400003"/>
    <s v="Business Cards"/>
    <n v="420"/>
    <m/>
    <n v="420"/>
    <n v="21"/>
    <n v="441"/>
    <s v="REENA"/>
    <m/>
    <m/>
    <m/>
    <n v="1"/>
  </r>
  <r>
    <x v="18"/>
    <s v="24-0352"/>
    <x v="110"/>
    <s v="100593105800003"/>
    <s v="IDP Business Cards"/>
    <n v="160"/>
    <m/>
    <n v="160"/>
    <n v="8"/>
    <n v="168"/>
    <s v="REENA"/>
    <m/>
    <m/>
    <m/>
    <n v="1"/>
  </r>
  <r>
    <x v="104"/>
    <s v="24-0353"/>
    <x v="111"/>
    <m/>
    <s v="Business Cards"/>
    <n v="768"/>
    <m/>
    <n v="768"/>
    <n v="38.400000000000006"/>
    <n v="806.4"/>
    <s v="MARINELLE"/>
    <m/>
    <m/>
    <m/>
    <n v="1"/>
  </r>
  <r>
    <x v="11"/>
    <s v="24-0354"/>
    <x v="111"/>
    <s v=" 100056728700003"/>
    <s v="Business Cards"/>
    <n v="375"/>
    <m/>
    <n v="375"/>
    <n v="18.75"/>
    <n v="393.75"/>
    <s v="MARINELLE"/>
    <m/>
    <m/>
    <m/>
    <n v="1"/>
  </r>
  <r>
    <x v="21"/>
    <s v="24-0355"/>
    <x v="111"/>
    <m/>
    <s v="Paper bag and Pennant"/>
    <n v="4185"/>
    <m/>
    <n v="4185"/>
    <n v="209.25"/>
    <n v="4394.25"/>
    <s v="REENA"/>
    <m/>
    <m/>
    <m/>
    <n v="1"/>
  </r>
  <r>
    <x v="55"/>
    <s v="24-0356"/>
    <x v="111"/>
    <s v="100433257100003"/>
    <s v="Stickers"/>
    <n v="389.75"/>
    <m/>
    <n v="389.75"/>
    <n v="19.487500000000001"/>
    <n v="409.23750000000001"/>
    <s v="MARINELLE"/>
    <m/>
    <m/>
    <m/>
    <n v="1"/>
  </r>
  <r>
    <x v="6"/>
    <s v="24-0357"/>
    <x v="111"/>
    <s v="100430750800003"/>
    <s v="Double Wall Vacuum Water bottle ,Eco-neutral A5 Cork Fabric Hard Cover Notebook and Pen Set-Red, Bookmark,Desk Calendar 2025"/>
    <n v="24010"/>
    <m/>
    <n v="24010"/>
    <n v="1200.5"/>
    <n v="25210.5"/>
    <s v="REENA"/>
    <m/>
    <m/>
    <m/>
    <n v="1"/>
  </r>
  <r>
    <x v="1"/>
    <s v="24-0358"/>
    <x v="111"/>
    <s v="104166051300003"/>
    <s v="Business cards"/>
    <n v="350"/>
    <m/>
    <n v="350"/>
    <n v="17.5"/>
    <n v="367.5"/>
    <s v="REENA"/>
    <m/>
    <m/>
    <m/>
    <n v="1"/>
  </r>
  <r>
    <x v="104"/>
    <s v="24-0359"/>
    <x v="112"/>
    <m/>
    <s v="Business cards"/>
    <n v="125"/>
    <m/>
    <n v="125"/>
    <n v="6.25"/>
    <n v="131.25"/>
    <s v="MARINELLE"/>
    <m/>
    <m/>
    <m/>
    <n v="1"/>
  </r>
  <r>
    <x v="112"/>
    <s v="24-0360"/>
    <x v="111"/>
    <s v="100536270000003"/>
    <s v="Notebooks"/>
    <n v="45667.08"/>
    <m/>
    <n v="45667.08"/>
    <n v="2283.3540000000003"/>
    <n v="47950.434000000001"/>
    <s v="MARINELLE"/>
    <m/>
    <m/>
    <m/>
    <n v="1"/>
  </r>
  <r>
    <x v="76"/>
    <s v="24-0361"/>
    <x v="111"/>
    <s v="104146932900003"/>
    <s v="Spiral Notebooks,Pen (Plastic), Water bottle, Mug with cork base with lid, Jute Bag "/>
    <n v="5935"/>
    <m/>
    <n v="5935"/>
    <n v="296.75"/>
    <n v="6231.75"/>
    <s v="REENA"/>
    <m/>
    <m/>
    <m/>
    <n v="1"/>
  </r>
  <r>
    <x v="70"/>
    <s v="24-0362"/>
    <x v="112"/>
    <s v="100282822400003"/>
    <s v="Wall Sticker - Phone bhooth"/>
    <n v="1325"/>
    <m/>
    <n v="1325"/>
    <n v="66.25"/>
    <n v="1391.25"/>
    <s v="REENA"/>
    <m/>
    <m/>
    <m/>
    <n v="1"/>
  </r>
  <r>
    <x v="113"/>
    <s v="24-0363"/>
    <x v="112"/>
    <s v="100212272700003"/>
    <s v="Membership Directory 2025-26"/>
    <n v="39130"/>
    <m/>
    <n v="39130"/>
    <n v="1956.5"/>
    <n v="41086.5"/>
    <s v="PROFORMA"/>
    <m/>
    <m/>
    <m/>
    <n v="1"/>
  </r>
  <r>
    <x v="0"/>
    <s v="24-0364"/>
    <x v="112"/>
    <s v=" 100542487200003"/>
    <s v="Brochure - (DBSEH)"/>
    <n v="15956.5"/>
    <m/>
    <n v="15956.5"/>
    <n v="797.82500000000005"/>
    <n v="16754.325000000001"/>
    <s v="REENA"/>
    <m/>
    <m/>
    <m/>
    <n v="1"/>
  </r>
  <r>
    <x v="51"/>
    <s v="24-0365"/>
    <x v="112"/>
    <s v="100377505100003"/>
    <s v="Santhome Round Neck Tshirt (Premium) "/>
    <n v="1790"/>
    <m/>
    <n v="1790"/>
    <n v="89.5"/>
    <n v="1879.5"/>
    <s v="REENA"/>
    <m/>
    <m/>
    <m/>
    <n v="1"/>
  </r>
  <r>
    <x v="72"/>
    <s v="24-0366"/>
    <x v="113"/>
    <m/>
    <s v="Flyer "/>
    <n v="735"/>
    <m/>
    <n v="735"/>
    <n v="36.75"/>
    <n v="771.75"/>
    <s v="REENA"/>
    <m/>
    <m/>
    <m/>
    <n v="1"/>
  </r>
  <r>
    <x v="91"/>
    <s v="24-0367"/>
    <x v="114"/>
    <s v="100386934200003"/>
    <s v="Polo Shirts"/>
    <n v="4000"/>
    <m/>
    <n v="4000"/>
    <n v="200"/>
    <n v="4200"/>
    <s v="MARINELLE"/>
    <m/>
    <m/>
    <m/>
    <n v="1"/>
  </r>
  <r>
    <x v="0"/>
    <s v="24-0368"/>
    <x v="114"/>
    <s v=" 100542487200003"/>
    <s v="A5 Notepad (top glue)  Taaleem"/>
    <n v="1685"/>
    <m/>
    <n v="1685"/>
    <n v="84.25"/>
    <n v="1769.25"/>
    <s v="REENA"/>
    <m/>
    <m/>
    <m/>
    <n v="1"/>
  </r>
  <r>
    <x v="0"/>
    <s v="24-0369"/>
    <x v="114"/>
    <s v=" 100542487200003"/>
    <s v="Flyer – Dubai School"/>
    <n v="575"/>
    <m/>
    <n v="575"/>
    <n v="28.75"/>
    <n v="603.75"/>
    <s v="REENA"/>
    <m/>
    <m/>
    <m/>
    <n v="1"/>
  </r>
  <r>
    <x v="44"/>
    <s v="24-0370"/>
    <x v="114"/>
    <s v="100533217400003"/>
    <s v="Staff ID Card priting, Lanyard (Ready made) "/>
    <n v="210"/>
    <m/>
    <n v="210"/>
    <n v="10.5"/>
    <n v="220.5"/>
    <s v="REENA"/>
    <m/>
    <m/>
    <m/>
    <n v="1"/>
  </r>
  <r>
    <x v="80"/>
    <s v="24-0371"/>
    <x v="113"/>
    <s v="100267612800003"/>
    <s v="VIP Magnetic cord  lanyard"/>
    <n v="1263.5"/>
    <m/>
    <n v="1263.5"/>
    <n v="63.175000000000004"/>
    <n v="1326.675"/>
    <s v="MARINELLE"/>
    <m/>
    <m/>
    <m/>
    <n v="1"/>
  </r>
  <r>
    <x v="0"/>
    <s v="24-0372"/>
    <x v="115"/>
    <s v="100542487200003"/>
    <s v="Brochure - 7 fold JBS"/>
    <n v="3540"/>
    <m/>
    <n v="3540"/>
    <n v="177"/>
    <n v="3717"/>
    <s v="REENA"/>
    <m/>
    <m/>
    <m/>
    <n v="1"/>
  </r>
  <r>
    <x v="0"/>
    <s v="24-0373"/>
    <x v="116"/>
    <s v="100542487200003"/>
    <s v="Flags &amp; Banners (GIS)"/>
    <n v="450"/>
    <m/>
    <n v="450"/>
    <n v="22.5"/>
    <n v="472.5"/>
    <s v="REENA"/>
    <m/>
    <m/>
    <m/>
    <n v="1"/>
  </r>
  <r>
    <x v="114"/>
    <s v="24-0374"/>
    <x v="116"/>
    <m/>
    <s v="Cotton tote bag, Cork base Mug"/>
    <n v="1875"/>
    <m/>
    <n v="1875"/>
    <n v="93.75"/>
    <n v="1968.75"/>
    <s v="REENA"/>
    <m/>
    <m/>
    <m/>
    <n v="1"/>
  </r>
  <r>
    <x v="0"/>
    <s v="24-0375"/>
    <x v="117"/>
    <s v="100542487200003"/>
    <s v="Year Book -GIS"/>
    <n v="12576"/>
    <m/>
    <n v="12576"/>
    <n v="628.80000000000007"/>
    <n v="13204.8"/>
    <s v="REENA"/>
    <m/>
    <m/>
    <m/>
    <n v="1"/>
  </r>
  <r>
    <x v="15"/>
    <s v="24-0376"/>
    <x v="116"/>
    <s v="100399495900003"/>
    <s v="Business Card"/>
    <n v="285"/>
    <m/>
    <n v="285"/>
    <n v="14.25"/>
    <n v="299.25"/>
    <s v="MARINELLE"/>
    <m/>
    <m/>
    <m/>
    <n v="1"/>
  </r>
  <r>
    <x v="115"/>
    <s v="24-0377"/>
    <x v="115"/>
    <s v="100596449700003"/>
    <s v="Business card"/>
    <n v="285"/>
    <m/>
    <n v="285"/>
    <n v="14.25"/>
    <n v="299.25"/>
    <s v="BNI"/>
    <m/>
    <m/>
    <m/>
    <n v="1"/>
  </r>
  <r>
    <x v="6"/>
    <s v="24-0378"/>
    <x v="116"/>
    <s v="100430750800003"/>
    <s v="Business card"/>
    <n v="275"/>
    <m/>
    <n v="275"/>
    <n v="13.75"/>
    <n v="288.75"/>
    <s v="REENA"/>
    <m/>
    <m/>
    <m/>
    <n v="1"/>
  </r>
  <r>
    <x v="51"/>
    <s v="24-0379"/>
    <x v="115"/>
    <s v="100377505100003"/>
    <s v="Change of Fabric for Backdrop &amp; Flag"/>
    <n v="1296"/>
    <m/>
    <n v="1296"/>
    <n v="64.8"/>
    <n v="1360.8"/>
    <s v="REENA"/>
    <m/>
    <m/>
    <m/>
    <n v="1"/>
  </r>
  <r>
    <x v="116"/>
    <s v="24-0380"/>
    <x v="118"/>
    <m/>
    <s v="Office signage "/>
    <n v="425"/>
    <m/>
    <n v="425"/>
    <n v="21.25"/>
    <n v="446.25"/>
    <s v="REENA"/>
    <m/>
    <m/>
    <m/>
    <n v="1"/>
  </r>
  <r>
    <x v="80"/>
    <s v="24-0381"/>
    <x v="118"/>
    <n v="100267612800003"/>
    <s v="A4 Paper Bag - Vertical"/>
    <n v="2125"/>
    <m/>
    <n v="2125"/>
    <n v="106.25"/>
    <n v="2231.25"/>
    <s v="MARINELLE"/>
    <m/>
    <m/>
    <m/>
    <n v="1"/>
  </r>
  <r>
    <x v="17"/>
    <s v="24-0382"/>
    <x v="118"/>
    <m/>
    <s v="Directory signage, Mr. Selvam's office wall branding, Entrance Glass door branding, Rollup "/>
    <n v="820"/>
    <m/>
    <n v="820"/>
    <n v="41"/>
    <n v="861"/>
    <s v="REENA"/>
    <m/>
    <m/>
    <m/>
    <n v="1"/>
  </r>
  <r>
    <x v="11"/>
    <s v="24-0383"/>
    <x v="116"/>
    <s v="100056728700003"/>
    <s v="Business card"/>
    <n v="495"/>
    <m/>
    <n v="495"/>
    <n v="24.75"/>
    <n v="519.75"/>
    <s v="MARINELLE"/>
    <m/>
    <m/>
    <m/>
    <n v="1"/>
  </r>
  <r>
    <x v="98"/>
    <s v="24-0384"/>
    <x v="118"/>
    <s v="100048520900003"/>
    <s v="Sticker on supplied board "/>
    <n v="60"/>
    <m/>
    <n v="60"/>
    <n v="3"/>
    <n v="63"/>
    <s v="REENA"/>
    <m/>
    <m/>
    <m/>
    <n v="1"/>
  </r>
  <r>
    <x v="99"/>
    <s v="24-0385"/>
    <x v="118"/>
    <s v="100048520900003"/>
    <s v="Sticker on supplied board "/>
    <n v="30"/>
    <m/>
    <n v="30"/>
    <n v="1.5"/>
    <n v="31.5"/>
    <s v="REENA"/>
    <m/>
    <m/>
    <m/>
    <n v="1"/>
  </r>
  <r>
    <x v="96"/>
    <s v="24-0386"/>
    <x v="119"/>
    <s v="100556794400003"/>
    <s v="Business Card - PERI"/>
    <n v="459.52"/>
    <m/>
    <n v="459.52"/>
    <n v="22.975999999999999"/>
    <n v="482.49599999999998"/>
    <s v="REENA"/>
    <m/>
    <m/>
    <m/>
    <n v="1"/>
  </r>
  <r>
    <x v="10"/>
    <s v="24-0387"/>
    <x v="118"/>
    <s v=" 100540543400003"/>
    <s v="Medical Complaints &amp; History Cards"/>
    <n v="8375"/>
    <m/>
    <n v="8375"/>
    <n v="418.75"/>
    <n v="8793.75"/>
    <s v="MARINELLE"/>
    <m/>
    <m/>
    <m/>
    <n v="1"/>
  </r>
  <r>
    <x v="117"/>
    <s v="24-0388"/>
    <x v="116"/>
    <s v="100347786400003"/>
    <s v="Diary - TWIN NOTE, Metal Pen , Name board, Tissue box with tissues , A4 Certificate Holder, Pocket folder , PU Leather Holder, Notepad (top glue), Tea Coaster , Shopping Paper Bag"/>
    <n v="10930"/>
    <m/>
    <n v="10930"/>
    <n v="546.5"/>
    <n v="11476.5"/>
    <s v="MARINELLE"/>
    <m/>
    <m/>
    <m/>
    <n v="1"/>
  </r>
  <r>
    <x v="118"/>
    <s v="24-0389"/>
    <x v="116"/>
    <s v="100035896800003"/>
    <s v="Business Card"/>
    <n v="235"/>
    <m/>
    <n v="235"/>
    <n v="11.75"/>
    <n v="246.75"/>
    <s v="MARINELLE"/>
    <m/>
    <m/>
    <m/>
    <n v="1"/>
  </r>
  <r>
    <x v="0"/>
    <s v="24-0390"/>
    <x v="118"/>
    <s v="'100542487200003"/>
    <s v="Instagram frames - DBSJ , Star stickers"/>
    <n v="565"/>
    <m/>
    <n v="565"/>
    <n v="28.25"/>
    <n v="593.25"/>
    <s v="REENA"/>
    <m/>
    <m/>
    <m/>
    <n v="1"/>
  </r>
  <r>
    <x v="80"/>
    <s v="24-0391"/>
    <x v="116"/>
    <s v="100267612800003"/>
    <s v="Metal Pen, Twin Note Book , "/>
    <n v="20950"/>
    <m/>
    <n v="20950"/>
    <n v="1047.5"/>
    <n v="21997.5"/>
    <s v="MARINELLE"/>
    <m/>
    <m/>
    <m/>
    <n v="1"/>
  </r>
  <r>
    <x v="117"/>
    <s v="24-0392"/>
    <x v="116"/>
    <s v="100347786400003"/>
    <s v="Name board"/>
    <n v="212.25"/>
    <m/>
    <n v="212.25"/>
    <n v="10.612500000000001"/>
    <n v="222.86250000000001"/>
    <s v="MARINELLE"/>
    <m/>
    <m/>
    <m/>
    <n v="1"/>
  </r>
  <r>
    <x v="119"/>
    <s v="24-0393"/>
    <x v="116"/>
    <s v="100241312600003"/>
    <s v="Rollups, Signage"/>
    <n v="0"/>
    <m/>
    <n v="0"/>
    <n v="0"/>
    <n v="0"/>
    <s v="GAGANDEEP"/>
    <m/>
    <m/>
    <m/>
    <n v="1"/>
  </r>
  <r>
    <x v="0"/>
    <s v="24-0394"/>
    <x v="119"/>
    <s v="100542487200003"/>
    <s v="Yearbook (UIS)"/>
    <n v="11212.5"/>
    <m/>
    <n v="11212.5"/>
    <n v="560.625"/>
    <n v="11773.125"/>
    <s v="REENA"/>
    <m/>
    <m/>
    <m/>
    <n v="1"/>
  </r>
  <r>
    <x v="114"/>
    <s v="24-0395"/>
    <x v="116"/>
    <m/>
    <s v="Rollups, Lanyard"/>
    <n v="2642.5"/>
    <m/>
    <n v="2642.5"/>
    <n v="132.125"/>
    <n v="2774.625"/>
    <s v="REENA"/>
    <m/>
    <m/>
    <m/>
    <n v="1"/>
  </r>
  <r>
    <x v="0"/>
    <s v="24-0396"/>
    <x v="119"/>
    <s v="100542487200003"/>
    <s v="Year Book -GIS"/>
    <n v="491.25"/>
    <m/>
    <n v="491.25"/>
    <n v="24.5625"/>
    <n v="515.8125"/>
    <s v="REENA"/>
    <m/>
    <m/>
    <m/>
    <n v="1"/>
  </r>
  <r>
    <x v="68"/>
    <s v="24-0397"/>
    <x v="116"/>
    <s v=" 100566746200003"/>
    <s v="Website Designing and Development "/>
    <n v="485"/>
    <m/>
    <n v="485"/>
    <n v="24.25"/>
    <n v="509.25"/>
    <s v="MARINELLE"/>
    <m/>
    <m/>
    <m/>
    <n v="1"/>
  </r>
  <r>
    <x v="0"/>
    <s v="24-0398"/>
    <x v="119"/>
    <s v="100542487200003"/>
    <s v="Business Cards and Letterhead"/>
    <n v="1225"/>
    <m/>
    <n v="1225"/>
    <n v="61.25"/>
    <n v="1286.25"/>
    <s v="REENA"/>
    <m/>
    <m/>
    <m/>
    <n v="1"/>
  </r>
  <r>
    <x v="120"/>
    <s v="24-0399"/>
    <x v="119"/>
    <m/>
    <s v="Card +Envelope"/>
    <n v="714.29"/>
    <m/>
    <n v="714.29"/>
    <n v="35.714500000000001"/>
    <n v="750.00450000000001"/>
    <s v="BNI"/>
    <m/>
    <m/>
    <m/>
    <n v="1"/>
  </r>
  <r>
    <x v="76"/>
    <s v="24-0400"/>
    <x v="120"/>
    <s v=" 104146932900003"/>
    <s v="Gift tag with die cut"/>
    <n v="485"/>
    <m/>
    <n v="485"/>
    <n v="24.25"/>
    <n v="509.25"/>
    <s v="REENA"/>
    <m/>
    <m/>
    <m/>
    <n v="1"/>
  </r>
  <r>
    <x v="21"/>
    <s v="24-0401"/>
    <x v="120"/>
    <m/>
    <s v="Table Cloth-Trinity College Dublin"/>
    <n v="275"/>
    <m/>
    <n v="275"/>
    <n v="13.75"/>
    <n v="288.75"/>
    <s v="REENA"/>
    <m/>
    <m/>
    <m/>
    <n v="1"/>
  </r>
  <r>
    <x v="121"/>
    <s v="24-0402"/>
    <x v="121"/>
    <m/>
    <s v="Water Dispenser cover"/>
    <n v="200"/>
    <m/>
    <n v="200"/>
    <n v="10"/>
    <n v="210"/>
    <s v="REENA"/>
    <m/>
    <m/>
    <m/>
    <n v="1"/>
  </r>
  <r>
    <x v="122"/>
    <s v="24-0403"/>
    <x v="121"/>
    <m/>
    <s v="Mug"/>
    <n v="1243.75"/>
    <m/>
    <n v="1243.75"/>
    <n v="62.1875"/>
    <n v="1305.9375"/>
    <s v="MARINELLE"/>
    <m/>
    <m/>
    <m/>
    <n v="1"/>
  </r>
  <r>
    <x v="104"/>
    <s v="24-0404"/>
    <x v="120"/>
    <m/>
    <s v="Business Card"/>
    <n v="175"/>
    <m/>
    <n v="175"/>
    <n v="8.75"/>
    <n v="183.75"/>
    <s v="MARINELLE"/>
    <m/>
    <m/>
    <m/>
    <n v="1"/>
  </r>
  <r>
    <x v="123"/>
    <s v="24-0405"/>
    <x v="122"/>
    <s v=" 100272379700003"/>
    <s v="Executive Formal Shirts (Long sleeves)"/>
    <n v="2800"/>
    <m/>
    <n v="2800"/>
    <n v="140"/>
    <n v="2940"/>
    <s v="MARINELLE"/>
    <m/>
    <m/>
    <m/>
    <n v="1"/>
  </r>
  <r>
    <x v="0"/>
    <s v="24-0406"/>
    <x v="120"/>
    <s v="100542487200003"/>
    <s v="A5 Booklet – DBSEH "/>
    <n v="1675"/>
    <m/>
    <n v="1675"/>
    <n v="83.75"/>
    <n v="1758.75"/>
    <s v="REENA"/>
    <m/>
    <m/>
    <m/>
    <n v="1"/>
  </r>
  <r>
    <x v="11"/>
    <s v="24-0407"/>
    <x v="123"/>
    <s v="100056728700003"/>
    <s v="Business Card"/>
    <n v="435"/>
    <m/>
    <n v="435"/>
    <n v="21.75"/>
    <n v="456.75"/>
    <s v="MARINELLE"/>
    <m/>
    <m/>
    <m/>
    <n v="1"/>
  </r>
  <r>
    <x v="13"/>
    <s v="24-0408"/>
    <x v="123"/>
    <s v="100567483100003"/>
    <s v="Roll Up banner"/>
    <n v="700"/>
    <m/>
    <n v="700"/>
    <n v="35"/>
    <n v="735"/>
    <s v="MARINELLE"/>
    <m/>
    <m/>
    <m/>
    <n v="1"/>
  </r>
  <r>
    <x v="124"/>
    <s v="24-0409"/>
    <x v="122"/>
    <s v="100279643900003"/>
    <s v="Certificate"/>
    <n v="1803.75"/>
    <m/>
    <n v="1803.75"/>
    <n v="90.1875"/>
    <n v="1893.9375"/>
    <s v="REENA"/>
    <m/>
    <m/>
    <m/>
    <n v="1"/>
  </r>
  <r>
    <x v="6"/>
    <s v="24-0410"/>
    <x v="122"/>
    <s v="100430750800003"/>
    <s v="Sports bibs"/>
    <n v="702"/>
    <m/>
    <n v="702"/>
    <n v="35.1"/>
    <n v="737.1"/>
    <s v="REENA"/>
    <m/>
    <m/>
    <m/>
    <n v="1"/>
  </r>
  <r>
    <x v="20"/>
    <s v="24-0411"/>
    <x v="122"/>
    <s v="100235699400003"/>
    <s v="Business Cards"/>
    <n v="470"/>
    <m/>
    <n v="470"/>
    <n v="23.5"/>
    <n v="493.5"/>
    <s v="REENA"/>
    <m/>
    <m/>
    <m/>
    <n v="1"/>
  </r>
  <r>
    <x v="125"/>
    <s v="24-0412"/>
    <x v="122"/>
    <s v=" 100444367500003"/>
    <s v="Polo Shirt"/>
    <n v="2032.5"/>
    <m/>
    <n v="2032.5"/>
    <n v="101.625"/>
    <n v="2134.125"/>
    <s v="MARINELLE"/>
    <m/>
    <m/>
    <m/>
    <n v="1"/>
  </r>
  <r>
    <x v="20"/>
    <s v="24-0413"/>
    <x v="122"/>
    <s v="100235699400003"/>
    <s v="A5 Envelope"/>
    <n v="575"/>
    <m/>
    <n v="575"/>
    <n v="28.75"/>
    <n v="603.75"/>
    <s v="REENA"/>
    <m/>
    <m/>
    <m/>
    <n v="1"/>
  </r>
  <r>
    <x v="52"/>
    <s v="24-0414"/>
    <x v="123"/>
    <m/>
    <s v="Designing charges, Designing charges - 6 months"/>
    <n v="2250"/>
    <m/>
    <n v="2250"/>
    <n v="112.5"/>
    <n v="2362.5"/>
    <s v="MARINELLE"/>
    <m/>
    <m/>
    <m/>
    <n v="1"/>
  </r>
  <r>
    <x v="0"/>
    <s v="24-0415"/>
    <x v="124"/>
    <m/>
    <s v="A5 Notepad (top glue)  Taaleem"/>
    <n v="475"/>
    <m/>
    <n v="475"/>
    <n v="23.75"/>
    <n v="498.75"/>
    <s v="REENA"/>
    <m/>
    <m/>
    <m/>
    <n v="1"/>
  </r>
  <r>
    <x v="1"/>
    <s v="24-0416"/>
    <x v="125"/>
    <s v="104166051300003"/>
    <s v="Business card "/>
    <n v="725"/>
    <m/>
    <n v="725"/>
    <n v="36.25"/>
    <n v="761.25"/>
    <s v="REENA"/>
    <m/>
    <m/>
    <m/>
    <n v="1"/>
  </r>
  <r>
    <x v="6"/>
    <s v="24-0417"/>
    <x v="126"/>
    <s v=" 100430750800003"/>
    <s v="Business card "/>
    <n v="275"/>
    <m/>
    <n v="275"/>
    <n v="13.75"/>
    <n v="288.75"/>
    <s v="REENA"/>
    <m/>
    <m/>
    <m/>
    <n v="1"/>
  </r>
  <r>
    <x v="18"/>
    <s v="24-0418"/>
    <x v="124"/>
    <s v="100593105800003"/>
    <s v="Rollup,  Agenda card , Table Tent , Name badges , Certificate , Wide Flame Crystal Awards, Table tent ,  Recycled Bluetooth Speaker, A5 Cue Cards"/>
    <n v="3623"/>
    <m/>
    <n v="3623"/>
    <n v="181.15"/>
    <n v="3804.15"/>
    <s v="REENA"/>
    <m/>
    <m/>
    <m/>
    <n v="1"/>
  </r>
  <r>
    <x v="126"/>
    <s v="24-0419"/>
    <x v="124"/>
    <s v=" 100361059700003"/>
    <s v="Polo Shirt"/>
    <n v="1195"/>
    <m/>
    <n v="1195"/>
    <n v="59.75"/>
    <n v="1254.75"/>
    <s v="MARINELLE"/>
    <m/>
    <m/>
    <m/>
    <n v="1"/>
  </r>
  <r>
    <x v="104"/>
    <s v="24-0420"/>
    <x v="125"/>
    <s v=""/>
    <s v="Business Card"/>
    <n v="525"/>
    <m/>
    <n v="525"/>
    <n v="26.25"/>
    <n v="551.25"/>
    <s v="MARINELLE"/>
    <m/>
    <m/>
    <m/>
    <n v="1"/>
  </r>
  <r>
    <x v="52"/>
    <s v="24-0421"/>
    <x v="125"/>
    <m/>
    <s v="Business Card"/>
    <n v="185"/>
    <m/>
    <n v="185"/>
    <n v="9.25"/>
    <n v="194.25"/>
    <s v="MARINELLE"/>
    <m/>
    <m/>
    <m/>
    <n v="1"/>
  </r>
  <r>
    <x v="127"/>
    <s v="24-0422"/>
    <x v="125"/>
    <m/>
    <s v="Door Branding"/>
    <n v="625"/>
    <m/>
    <n v="625"/>
    <n v="31.25"/>
    <n v="656.25"/>
    <s v="MARINELLE"/>
    <m/>
    <m/>
    <m/>
    <n v="1"/>
  </r>
  <r>
    <x v="128"/>
    <s v="24-0423"/>
    <x v="127"/>
    <m/>
    <s v="Business cards"/>
    <n v="565"/>
    <m/>
    <n v="565"/>
    <n v="28.25"/>
    <n v="593.25"/>
    <s v="REENA"/>
    <m/>
    <m/>
    <m/>
    <n v="1"/>
  </r>
  <r>
    <x v="129"/>
    <s v="24-0424"/>
    <x v="125"/>
    <s v="100386329500003"/>
    <s v="Ducon ODL Concept Brochure"/>
    <n v="17900"/>
    <m/>
    <n v="17900"/>
    <n v="895"/>
    <n v="18795"/>
    <s v="MARINELLE"/>
    <m/>
    <m/>
    <m/>
    <n v="1"/>
  </r>
  <r>
    <x v="46"/>
    <s v="24-0425"/>
    <x v="125"/>
    <s v="100279643900003"/>
    <s v="ID card ,  ID card holder (men), Reel badge (Male), Lanyard (Ready made) (female), "/>
    <n v="1933.5"/>
    <m/>
    <n v="1933.5"/>
    <n v="96.675000000000011"/>
    <n v="2030.175"/>
    <s v="REENA"/>
    <m/>
    <m/>
    <m/>
    <n v="1"/>
  </r>
  <r>
    <x v="68"/>
    <s v="24-0426"/>
    <x v="125"/>
    <s v="100566746200003"/>
    <s v="Letterhead"/>
    <n v="287.5"/>
    <m/>
    <n v="287.5"/>
    <n v="14.375"/>
    <n v="301.875"/>
    <s v="MARINELLE"/>
    <m/>
    <m/>
    <m/>
    <n v="1"/>
  </r>
  <r>
    <x v="29"/>
    <s v="24-0427"/>
    <x v="125"/>
    <s v=" 100494671900003"/>
    <s v="Letterhead"/>
    <n v="287.5"/>
    <m/>
    <n v="287.5"/>
    <n v="14.375"/>
    <n v="301.875"/>
    <s v="MARINELLE"/>
    <m/>
    <m/>
    <m/>
    <n v="1"/>
  </r>
  <r>
    <x v="12"/>
    <s v="24-0428"/>
    <x v="128"/>
    <s v="100482284500003"/>
    <s v="Brochure folder ,Non woven bag (Horizontal) "/>
    <n v="3210"/>
    <m/>
    <n v="3210"/>
    <n v="160.5"/>
    <n v="3370.5"/>
    <s v="REENA"/>
    <m/>
    <m/>
    <m/>
    <n v="1"/>
  </r>
  <r>
    <x v="130"/>
    <s v="24-0429"/>
    <x v="126"/>
    <s v="100595462100003"/>
    <s v="Coverall "/>
    <n v="2750"/>
    <m/>
    <n v="2750"/>
    <n v="137.5"/>
    <n v="2887.5"/>
    <s v="MARINELLE"/>
    <m/>
    <m/>
    <m/>
    <n v="1"/>
  </r>
  <r>
    <x v="65"/>
    <s v="24-0430"/>
    <x v="129"/>
    <s v="100246622300003"/>
    <s v="Paper bags "/>
    <n v="1395"/>
    <m/>
    <n v="1395"/>
    <n v="69.75"/>
    <n v="1464.75"/>
    <s v="REENA"/>
    <m/>
    <m/>
    <m/>
    <n v="1"/>
  </r>
  <r>
    <x v="37"/>
    <s v="24-0431"/>
    <x v="130"/>
    <s v="100249843200003"/>
    <s v="Non Woven Bag, Lanyard (Customized) "/>
    <n v="14110"/>
    <m/>
    <n v="14110"/>
    <n v="705.5"/>
    <n v="14815.5"/>
    <s v="MARINELLE"/>
    <m/>
    <m/>
    <m/>
    <n v="1"/>
  </r>
  <r>
    <x v="20"/>
    <s v="24-0432"/>
    <x v="131"/>
    <s v="100235699400003"/>
    <s v="Access cards (Client supplied)"/>
    <n v="624"/>
    <m/>
    <n v="624"/>
    <n v="31.200000000000003"/>
    <n v="655.20000000000005"/>
    <s v="REENA"/>
    <m/>
    <m/>
    <m/>
    <n v="1"/>
  </r>
  <r>
    <x v="0"/>
    <s v="24-0433"/>
    <x v="129"/>
    <s v="100542487200003"/>
    <s v="Rollups - Al Ghad Nursery - Abu Dhabi, Spiral Notebook (side spiral)"/>
    <n v="1765"/>
    <m/>
    <n v="1765"/>
    <n v="88.25"/>
    <n v="1853.25"/>
    <s v="REENA"/>
    <m/>
    <m/>
    <m/>
    <n v="1"/>
  </r>
  <r>
    <x v="63"/>
    <s v="24-0434"/>
    <x v="129"/>
    <s v="100484375900003"/>
    <s v="Business Card"/>
    <n v="125"/>
    <m/>
    <n v="125"/>
    <n v="6.25"/>
    <n v="131.25"/>
    <s v="REENA"/>
    <m/>
    <m/>
    <m/>
    <n v="1"/>
  </r>
  <r>
    <x v="0"/>
    <s v="24-0435"/>
    <x v="131"/>
    <s v=" 100542487200003"/>
    <s v="UAE Flag - ESE – Dubai| Al Maktoum Primary School,  UAE Flag"/>
    <n v="3964"/>
    <m/>
    <n v="3964"/>
    <n v="198.20000000000002"/>
    <n v="4162.2"/>
    <s v="REENA"/>
    <m/>
    <m/>
    <m/>
    <n v="1"/>
  </r>
  <r>
    <x v="18"/>
    <s v="24-0436"/>
    <x v="128"/>
    <s v="100593105800003"/>
    <s v="Roll up, A3 Posters, Certificates"/>
    <n v="222"/>
    <m/>
    <n v="222"/>
    <n v="11.100000000000001"/>
    <n v="233.1"/>
    <s v="REENA"/>
    <m/>
    <m/>
    <m/>
    <n v="1"/>
  </r>
  <r>
    <x v="0"/>
    <s v="24-0437"/>
    <x v="131"/>
    <s v=" 100542487200003"/>
    <s v="Business cards (Taaleem)"/>
    <n v="275"/>
    <m/>
    <n v="275"/>
    <n v="13.75"/>
    <n v="288.75"/>
    <s v="REENA"/>
    <m/>
    <m/>
    <m/>
    <n v="1"/>
  </r>
  <r>
    <x v="131"/>
    <s v="24-0438"/>
    <x v="129"/>
    <s v="100548855400003"/>
    <s v="Rubber stamp"/>
    <n v="80"/>
    <m/>
    <n v="80"/>
    <n v="4"/>
    <n v="84"/>
    <s v="BNI"/>
    <m/>
    <m/>
    <m/>
    <n v="1"/>
  </r>
  <r>
    <x v="0"/>
    <s v="24-0439"/>
    <x v="129"/>
    <s v=" 100542487200003"/>
    <s v="Rock Painting Kit"/>
    <n v="1750"/>
    <m/>
    <n v="1750"/>
    <n v="87.5"/>
    <n v="1837.5"/>
    <s v="PROFORMA"/>
    <m/>
    <m/>
    <m/>
    <n v="1"/>
  </r>
  <r>
    <x v="0"/>
    <s v="24-0440"/>
    <x v="129"/>
    <s v=" 100542487200003"/>
    <s v="Slap sticks"/>
    <n v="3460.81"/>
    <m/>
    <n v="3460.81"/>
    <n v="173.04050000000001"/>
    <n v="3633.8505"/>
    <s v="PROFORMA"/>
    <m/>
    <m/>
    <m/>
    <n v="1"/>
  </r>
  <r>
    <x v="132"/>
    <s v="24-0441"/>
    <x v="132"/>
    <s v="104081861700003"/>
    <s v="Flyer"/>
    <n v="380.95"/>
    <m/>
    <n v="380.95"/>
    <n v="19.047499999999999"/>
    <n v="399.9975"/>
    <s v="MARINELLE"/>
    <m/>
    <m/>
    <m/>
    <n v="1"/>
  </r>
  <r>
    <x v="0"/>
    <s v="24-0442"/>
    <x v="133"/>
    <s v=" 100542487200003"/>
    <s v="Selfie Frame - JAS School"/>
    <n v="200"/>
    <m/>
    <n v="200"/>
    <n v="10"/>
    <n v="210"/>
    <s v="REENA"/>
    <m/>
    <m/>
    <m/>
    <n v="1"/>
  </r>
  <r>
    <x v="20"/>
    <s v="24-0443"/>
    <x v="134"/>
    <s v="100235699400003"/>
    <s v="Crystal Trophy"/>
    <n v="2700"/>
    <m/>
    <n v="2700"/>
    <n v="135"/>
    <n v="2835"/>
    <s v="REENA"/>
    <m/>
    <m/>
    <m/>
    <n v="1"/>
  </r>
  <r>
    <x v="129"/>
    <s v="24-0444"/>
    <x v="132"/>
    <s v="100386329500003"/>
    <s v="Maintenance Brochure"/>
    <n v="6976"/>
    <m/>
    <n v="6976"/>
    <n v="348.8"/>
    <n v="7324.8"/>
    <s v="PROFORMA"/>
    <m/>
    <m/>
    <m/>
    <n v="1"/>
  </r>
  <r>
    <x v="133"/>
    <s v="24-0445"/>
    <x v="135"/>
    <s v="100326328000003"/>
    <s v="Business Cards"/>
    <n v="1175"/>
    <m/>
    <n v="1175"/>
    <n v="58.75"/>
    <n v="1233.75"/>
    <s v="MARINELLE"/>
    <m/>
    <m/>
    <m/>
    <n v="1"/>
  </r>
  <r>
    <x v="134"/>
    <s v="24-0446"/>
    <x v="133"/>
    <s v="100520639400003"/>
    <s v="2D Designing charges - Exhibition stand"/>
    <n v="3750"/>
    <m/>
    <n v="3750"/>
    <n v="187.5"/>
    <n v="3937.5"/>
    <s v="GAGANDEEP"/>
    <m/>
    <m/>
    <m/>
    <n v="1"/>
  </r>
  <r>
    <x v="11"/>
    <s v="24-0447"/>
    <x v="133"/>
    <s v="100056728700003"/>
    <s v="Signage"/>
    <n v="2675"/>
    <m/>
    <n v="2675"/>
    <n v="133.75"/>
    <n v="2808.75"/>
    <s v="MARINELLE"/>
    <m/>
    <m/>
    <m/>
    <n v="1"/>
  </r>
  <r>
    <x v="0"/>
    <s v="24-0448"/>
    <x v="136"/>
    <s v=" 100542487200003"/>
    <s v="Brochure - DBSJ"/>
    <n v="810"/>
    <m/>
    <n v="810"/>
    <n v="40.5"/>
    <n v="850.5"/>
    <s v="REENA"/>
    <m/>
    <m/>
    <m/>
    <n v="1"/>
  </r>
  <r>
    <x v="0"/>
    <s v="24-0449"/>
    <x v="136"/>
    <s v=" 100542487200003"/>
    <s v="Leaflet - 3 fold (DBSJ)"/>
    <n v="1008"/>
    <m/>
    <n v="1008"/>
    <n v="50.400000000000006"/>
    <n v="1058.4000000000001"/>
    <s v="REENA"/>
    <m/>
    <m/>
    <m/>
    <n v="1"/>
  </r>
  <r>
    <x v="18"/>
    <s v="24-0450"/>
    <x v="134"/>
    <s v="100593105800003"/>
    <s v="IDP Business Cards"/>
    <n v="2040"/>
    <m/>
    <n v="2040"/>
    <n v="102"/>
    <n v="2142"/>
    <s v="REENA"/>
    <m/>
    <m/>
    <m/>
    <n v="1"/>
  </r>
  <r>
    <x v="135"/>
    <s v="24-0451"/>
    <x v="137"/>
    <m/>
    <s v="Metal badge"/>
    <n v="150"/>
    <m/>
    <n v="150"/>
    <n v="7.5"/>
    <n v="157.5"/>
    <s v="PROFORMA"/>
    <m/>
    <m/>
    <m/>
    <n v="1"/>
  </r>
  <r>
    <x v="120"/>
    <s v="24-0452"/>
    <x v="134"/>
    <m/>
    <s v="Hans Larsen Insulated Drinkware gift set"/>
    <n v="868"/>
    <m/>
    <n v="868"/>
    <n v="43.400000000000006"/>
    <n v="911.4"/>
    <s v="BNI"/>
    <m/>
    <m/>
    <m/>
    <n v="1"/>
  </r>
  <r>
    <x v="120"/>
    <s v="24-0453"/>
    <x v="134"/>
    <m/>
    <s v="Selfie Frame, Props, Balloons"/>
    <n v="544"/>
    <m/>
    <n v="544"/>
    <n v="27.200000000000003"/>
    <n v="571.20000000000005"/>
    <s v="BNI"/>
    <m/>
    <m/>
    <m/>
    <n v="1"/>
  </r>
  <r>
    <x v="136"/>
    <s v="24-0454"/>
    <x v="134"/>
    <m/>
    <s v="Designing"/>
    <n v="333.33"/>
    <m/>
    <n v="333.33"/>
    <n v="16.666499999999999"/>
    <n v="349.99649999999997"/>
    <s v="REENA"/>
    <m/>
    <m/>
    <m/>
    <n v="1"/>
  </r>
  <r>
    <x v="51"/>
    <s v="24-0455"/>
    <x v="134"/>
    <s v="100377505100003"/>
    <s v="Polo shirts , Rollup, Brochure - 4 fold - OE"/>
    <n v="5528.75"/>
    <m/>
    <n v="5528.75"/>
    <n v="276.4375"/>
    <n v="5805.1875"/>
    <s v="REENA"/>
    <m/>
    <m/>
    <m/>
    <n v="1"/>
  </r>
  <r>
    <x v="7"/>
    <s v="24-0456"/>
    <x v="129"/>
    <s v="100348311000003"/>
    <s v="Business Cards"/>
    <n v="760"/>
    <m/>
    <n v="760"/>
    <n v="38"/>
    <n v="798"/>
    <s v="REENA"/>
    <m/>
    <m/>
    <m/>
    <n v="1"/>
  </r>
  <r>
    <x v="135"/>
    <s v="24-0457"/>
    <x v="136"/>
    <m/>
    <s v="Paper Cups (Double Wall)"/>
    <n v="1450"/>
    <m/>
    <n v="1450"/>
    <n v="72.5"/>
    <n v="1522.5"/>
    <s v="PROFORMA"/>
    <m/>
    <m/>
    <m/>
    <n v="1"/>
  </r>
  <r>
    <x v="1"/>
    <s v="24-0458"/>
    <x v="138"/>
    <s v="104166051300003"/>
    <s v="Trophy "/>
    <n v="275"/>
    <m/>
    <n v="275"/>
    <n v="13.75"/>
    <n v="288.75"/>
    <s v="REENA"/>
    <m/>
    <m/>
    <m/>
    <n v="1"/>
  </r>
  <r>
    <x v="55"/>
    <s v="24-0459"/>
    <x v="139"/>
    <s v="100433257100003"/>
    <s v="Kraft Paper Bag"/>
    <n v="1580"/>
    <m/>
    <n v="1580"/>
    <n v="79"/>
    <n v="1659"/>
    <s v="MARINELLE"/>
    <m/>
    <m/>
    <m/>
    <n v="1"/>
  </r>
  <r>
    <x v="98"/>
    <s v="24-0460"/>
    <x v="132"/>
    <s v="100048520900003"/>
    <s v="Sticker on supplied board "/>
    <n v="78.75"/>
    <m/>
    <n v="78.75"/>
    <n v="3.9375"/>
    <n v="82.6875"/>
    <s v="REENA"/>
    <m/>
    <m/>
    <m/>
    <n v="1"/>
  </r>
  <r>
    <x v="99"/>
    <s v="24-0461"/>
    <x v="140"/>
    <s v="100048520900003"/>
    <s v="Sticker on supplied board "/>
    <n v="31.5"/>
    <m/>
    <n v="31.5"/>
    <n v="1.5750000000000002"/>
    <n v="33.075000000000003"/>
    <s v="REENA"/>
    <m/>
    <m/>
    <m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">
  <r>
    <x v="0"/>
    <s v="24-0001"/>
    <x v="0"/>
    <s v="100542487200003"/>
    <s v="A3 Poster - Jebel Ali School"/>
    <n v="425.49"/>
    <m/>
    <n v="425.49"/>
    <n v="21.274500000000003"/>
    <n v="446.7645"/>
    <x v="0"/>
  </r>
  <r>
    <x v="0"/>
    <s v="24-0002"/>
    <x v="1"/>
    <s v="100542487200003"/>
    <s v="A5 Booklet - DBSJP (Nov/Dec)"/>
    <n v="415"/>
    <m/>
    <n v="415"/>
    <n v="20.75"/>
    <n v="435.75"/>
    <x v="0"/>
  </r>
  <r>
    <x v="1"/>
    <s v="24-0003"/>
    <x v="1"/>
    <s v="104166051300003"/>
    <s v="Business Cards ( Ferhat Doghan ) "/>
    <n v="475"/>
    <m/>
    <n v="475"/>
    <n v="23.75"/>
    <n v="498.75"/>
    <x v="0"/>
  </r>
  <r>
    <x v="2"/>
    <s v="24-0004"/>
    <x v="2"/>
    <s v="100312976200003"/>
    <s v="Water Bottle , A5 Notebook (Anti-Microbial) , Metal Pen , Box"/>
    <n v="5850"/>
    <m/>
    <n v="5850"/>
    <n v="292.5"/>
    <n v="6142.5"/>
    <x v="1"/>
  </r>
  <r>
    <x v="3"/>
    <s v="24-0005"/>
    <x v="3"/>
    <s v="100032677500003"/>
    <s v="Sticker (Paper)"/>
    <n v="425"/>
    <m/>
    <n v="425"/>
    <n v="21.25"/>
    <n v="446.25"/>
    <x v="0"/>
  </r>
  <r>
    <x v="4"/>
    <s v="24-0006"/>
    <x v="4"/>
    <s v="100522321700003"/>
    <s v="Wooden Board"/>
    <n v="7600"/>
    <m/>
    <n v="7600"/>
    <n v="380"/>
    <n v="7980"/>
    <x v="0"/>
  </r>
  <r>
    <x v="5"/>
    <s v="24-0007"/>
    <x v="5"/>
    <s v="104037069200003"/>
    <s v="Business Cards , Polo Shirts"/>
    <n v="848"/>
    <m/>
    <n v="848"/>
    <n v="42.400000000000006"/>
    <n v="890.4"/>
    <x v="0"/>
  </r>
  <r>
    <x v="6"/>
    <s v="24-0008"/>
    <x v="6"/>
    <s v=" 100430750800003"/>
    <s v="Round neck Tshirt"/>
    <n v="380"/>
    <m/>
    <n v="380"/>
    <n v="19"/>
    <n v="399"/>
    <x v="0"/>
  </r>
  <r>
    <x v="7"/>
    <s v="24-0009"/>
    <x v="7"/>
    <s v="100348311000003"/>
    <s v="Business Card ( Mohamed Ben Hamouda ) "/>
    <n v="405"/>
    <m/>
    <n v="405"/>
    <n v="20.25"/>
    <n v="425.25"/>
    <x v="0"/>
  </r>
  <r>
    <x v="8"/>
    <s v="24-0010"/>
    <x v="6"/>
    <s v="104014963300003"/>
    <s v="Business Cards ( Mr. Mehdi M Taki , Mr. Muhammed Midlaj ) "/>
    <n v="530"/>
    <m/>
    <n v="530"/>
    <n v="26.5"/>
    <n v="556.5"/>
    <x v="0"/>
  </r>
  <r>
    <x v="4"/>
    <s v="24-0011"/>
    <x v="5"/>
    <s v="100522321700003"/>
    <s v="Acrylic Stand"/>
    <n v="760"/>
    <m/>
    <n v="760"/>
    <n v="38"/>
    <n v="798"/>
    <x v="0"/>
  </r>
  <r>
    <x v="9"/>
    <s v="24-0012"/>
    <x v="6"/>
    <s v="-"/>
    <s v="Polo Shirt"/>
    <n v="227.90700000000001"/>
    <m/>
    <n v="227.90700000000001"/>
    <n v="11.395350000000001"/>
    <n v="239.30235000000002"/>
    <x v="0"/>
  </r>
  <r>
    <x v="10"/>
    <s v="24-0013"/>
    <x v="8"/>
    <s v="100540543400003"/>
    <s v="NCR Book"/>
    <n v="475"/>
    <m/>
    <n v="475"/>
    <n v="23.75"/>
    <n v="498.75"/>
    <x v="1"/>
  </r>
  <r>
    <x v="0"/>
    <s v="24-0014"/>
    <x v="8"/>
    <s v=" 100542487200003"/>
    <s v="Poster , Flag ( Raha International School )"/>
    <n v="440"/>
    <m/>
    <n v="440"/>
    <n v="22"/>
    <n v="462"/>
    <x v="0"/>
  </r>
  <r>
    <x v="11"/>
    <s v="24-0015"/>
    <x v="8"/>
    <s v="100056728700003"/>
    <s v="Signage (Without Light)"/>
    <n v="1250"/>
    <m/>
    <n v="1250"/>
    <n v="62.5"/>
    <n v="1312.5"/>
    <x v="1"/>
  </r>
  <r>
    <x v="3"/>
    <s v="24-0016"/>
    <x v="8"/>
    <s v="100032677500003"/>
    <s v="Business card ( Rineesh Ali )"/>
    <n v="165"/>
    <m/>
    <n v="165"/>
    <n v="8.25"/>
    <n v="173.25"/>
    <x v="0"/>
  </r>
  <r>
    <x v="12"/>
    <s v="24-0017"/>
    <x v="9"/>
    <s v=" 100482284500003"/>
    <s v="Business Card "/>
    <n v="825"/>
    <m/>
    <n v="825"/>
    <n v="41.25"/>
    <n v="866.25"/>
    <x v="0"/>
  </r>
  <r>
    <x v="13"/>
    <s v="24-0018"/>
    <x v="7"/>
    <s v="100567483100003"/>
    <s v="Polo Shirts"/>
    <n v="4252.5"/>
    <m/>
    <n v="4252.5"/>
    <n v="212.625"/>
    <n v="4465.125"/>
    <x v="1"/>
  </r>
  <r>
    <x v="14"/>
    <s v="24-0019"/>
    <x v="10"/>
    <s v="-"/>
    <s v="Certificate Holder"/>
    <n v="1690"/>
    <m/>
    <n v="1690"/>
    <n v="84.5"/>
    <n v="1774.5"/>
    <x v="1"/>
  </r>
  <r>
    <x v="15"/>
    <s v="24-0020"/>
    <x v="2"/>
    <s v="100399495900003"/>
    <s v="Business Card"/>
    <n v="310"/>
    <m/>
    <n v="310"/>
    <n v="15.5"/>
    <n v="325.5"/>
    <x v="1"/>
  </r>
  <r>
    <x v="16"/>
    <s v="24-0021"/>
    <x v="10"/>
    <s v="100293287700003"/>
    <s v="Car Sunshades (Tyvek)"/>
    <n v="5975"/>
    <m/>
    <n v="5975"/>
    <n v="298.75"/>
    <n v="6273.75"/>
    <x v="1"/>
  </r>
  <r>
    <x v="17"/>
    <s v="24-0022"/>
    <x v="8"/>
    <s v="-"/>
    <s v="Rubber stamp"/>
    <n v="120"/>
    <m/>
    <n v="120"/>
    <n v="6"/>
    <n v="126"/>
    <x v="0"/>
  </r>
  <r>
    <x v="18"/>
    <s v="24-0023"/>
    <x v="8"/>
    <s v="100593105800003"/>
    <s v="Rubber stamp"/>
    <n v="0"/>
    <m/>
    <n v="0"/>
    <n v="0"/>
    <n v="0"/>
    <x v="0"/>
  </r>
  <r>
    <x v="2"/>
    <s v="24-0024"/>
    <x v="10"/>
    <s v="100312976200003"/>
    <s v="Prints for Gift Box"/>
    <n v="200"/>
    <m/>
    <n v="200"/>
    <n v="10"/>
    <n v="210"/>
    <x v="1"/>
  </r>
  <r>
    <x v="19"/>
    <s v="24-0025"/>
    <x v="11"/>
    <s v="-"/>
    <s v="Pop Up Banner (Straight) , Roll up , Book Mark (Steel) , Table Flag with Stand"/>
    <n v="7595.24"/>
    <m/>
    <n v="7595.24"/>
    <n v="379.762"/>
    <n v="7975.0019999999995"/>
    <x v="1"/>
  </r>
  <r>
    <x v="20"/>
    <s v="24-0026"/>
    <x v="12"/>
    <s v="100235699400003"/>
    <s v="Business Card ( Darshit B. Kapadiwala , Ahmed Hamid )"/>
    <n v="470"/>
    <m/>
    <n v="470"/>
    <n v="23.5"/>
    <n v="493.5"/>
    <x v="0"/>
  </r>
  <r>
    <x v="18"/>
    <s v="24-0027"/>
    <x v="13"/>
    <s v="100593105800003"/>
    <s v="Roll up , A3 Posters , Certificates"/>
    <n v="526.5"/>
    <m/>
    <n v="526.5"/>
    <n v="26.325000000000003"/>
    <n v="552.82500000000005"/>
    <x v="0"/>
  </r>
  <r>
    <x v="0"/>
    <s v="24-0028"/>
    <x v="14"/>
    <s v="100542487200003"/>
    <s v="Brochure , Roll Up ( Charter School ) "/>
    <n v="955"/>
    <m/>
    <n v="955"/>
    <n v="47.75"/>
    <n v="1002.75"/>
    <x v="0"/>
  </r>
  <r>
    <x v="21"/>
    <s v="24-0029"/>
    <x v="15"/>
    <s v="-"/>
    <s v="Business cards , A4 Desktop"/>
    <n v="350"/>
    <m/>
    <n v="350"/>
    <n v="17.5"/>
    <n v="367.5"/>
    <x v="0"/>
  </r>
  <r>
    <x v="0"/>
    <s v="24-0030"/>
    <x v="14"/>
    <s v=" 100542487200003"/>
    <s v="Roll Up - DBSJ , Roll Up - Taaleem"/>
    <n v="435"/>
    <m/>
    <n v="435"/>
    <n v="21.75"/>
    <n v="456.75"/>
    <x v="0"/>
  </r>
  <r>
    <x v="1"/>
    <s v="24-0031"/>
    <x v="14"/>
    <s v=" 104166051300003"/>
    <s v="Sticker"/>
    <n v="78.75"/>
    <m/>
    <n v="78.75"/>
    <n v="3.9375"/>
    <n v="82.6875"/>
    <x v="0"/>
  </r>
  <r>
    <x v="6"/>
    <s v="24-0032"/>
    <x v="15"/>
    <s v="100430750800003"/>
    <s v="A4 Envelope"/>
    <n v="424.95"/>
    <m/>
    <n v="424.95"/>
    <n v="21.247500000000002"/>
    <n v="446.19749999999999"/>
    <x v="0"/>
  </r>
  <r>
    <x v="20"/>
    <s v="24-0033"/>
    <x v="16"/>
    <s v="100235699400003"/>
    <s v="Crystal Trophy"/>
    <n v="4290"/>
    <m/>
    <n v="4290"/>
    <n v="214.5"/>
    <n v="4504.5"/>
    <x v="0"/>
  </r>
  <r>
    <x v="3"/>
    <s v="24-0034"/>
    <x v="17"/>
    <s v="100032677500003"/>
    <s v="Receipt Voucher Book"/>
    <n v="725"/>
    <m/>
    <n v="725"/>
    <n v="36.25"/>
    <n v="761.25"/>
    <x v="0"/>
  </r>
  <r>
    <x v="22"/>
    <s v="24-0035"/>
    <x v="17"/>
    <s v="100519331100003"/>
    <s v="Wall Calendar"/>
    <n v="3150"/>
    <m/>
    <n v="3150"/>
    <n v="157.5"/>
    <n v="3307.5"/>
    <x v="1"/>
  </r>
  <r>
    <x v="23"/>
    <s v="24-0036"/>
    <x v="11"/>
    <s v="100065352500003"/>
    <s v="Ceramic Mug with Lid and Cork Base"/>
    <n v="380"/>
    <m/>
    <n v="380"/>
    <n v="19"/>
    <n v="399"/>
    <x v="1"/>
  </r>
  <r>
    <x v="24"/>
    <s v="24-0037"/>
    <x v="11"/>
    <s v="-"/>
    <s v="Designing Charges"/>
    <n v="1250"/>
    <m/>
    <n v="1250"/>
    <n v="62.5"/>
    <n v="1312.5"/>
    <x v="0"/>
  </r>
  <r>
    <x v="21"/>
    <s v="24-0038"/>
    <x v="18"/>
    <s v="-"/>
    <s v="3 fold Flyer , Business Card"/>
    <n v="4125"/>
    <m/>
    <n v="4125"/>
    <n v="206.25"/>
    <n v="4331.25"/>
    <x v="0"/>
  </r>
  <r>
    <x v="25"/>
    <s v="24-0039"/>
    <x v="11"/>
    <s v="-"/>
    <s v="Metal Pen , Signage "/>
    <n v="995"/>
    <m/>
    <n v="995"/>
    <n v="49.75"/>
    <n v="1044.75"/>
    <x v="1"/>
  </r>
  <r>
    <x v="26"/>
    <s v="24-0040"/>
    <x v="11"/>
    <s v="-"/>
    <s v="Signage"/>
    <n v="95"/>
    <m/>
    <n v="95"/>
    <n v="4.75"/>
    <n v="99.75"/>
    <x v="1"/>
  </r>
  <r>
    <x v="0"/>
    <s v="24-0041"/>
    <x v="16"/>
    <s v="100542487200003"/>
    <s v="Business Card - JBS ( Natalie Pringle ) "/>
    <n v="210"/>
    <m/>
    <n v="210"/>
    <n v="10.5"/>
    <n v="220.5"/>
    <x v="0"/>
  </r>
  <r>
    <x v="27"/>
    <s v="24-0042"/>
    <x v="16"/>
    <s v="100336122500003"/>
    <s v="Polo Shirt"/>
    <n v="1106"/>
    <m/>
    <n v="1106"/>
    <n v="55.300000000000004"/>
    <n v="1161.3"/>
    <x v="2"/>
  </r>
  <r>
    <x v="0"/>
    <s v="24-0043"/>
    <x v="16"/>
    <s v="100542487200003"/>
    <s v="Table Cloth - DBSJ , Table Runner"/>
    <n v="435"/>
    <m/>
    <n v="435"/>
    <n v="21.75"/>
    <n v="456.75"/>
    <x v="0"/>
  </r>
  <r>
    <x v="0"/>
    <s v="24-0044"/>
    <x v="16"/>
    <s v="100542487200003"/>
    <s v="Display Stand - AAG"/>
    <n v="5580"/>
    <m/>
    <n v="5580"/>
    <n v="279"/>
    <n v="5859"/>
    <x v="0"/>
  </r>
  <r>
    <x v="28"/>
    <s v="24-0045"/>
    <x v="7"/>
    <s v="-"/>
    <s v="Repair of 2 Trophies "/>
    <n v="400"/>
    <m/>
    <n v="400"/>
    <n v="20"/>
    <n v="420"/>
    <x v="1"/>
  </r>
  <r>
    <x v="29"/>
    <s v="24-0046"/>
    <x v="19"/>
    <s v="100494671900003"/>
    <s v="Customized Small Envelope , Letterhead"/>
    <n v="745"/>
    <m/>
    <n v="745"/>
    <n v="37.25"/>
    <n v="782.25"/>
    <x v="1"/>
  </r>
  <r>
    <x v="30"/>
    <s v="24-0047"/>
    <x v="19"/>
    <s v=" 104020641700003"/>
    <s v="Letterhead"/>
    <n v="250"/>
    <m/>
    <n v="250"/>
    <n v="12.5"/>
    <n v="262.5"/>
    <x v="1"/>
  </r>
  <r>
    <x v="31"/>
    <s v="24-0048"/>
    <x v="19"/>
    <s v=" 100566746200003"/>
    <s v="Letterhead"/>
    <n v="250"/>
    <m/>
    <n v="250"/>
    <n v="12.5"/>
    <n v="262.5"/>
    <x v="1"/>
  </r>
  <r>
    <x v="32"/>
    <s v="24-0049"/>
    <x v="19"/>
    <s v="104149170300003"/>
    <s v="Letterhead"/>
    <n v="200"/>
    <m/>
    <n v="200"/>
    <n v="10"/>
    <n v="210"/>
    <x v="1"/>
  </r>
  <r>
    <x v="33"/>
    <s v="24-0050"/>
    <x v="20"/>
    <s v="104020118600003"/>
    <s v="Recycled 15W Wireless Charger Multi - Cable Set"/>
    <n v="3950"/>
    <m/>
    <n v="3950"/>
    <n v="197.5"/>
    <n v="4147.5"/>
    <x v="0"/>
  </r>
  <r>
    <x v="18"/>
    <s v="24-0051"/>
    <x v="20"/>
    <s v="100593105800003"/>
    <s v="Service award certificates"/>
    <n v="28"/>
    <m/>
    <n v="28"/>
    <n v="1.4000000000000001"/>
    <n v="29.4"/>
    <x v="0"/>
  </r>
  <r>
    <x v="34"/>
    <s v="24-0052"/>
    <x v="12"/>
    <s v="104166051300003"/>
    <s v="Business card , Pocket Folder , Letterhead"/>
    <n v="1780"/>
    <m/>
    <n v="1780"/>
    <n v="89"/>
    <n v="1869"/>
    <x v="0"/>
  </r>
  <r>
    <x v="35"/>
    <s v="24-0053"/>
    <x v="20"/>
    <s v="-"/>
    <s v="Wall Calendar"/>
    <n v="4687.5"/>
    <m/>
    <n v="4687.5"/>
    <n v="234.375"/>
    <n v="4921.875"/>
    <x v="1"/>
  </r>
  <r>
    <x v="20"/>
    <s v="24-0054"/>
    <x v="20"/>
    <s v="100235699400003"/>
    <s v="Business Cards ( Waleed Asfour )"/>
    <n v="405"/>
    <m/>
    <n v="405"/>
    <n v="20.25"/>
    <n v="425.25"/>
    <x v="0"/>
  </r>
  <r>
    <x v="20"/>
    <s v="24-0055"/>
    <x v="20"/>
    <s v="100235699400003"/>
    <s v="Business Cards ( Madhu Mala )"/>
    <n v="405"/>
    <m/>
    <n v="405"/>
    <n v="20.25"/>
    <n v="425.25"/>
    <x v="0"/>
  </r>
  <r>
    <x v="20"/>
    <s v="24-0056"/>
    <x v="20"/>
    <s v="100235699400003"/>
    <s v="Business Cards ( Varghese Mathew )"/>
    <n v="405"/>
    <m/>
    <n v="405"/>
    <n v="20.25"/>
    <n v="425.25"/>
    <x v="0"/>
  </r>
  <r>
    <x v="36"/>
    <s v="24-0057"/>
    <x v="12"/>
    <s v="100349055200003"/>
    <s v="Anti Stress Balls"/>
    <n v="1125"/>
    <m/>
    <n v="1125"/>
    <n v="56.25"/>
    <n v="1181.25"/>
    <x v="1"/>
  </r>
  <r>
    <x v="37"/>
    <s v="24-0058"/>
    <x v="19"/>
    <s v="100249843200003 "/>
    <s v="Flags with Eyelets , Lanyard (Customized) , Certificate Holder , Grid Lined Notebook 7mm x 7mm , Non Woven Bag , Journal (Landscape)"/>
    <n v="19067.5"/>
    <m/>
    <n v="19067.5"/>
    <n v="953.375"/>
    <n v="20020.875"/>
    <x v="1"/>
  </r>
  <r>
    <x v="38"/>
    <s v="24-0059"/>
    <x v="12"/>
    <s v="100044062600003"/>
    <s v="Polo Shirt"/>
    <n v="1140"/>
    <m/>
    <n v="1140"/>
    <n v="57"/>
    <n v="1197"/>
    <x v="1"/>
  </r>
  <r>
    <x v="19"/>
    <s v="24-0060"/>
    <x v="19"/>
    <s v="-"/>
    <s v="RFID Sliding Card Holder , Wood &amp; Crystal Trophy , Wooden Trophy with Diamond Crystal on Top , Non Woven Bag"/>
    <n v="7082.5"/>
    <m/>
    <n v="7082.5"/>
    <n v="354.125"/>
    <n v="7436.625"/>
    <x v="1"/>
  </r>
  <r>
    <x v="27"/>
    <s v="24-0061"/>
    <x v="12"/>
    <s v="100336122500003"/>
    <s v="Metal Pen ( White / Blue ) "/>
    <n v="4675"/>
    <m/>
    <n v="4675"/>
    <n v="233.75"/>
    <n v="4908.75"/>
    <x v="2"/>
  </r>
  <r>
    <x v="6"/>
    <s v="24-0062"/>
    <x v="19"/>
    <s v="100430750800003"/>
    <s v="Business card"/>
    <n v="440"/>
    <m/>
    <n v="440"/>
    <n v="22"/>
    <n v="462"/>
    <x v="0"/>
  </r>
  <r>
    <x v="0"/>
    <s v="24-0063"/>
    <x v="12"/>
    <s v="100542487200003"/>
    <s v="A5 Booklet - DBSJP (Dec/Jan)"/>
    <n v="475"/>
    <m/>
    <n v="475"/>
    <n v="23.75"/>
    <n v="498.75"/>
    <x v="0"/>
  </r>
  <r>
    <x v="0"/>
    <s v="24-0064"/>
    <x v="12"/>
    <s v="100542487200003"/>
    <s v="Instagram Frame - Taaleem"/>
    <n v="280"/>
    <m/>
    <n v="280"/>
    <n v="14"/>
    <n v="294"/>
    <x v="0"/>
  </r>
  <r>
    <x v="5"/>
    <s v="24-0065"/>
    <x v="12"/>
    <s v="104037069200003"/>
    <s v="Signage - Italian Furniture (without light)"/>
    <n v="4525"/>
    <m/>
    <n v="4525"/>
    <n v="226.25"/>
    <n v="4751.25"/>
    <x v="0"/>
  </r>
  <r>
    <x v="39"/>
    <s v="24-0066"/>
    <x v="12"/>
    <s v="-"/>
    <s v="Rollup Banner"/>
    <n v="525"/>
    <m/>
    <n v="525"/>
    <n v="26.25"/>
    <n v="551.25"/>
    <x v="0"/>
  </r>
  <r>
    <x v="40"/>
    <s v="24-0067"/>
    <x v="21"/>
    <s v="100204025900003"/>
    <s v="Glass Door Sticker ( Plotter Cut Sticker )"/>
    <n v="300"/>
    <m/>
    <n v="300"/>
    <n v="15"/>
    <n v="315"/>
    <x v="2"/>
  </r>
  <r>
    <x v="6"/>
    <s v="24-0068"/>
    <x v="21"/>
    <s v=" 100430750800003"/>
    <s v="Tote Bags , Metal Pens , Sticker , A4 Flyers , MBA Flyer - Trifold"/>
    <n v="9558.4"/>
    <m/>
    <n v="9558.4"/>
    <n v="477.92"/>
    <n v="10036.32"/>
    <x v="0"/>
  </r>
  <r>
    <x v="41"/>
    <s v="24-0069"/>
    <x v="21"/>
    <s v="100048520900003"/>
    <s v="Board Supply January, 2024"/>
    <n v="165"/>
    <m/>
    <n v="165"/>
    <n v="8.25"/>
    <n v="173.25"/>
    <x v="0"/>
  </r>
  <r>
    <x v="41"/>
    <s v="24-0070"/>
    <x v="21"/>
    <s v="100048520900003"/>
    <s v="Board Supply January, 2024"/>
    <n v="210"/>
    <m/>
    <n v="210"/>
    <n v="10.5"/>
    <n v="220.5"/>
    <x v="0"/>
  </r>
  <r>
    <x v="42"/>
    <s v="24-0071"/>
    <x v="21"/>
    <s v="100435244700003"/>
    <s v="Sampling Charges"/>
    <n v="150"/>
    <m/>
    <n v="150"/>
    <n v="7.5"/>
    <n v="157.5"/>
    <x v="1"/>
  </r>
  <r>
    <x v="43"/>
    <s v="24-0072"/>
    <x v="21"/>
    <s v="100003895800003"/>
    <s v="Paper Cups with Lids"/>
    <n v="0"/>
    <m/>
    <n v="0"/>
    <n v="0"/>
    <n v="0"/>
    <x v="1"/>
  </r>
  <r>
    <x v="44"/>
    <s v="24-0073"/>
    <x v="21"/>
    <s v="100533217400003"/>
    <s v="Corporate Media Kit ( Island Tuckshop Pvt Ltd )"/>
    <n v="1250"/>
    <m/>
    <n v="1250"/>
    <n v="62.5"/>
    <n v="1312.5"/>
    <x v="0"/>
  </r>
  <r>
    <x v="37"/>
    <s v="24-0074"/>
    <x v="21"/>
    <s v=" 100249843200003 "/>
    <s v="Lanyard (Customized)"/>
    <n v="126"/>
    <m/>
    <n v="126"/>
    <n v="6.3000000000000007"/>
    <n v="132.30000000000001"/>
    <x v="1"/>
  </r>
  <r>
    <x v="45"/>
    <s v="24-0075"/>
    <x v="21"/>
    <s v="100594103200003"/>
    <s v="Business Card ( RICHARD ZUCCALA , LORNA BINNIE, MARITES SUNDIAM , MICHAEL HUNTER )"/>
    <n v="1060"/>
    <m/>
    <n v="1060"/>
    <n v="53"/>
    <n v="1113"/>
    <x v="1"/>
  </r>
  <r>
    <x v="18"/>
    <s v="24-0076"/>
    <x v="21"/>
    <s v="100593105800003"/>
    <s v="Rollup Banners (Roadshow) , A4 Flyer , A3 Poster"/>
    <n v="4785"/>
    <m/>
    <n v="4785"/>
    <n v="239.25"/>
    <n v="5024.25"/>
    <x v="0"/>
  </r>
  <r>
    <x v="46"/>
    <s v="24-0077"/>
    <x v="21"/>
    <s v="100279643900003"/>
    <s v="Gift box ( Notebook - Premium , Metal Ballpoint Pen )"/>
    <n v="14375"/>
    <m/>
    <n v="14375"/>
    <n v="718.75"/>
    <n v="15093.75"/>
    <x v="0"/>
  </r>
  <r>
    <x v="47"/>
    <s v="24-0078"/>
    <x v="22"/>
    <s v=" 104048906200003"/>
    <s v="Paper Bag (50% Advance Invoice)"/>
    <n v="1575"/>
    <m/>
    <n v="1575"/>
    <n v="78.75"/>
    <n v="1653.75"/>
    <x v="1"/>
  </r>
  <r>
    <x v="48"/>
    <s v="24-0079"/>
    <x v="23"/>
    <s v="100277137400003"/>
    <s v="4 in 1 Charging Cable"/>
    <n v="1400"/>
    <m/>
    <n v="1400"/>
    <n v="70"/>
    <n v="1470"/>
    <x v="1"/>
  </r>
  <r>
    <x v="47"/>
    <s v="24-0080"/>
    <x v="23"/>
    <s v="104048906200003"/>
    <s v="Paper Bag ( 50% Final Payment )"/>
    <n v="1575"/>
    <m/>
    <n v="1575"/>
    <n v="78.75"/>
    <n v="1653.75"/>
    <x v="1"/>
  </r>
  <r>
    <x v="49"/>
    <s v="24-0081"/>
    <x v="23"/>
    <s v="100245948300003"/>
    <s v="Showroom Signage Change"/>
    <n v="275"/>
    <m/>
    <n v="275"/>
    <n v="13.75"/>
    <n v="288.75"/>
    <x v="0"/>
  </r>
  <r>
    <x v="50"/>
    <s v="24-0082"/>
    <x v="24"/>
    <s v="100052630900003"/>
    <s v="Trophy"/>
    <n v="10965"/>
    <m/>
    <n v="10965"/>
    <n v="548.25"/>
    <n v="11513.25"/>
    <x v="1"/>
  </r>
  <r>
    <x v="51"/>
    <s v="24-0083"/>
    <x v="25"/>
    <s v=" 100377505100003"/>
    <s v="Trophy - 10 years of  Partnership - Al Fardan Group"/>
    <n v="685"/>
    <m/>
    <n v="685"/>
    <n v="34.25"/>
    <n v="719.25"/>
    <x v="0"/>
  </r>
  <r>
    <x v="20"/>
    <s v="24-0084"/>
    <x v="25"/>
    <s v="100235699400003"/>
    <s v="Business Cards ( Preeti D’souza )"/>
    <n v="405"/>
    <m/>
    <n v="405"/>
    <n v="20.25"/>
    <n v="425.25"/>
    <x v="0"/>
  </r>
  <r>
    <x v="52"/>
    <s v="24-0085"/>
    <x v="26"/>
    <s v="-"/>
    <s v="Clear Sticker , Safety Vest"/>
    <n v="779"/>
    <m/>
    <n v="779"/>
    <n v="38.950000000000003"/>
    <n v="817.95"/>
    <x v="1"/>
  </r>
  <r>
    <x v="53"/>
    <s v="24-0086"/>
    <x v="27"/>
    <s v="-"/>
    <s v="A3 Desktop Rollup"/>
    <n v="140"/>
    <m/>
    <n v="140"/>
    <n v="7"/>
    <n v="147"/>
    <x v="0"/>
  </r>
  <r>
    <x v="49"/>
    <s v="24-0087"/>
    <x v="28"/>
    <s v="100245948300003"/>
    <s v="Gift Voucher"/>
    <n v="350"/>
    <m/>
    <n v="350"/>
    <n v="17.5"/>
    <n v="367.5"/>
    <x v="0"/>
  </r>
  <r>
    <x v="54"/>
    <s v="24-0088"/>
    <x v="28"/>
    <s v="104061690400003"/>
    <s v="Polo Shirt (Customized) , Round Neck T-Shirt"/>
    <n v="989"/>
    <m/>
    <n v="989"/>
    <n v="49.45"/>
    <n v="1038.45"/>
    <x v="1"/>
  </r>
  <r>
    <x v="55"/>
    <s v="24-0089"/>
    <x v="28"/>
    <s v="100433257100003"/>
    <s v="Kraft Paper Bag"/>
    <n v="1580"/>
    <m/>
    <n v="1580"/>
    <n v="79"/>
    <n v="1659"/>
    <x v="1"/>
  </r>
  <r>
    <x v="0"/>
    <s v="24-0090"/>
    <x v="29"/>
    <s v="100542487200003"/>
    <s v="Receipts - AAG"/>
    <n v="1125"/>
    <m/>
    <n v="1125"/>
    <n v="56.25"/>
    <n v="1181.25"/>
    <x v="0"/>
  </r>
  <r>
    <x v="17"/>
    <s v="24-0091"/>
    <x v="28"/>
    <s v="-"/>
    <s v="Business card ( Right Trademark )"/>
    <n v="190"/>
    <m/>
    <n v="190"/>
    <n v="9.5"/>
    <n v="199.5"/>
    <x v="0"/>
  </r>
  <r>
    <x v="20"/>
    <s v="24-0092"/>
    <x v="29"/>
    <s v="100235699400003"/>
    <s v="Business cards ( MTA )"/>
    <n v="390"/>
    <m/>
    <n v="390"/>
    <n v="19.5"/>
    <n v="409.5"/>
    <x v="0"/>
  </r>
  <r>
    <x v="20"/>
    <s v="24-0093"/>
    <x v="29"/>
    <s v="100235699400003"/>
    <s v="Crystal Trophy"/>
    <n v="1800"/>
    <m/>
    <n v="1800"/>
    <n v="90"/>
    <n v="1890"/>
    <x v="0"/>
  </r>
  <r>
    <x v="56"/>
    <s v="24-0094"/>
    <x v="30"/>
    <n v="100060213400003"/>
    <s v="Wedding Luggage Tags"/>
    <n v="13000"/>
    <m/>
    <n v="13000"/>
    <n v="650"/>
    <n v="13650"/>
    <x v="0"/>
  </r>
  <r>
    <x v="57"/>
    <s v="24-0095"/>
    <x v="31"/>
    <s v="-"/>
    <s v="Letterhead "/>
    <n v="525"/>
    <m/>
    <n v="525"/>
    <n v="26.25"/>
    <n v="551.25"/>
    <x v="0"/>
  </r>
  <r>
    <x v="0"/>
    <s v="24-0096"/>
    <x v="32"/>
    <n v="100542487200003"/>
    <s v="Selfie Frame - DBSJP , Prop - #Outstanding"/>
    <n v="595"/>
    <m/>
    <n v="595"/>
    <n v="29.75"/>
    <n v="624.75"/>
    <x v="0"/>
  </r>
  <r>
    <x v="0"/>
    <s v="24-0097"/>
    <x v="31"/>
    <n v="100542487200003"/>
    <s v="Roll Up - AAG"/>
    <n v="145"/>
    <m/>
    <n v="145"/>
    <n v="7.25"/>
    <n v="152.25"/>
    <x v="0"/>
  </r>
  <r>
    <x v="10"/>
    <s v="24-0098"/>
    <x v="33"/>
    <n v="100540543400003"/>
    <s v="NCR Book , Business Cards"/>
    <n v="860"/>
    <m/>
    <n v="860"/>
    <n v="43"/>
    <n v="903"/>
    <x v="1"/>
  </r>
  <r>
    <x v="0"/>
    <s v="24-0099"/>
    <x v="34"/>
    <n v="100542487200003"/>
    <s v="Letterhead - FICHTE"/>
    <n v="625"/>
    <m/>
    <n v="625"/>
    <n v="31.25"/>
    <n v="656.25"/>
    <x v="0"/>
  </r>
  <r>
    <x v="58"/>
    <s v="24-0100"/>
    <x v="31"/>
    <n v="100470289800003"/>
    <s v="Flex to be changed for existing light box"/>
    <n v="8850"/>
    <m/>
    <n v="8850"/>
    <n v="442.5"/>
    <n v="9292.5"/>
    <x v="0"/>
  </r>
  <r>
    <x v="59"/>
    <s v="24-0101"/>
    <x v="31"/>
    <s v="IT 07817950152"/>
    <s v="Flyer , Recycled 6-in-1 Charging Cable"/>
    <n v="3335"/>
    <m/>
    <n v="3335"/>
    <n v="166.75"/>
    <n v="3501.75"/>
    <x v="1"/>
  </r>
  <r>
    <x v="60"/>
    <s v="24-0102"/>
    <x v="31"/>
    <s v="-"/>
    <s v="Brochure"/>
    <n v="1225"/>
    <m/>
    <n v="1225"/>
    <n v="61.25"/>
    <n v="1286.25"/>
    <x v="0"/>
  </r>
  <r>
    <x v="18"/>
    <s v="24-0103"/>
    <x v="33"/>
    <n v="100593105800003"/>
    <s v="Dubai Roadshow Millenium Downtown, 17th Feb 2024"/>
    <n v="103245.5"/>
    <m/>
    <n v="103245.5"/>
    <n v="5162.2750000000005"/>
    <n v="108407.77499999999"/>
    <x v="0"/>
  </r>
  <r>
    <x v="18"/>
    <s v="24-0104"/>
    <x v="33"/>
    <n v="100593105800003"/>
    <s v="Abu Dhabi Roadshow 18 Feb 2024, InterContinental "/>
    <n v="51717.75"/>
    <m/>
    <n v="51717.75"/>
    <n v="2585.8875000000003"/>
    <n v="54303.637499999997"/>
    <x v="0"/>
  </r>
  <r>
    <x v="61"/>
    <s v="24-0105"/>
    <x v="35"/>
    <n v="100323347300003"/>
    <s v="Parking Signage"/>
    <n v="892.5"/>
    <m/>
    <n v="892.5"/>
    <n v="44.625"/>
    <n v="937.125"/>
    <x v="1"/>
  </r>
  <r>
    <x v="0"/>
    <s v="24-0106"/>
    <x v="35"/>
    <n v="100542487200003"/>
    <s v="Flyer -  Taylor Wessing"/>
    <n v="190"/>
    <m/>
    <n v="190"/>
    <n v="9.5"/>
    <n v="199.5"/>
    <x v="0"/>
  </r>
  <r>
    <x v="0"/>
    <s v="24-0107"/>
    <x v="34"/>
    <n v="100542487200003"/>
    <s v="Journal - DBSEH"/>
    <n v="585"/>
    <m/>
    <n v="585"/>
    <n v="29.25"/>
    <n v="614.25"/>
    <x v="0"/>
  </r>
  <r>
    <x v="62"/>
    <s v="24-0108"/>
    <x v="35"/>
    <n v="100359923800003"/>
    <s v="Polo Shirts"/>
    <n v="1920"/>
    <m/>
    <n v="1920"/>
    <n v="96"/>
    <n v="2016"/>
    <x v="1"/>
  </r>
  <r>
    <x v="63"/>
    <s v="24-0109"/>
    <x v="36"/>
    <n v="100484375900003"/>
    <s v="Business Cards , ID Cards"/>
    <n v="420"/>
    <m/>
    <n v="420"/>
    <n v="21"/>
    <n v="441"/>
    <x v="0"/>
  </r>
  <r>
    <x v="0"/>
    <s v="24-0110"/>
    <x v="36"/>
    <n v="100542487200003"/>
    <s v="Top Curve Flags - Al Salaam Charter School"/>
    <n v="6250"/>
    <m/>
    <n v="6250"/>
    <n v="312.5"/>
    <n v="6562.5"/>
    <x v="0"/>
  </r>
  <r>
    <x v="0"/>
    <s v="24-0111"/>
    <x v="37"/>
    <n v="100542487200003"/>
    <s v="Rollup Banners (GIS) , Designing charges"/>
    <n v="390"/>
    <m/>
    <n v="390"/>
    <n v="19.5"/>
    <n v="409.5"/>
    <x v="0"/>
  </r>
  <r>
    <x v="0"/>
    <s v="24-0112"/>
    <x v="37"/>
    <n v="100542487200003"/>
    <s v="Round Neck Tshirts (Wellbeing) - Charter School"/>
    <n v="4220.5"/>
    <m/>
    <n v="4220.5"/>
    <n v="211.02500000000001"/>
    <n v="4431.5249999999996"/>
    <x v="0"/>
  </r>
  <r>
    <x v="20"/>
    <s v="24-0113"/>
    <x v="37"/>
    <n v="100235699400003"/>
    <s v="Business Cards ( Dipak M Shelke )"/>
    <n v="405"/>
    <m/>
    <n v="405"/>
    <n v="20.25"/>
    <n v="425.25"/>
    <x v="0"/>
  </r>
  <r>
    <x v="36"/>
    <s v="24-0114"/>
    <x v="38"/>
    <n v="100349055200003"/>
    <s v="Vertical Matt Veneer Wooden Plaque"/>
    <n v="225"/>
    <m/>
    <n v="225"/>
    <n v="11.25"/>
    <n v="236.25"/>
    <x v="1"/>
  </r>
  <r>
    <x v="64"/>
    <s v="24-0115"/>
    <x v="37"/>
    <n v="103215109200003"/>
    <s v="A4 Pocket Folder , A4 Envelope , DL Envelope , A5 Notebook , Pens (Plastic) , Ceramic Mugs , Plastic Folders (transcluscent)"/>
    <n v="2715"/>
    <m/>
    <n v="2715"/>
    <n v="135.75"/>
    <n v="2850.75"/>
    <x v="0"/>
  </r>
  <r>
    <x v="51"/>
    <s v="24-0116"/>
    <x v="39"/>
    <n v="100377505100003"/>
    <s v="Trophy"/>
    <n v="3150"/>
    <m/>
    <n v="3150"/>
    <n v="157.5"/>
    <n v="3307.5"/>
    <x v="0"/>
  </r>
  <r>
    <x v="18"/>
    <s v="24-0117"/>
    <x v="37"/>
    <s v="100593105800003"/>
    <s v="Name Tags , Expo Cards"/>
    <n v="0"/>
    <m/>
    <n v="0"/>
    <n v="0"/>
    <n v="0"/>
    <x v="0"/>
  </r>
  <r>
    <x v="18"/>
    <s v="24-0118"/>
    <x v="37"/>
    <n v="100593105800003"/>
    <s v="IDP Excellence Awards - 21-Feb-24"/>
    <n v="7142.1"/>
    <m/>
    <n v="7142.1"/>
    <n v="357.10500000000002"/>
    <n v="7499.2049999999999"/>
    <x v="0"/>
  </r>
  <r>
    <x v="18"/>
    <s v="24-0119"/>
    <x v="37"/>
    <n v="100593105800003"/>
    <s v="Roll up , A3 Posters , Certificates"/>
    <n v="1419"/>
    <m/>
    <n v="1419"/>
    <n v="70.95"/>
    <n v="1489.95"/>
    <x v="0"/>
  </r>
  <r>
    <x v="18"/>
    <s v="24-0120"/>
    <x v="37"/>
    <n v="100593105800003"/>
    <s v="IDP Business Cards -  (Abu Dhabi)"/>
    <n v="960"/>
    <m/>
    <n v="960"/>
    <n v="48"/>
    <n v="1008"/>
    <x v="0"/>
  </r>
  <r>
    <x v="18"/>
    <s v="24-0121"/>
    <x v="37"/>
    <n v="100593105800003"/>
    <s v="IDP Business Cards - (Dubai ) "/>
    <n v="0"/>
    <m/>
    <n v="0"/>
    <n v="0"/>
    <n v="0"/>
    <x v="0"/>
  </r>
  <r>
    <x v="65"/>
    <s v="24-0122"/>
    <x v="40"/>
    <n v="100246622300003"/>
    <s v="Business card , Ribbons with printing , Paper Bag , Paper Stickers , Wrapping Paper"/>
    <n v="3490"/>
    <m/>
    <n v="3490"/>
    <n v="174"/>
    <n v="3664"/>
    <x v="0"/>
  </r>
  <r>
    <x v="66"/>
    <s v="24-0123"/>
    <x v="38"/>
    <n v="100247605700003"/>
    <s v="Gift Box - Black  , Paper Bag "/>
    <n v="0"/>
    <m/>
    <n v="0"/>
    <n v="0"/>
    <n v="0"/>
    <x v="0"/>
  </r>
  <r>
    <x v="12"/>
    <s v="24-0124"/>
    <x v="40"/>
    <n v="100482284500003"/>
    <s v="Business Card"/>
    <n v="310"/>
    <m/>
    <n v="310"/>
    <n v="15.5"/>
    <n v="325.5"/>
    <x v="0"/>
  </r>
  <r>
    <x v="66"/>
    <s v="24-0125"/>
    <x v="41"/>
    <n v="100247605700003"/>
    <s v="Gift Box - Black , Paper Bag"/>
    <n v="6775"/>
    <m/>
    <n v="6775"/>
    <n v="338.75"/>
    <n v="7113.75"/>
    <x v="0"/>
  </r>
  <r>
    <x v="42"/>
    <s v="24-0126"/>
    <x v="41"/>
    <n v="100435244700003"/>
    <s v="Big Card, Small Card, Thank You Card"/>
    <n v="915"/>
    <m/>
    <n v="915"/>
    <n v="45.75"/>
    <n v="960.75"/>
    <x v="1"/>
  </r>
  <r>
    <x v="67"/>
    <s v="24-0127"/>
    <x v="41"/>
    <s v="-"/>
    <s v="Brochure 2024 , Courier Charges to Abu Dhabi"/>
    <n v="1925"/>
    <m/>
    <n v="1925"/>
    <n v="96.25"/>
    <n v="2021.25"/>
    <x v="0"/>
  </r>
  <r>
    <x v="30"/>
    <s v="24-0128"/>
    <x v="39"/>
    <n v="104020641700003"/>
    <s v="Website Designing and Development ( 75% Advance Invoice )"/>
    <n v="2362.38"/>
    <m/>
    <n v="2362.38"/>
    <n v="118.11900000000001"/>
    <n v="2480.4990000000003"/>
    <x v="1"/>
  </r>
  <r>
    <x v="68"/>
    <s v="24-0129"/>
    <x v="39"/>
    <n v="100566746200003"/>
    <s v="Website Designing and Development ( 75% Advance Invoice )"/>
    <n v="2362.38"/>
    <m/>
    <n v="2362.38"/>
    <n v="118.11900000000001"/>
    <n v="2480.4990000000003"/>
    <x v="1"/>
  </r>
  <r>
    <x v="29"/>
    <s v="24-0130"/>
    <x v="39"/>
    <n v="100494671900003"/>
    <s v="Website Designing and Development ( 75% Advance Invoice )"/>
    <n v="2362.38"/>
    <m/>
    <n v="2362.38"/>
    <n v="118.11900000000001"/>
    <n v="2480.4990000000003"/>
    <x v="1"/>
  </r>
  <r>
    <x v="69"/>
    <s v="24-0131"/>
    <x v="39"/>
    <n v="104061117800003"/>
    <s v="Sampling Charges - Polo Shirt"/>
    <n v="47.62"/>
    <m/>
    <n v="47.62"/>
    <n v="2.3809999999999998"/>
    <n v="50.000999999999998"/>
    <x v="0"/>
  </r>
  <r>
    <x v="1"/>
    <s v="24-0132"/>
    <x v="40"/>
    <n v="104166051300003"/>
    <s v="A4 Envelopes (customized) , DL Envelopes (customized) , Top spiral Notebook"/>
    <n v="1248"/>
    <m/>
    <n v="1248"/>
    <n v="62.400000000000006"/>
    <n v="1310.4000000000001"/>
    <x v="0"/>
  </r>
  <r>
    <x v="41"/>
    <s v="24-0133"/>
    <x v="40"/>
    <n v="100048520900003"/>
    <s v="Board Supply February, 2024"/>
    <n v="90"/>
    <m/>
    <n v="90"/>
    <n v="4.5"/>
    <n v="94.5"/>
    <x v="0"/>
  </r>
  <r>
    <x v="41"/>
    <s v="24-0134"/>
    <x v="40"/>
    <n v="100048520900003"/>
    <s v="Board Supply February, 2024"/>
    <n v="105"/>
    <m/>
    <n v="105"/>
    <n v="5.25"/>
    <n v="110.25"/>
    <x v="0"/>
  </r>
  <r>
    <x v="70"/>
    <s v="24-0135"/>
    <x v="42"/>
    <n v="100282822400003"/>
    <s v="Table cloth - Bridal Satin , A4 Flyer (ICN)"/>
    <n v="485"/>
    <m/>
    <n v="485"/>
    <n v="24.25"/>
    <n v="509.25"/>
    <x v="0"/>
  </r>
  <r>
    <x v="0"/>
    <s v="24-0136"/>
    <x v="40"/>
    <n v="100542487200003"/>
    <s v="Customized Vest - Taaleem"/>
    <n v="1890"/>
    <m/>
    <n v="1890"/>
    <n v="94.5"/>
    <n v="1984.5"/>
    <x v="0"/>
  </r>
  <r>
    <x v="10"/>
    <s v="24-0137"/>
    <x v="40"/>
    <n v="100540543400003"/>
    <s v="Receipt Voucher"/>
    <n v="487.5"/>
    <m/>
    <n v="487.5"/>
    <n v="24.375"/>
    <n v="511.875"/>
    <x v="1"/>
  </r>
  <r>
    <x v="1"/>
    <s v="24-0138"/>
    <x v="40"/>
    <n v="104166051300003"/>
    <s v="Metal Pen , A4 Notepad"/>
    <n v="1162.5"/>
    <m/>
    <n v="1162.5"/>
    <n v="58.125"/>
    <n v="1220.625"/>
    <x v="0"/>
  </r>
  <r>
    <x v="30"/>
    <s v="24-0139"/>
    <x v="39"/>
    <n v="104020641700003"/>
    <s v="Website Designing and Development ( 25% Final Invoice )"/>
    <n v="787.62"/>
    <m/>
    <n v="787.62"/>
    <n v="39.381"/>
    <n v="827.00099999999998"/>
    <x v="1"/>
  </r>
  <r>
    <x v="68"/>
    <s v="24-0140"/>
    <x v="39"/>
    <n v="100566746200003"/>
    <s v="Website Designing and Development ( 25% Final Invoice )"/>
    <n v="787.62"/>
    <m/>
    <n v="787.62"/>
    <n v="39.381"/>
    <n v="827.00099999999998"/>
    <x v="1"/>
  </r>
  <r>
    <x v="29"/>
    <s v="24-0141"/>
    <x v="39"/>
    <n v="100494671900003"/>
    <s v="Website Designing and Development ( 25% Final Invoice )"/>
    <n v="787.62"/>
    <m/>
    <n v="787.62"/>
    <n v="39.381"/>
    <n v="827.00099999999998"/>
    <x v="1"/>
  </r>
  <r>
    <x v="0"/>
    <s v="24-0142"/>
    <x v="42"/>
    <s v="100542487200003"/>
    <s v="Business cards (Taaleem)"/>
    <n v="450"/>
    <m/>
    <n v="450"/>
    <n v="22.5"/>
    <n v="472.5"/>
    <x v="0"/>
  </r>
  <r>
    <x v="6"/>
    <s v="24-0143"/>
    <x v="43"/>
    <s v="100430750800003"/>
    <s v="Business card"/>
    <n v="275"/>
    <m/>
    <n v="275"/>
    <n v="13.75"/>
    <n v="288.75"/>
    <x v="0"/>
  </r>
  <r>
    <x v="70"/>
    <s v="24-0144"/>
    <x v="43"/>
    <s v="100282822400003"/>
    <s v="Rollup Banner , A3 Desktop Rollup , A4 Flyer (ICN)"/>
    <n v="505"/>
    <m/>
    <n v="505"/>
    <n v="25.25"/>
    <n v="530.25"/>
    <x v="0"/>
  </r>
  <r>
    <x v="0"/>
    <s v="24-0145"/>
    <x v="43"/>
    <s v="100542487200003"/>
    <s v="Business Card - DBSJ"/>
    <n v="220"/>
    <m/>
    <n v="220"/>
    <n v="11"/>
    <n v="231"/>
    <x v="0"/>
  </r>
  <r>
    <x v="20"/>
    <s v="24-0146"/>
    <x v="44"/>
    <s v="100235699400003"/>
    <s v="Business Cards (Jomer Pinohermoso)"/>
    <n v="405"/>
    <m/>
    <n v="405"/>
    <n v="20.25"/>
    <n v="425.25"/>
    <x v="0"/>
  </r>
  <r>
    <x v="21"/>
    <s v="24-0147"/>
    <x v="45"/>
    <s v="-"/>
    <s v="Student Gift Set of A5 Notebook and Pen With Bamboo Element , Jute Bag"/>
    <n v="18930"/>
    <m/>
    <n v="18930"/>
    <n v="946.5"/>
    <n v="19876.5"/>
    <x v="0"/>
  </r>
  <r>
    <x v="21"/>
    <s v="24-0148"/>
    <x v="43"/>
    <s v="-"/>
    <s v="Brochure - Pre Departure"/>
    <n v="2585"/>
    <m/>
    <n v="2585"/>
    <n v="129.25"/>
    <n v="2714.25"/>
    <x v="0"/>
  </r>
  <r>
    <x v="55"/>
    <s v="24-0149"/>
    <x v="46"/>
    <s v="100433257100003"/>
    <s v="Black Mug"/>
    <n v="1130"/>
    <m/>
    <n v="1130"/>
    <n v="56.5"/>
    <n v="1186.5"/>
    <x v="1"/>
  </r>
  <r>
    <x v="20"/>
    <s v="24-0150"/>
    <x v="44"/>
    <s v="100235699400003"/>
    <s v="Business Cards (HAKIM LABRAHMI)"/>
    <n v="405"/>
    <m/>
    <n v="405"/>
    <n v="20.25"/>
    <n v="425.25"/>
    <x v="0"/>
  </r>
  <r>
    <x v="0"/>
    <s v="24-0151"/>
    <x v="47"/>
    <s v="100542487200003"/>
    <s v="Leaflet - 3 fold (DBSJ)"/>
    <n v="840"/>
    <m/>
    <n v="840"/>
    <n v="42"/>
    <n v="882"/>
    <x v="0"/>
  </r>
  <r>
    <x v="7"/>
    <s v="24-0152"/>
    <x v="48"/>
    <s v="100348311000003"/>
    <s v="A5 Envelopes"/>
    <n v="540"/>
    <m/>
    <n v="540"/>
    <n v="27"/>
    <n v="567"/>
    <x v="0"/>
  </r>
  <r>
    <x v="71"/>
    <s v="24-0153"/>
    <x v="48"/>
    <s v="100483620900003"/>
    <s v="Job card"/>
    <n v="925"/>
    <m/>
    <n v="925"/>
    <n v="46.25"/>
    <n v="971.25"/>
    <x v="0"/>
  </r>
  <r>
    <x v="0"/>
    <s v="24-0154"/>
    <x v="48"/>
    <s v="100542487200003"/>
    <s v="Business cards -Taaleem (Nora Ghannam , Alan Williamson)"/>
    <n v="450"/>
    <m/>
    <n v="450"/>
    <n v="22.5"/>
    <n v="472.5"/>
    <x v="0"/>
  </r>
  <r>
    <x v="72"/>
    <s v="24-0155"/>
    <x v="49"/>
    <s v="-"/>
    <s v="Receipt Voucher Book"/>
    <n v="210"/>
    <m/>
    <n v="210"/>
    <n v="10.5"/>
    <n v="220.5"/>
    <x v="0"/>
  </r>
  <r>
    <x v="57"/>
    <s v="24-0156"/>
    <x v="50"/>
    <s v="-"/>
    <s v="Business card"/>
    <n v="550"/>
    <m/>
    <n v="550"/>
    <n v="27.5"/>
    <n v="577.5"/>
    <x v="0"/>
  </r>
  <r>
    <x v="21"/>
    <s v="24-0157"/>
    <x v="49"/>
    <s v="-"/>
    <s v="Jute Bag"/>
    <n v="662.5"/>
    <m/>
    <n v="662.5"/>
    <n v="33.125"/>
    <n v="695.625"/>
    <x v="0"/>
  </r>
  <r>
    <x v="63"/>
    <s v="24-0158"/>
    <x v="48"/>
    <s v="100484375900003"/>
    <s v="Business Card (Amit Nangpal)"/>
    <n v="185"/>
    <m/>
    <n v="185"/>
    <n v="9.25"/>
    <n v="194.25"/>
    <x v="0"/>
  </r>
  <r>
    <x v="70"/>
    <s v="24-0159"/>
    <x v="49"/>
    <s v="100282822400003"/>
    <s v="Business Cards (Alejandro Celli)"/>
    <n v="135"/>
    <m/>
    <n v="135"/>
    <n v="6.75"/>
    <n v="141.75"/>
    <x v="0"/>
  </r>
  <r>
    <x v="0"/>
    <s v="24-0160"/>
    <x v="51"/>
    <m/>
    <s v="Taaleem Items"/>
    <n v="3703.5"/>
    <m/>
    <n v="3703.5"/>
    <n v="185.17500000000001"/>
    <n v="3888.6750000000002"/>
    <x v="0"/>
  </r>
  <r>
    <x v="0"/>
    <s v="24-0161"/>
    <x v="51"/>
    <m/>
    <s v="GIS Tshirts"/>
    <n v="3360"/>
    <m/>
    <n v="3360"/>
    <n v="168"/>
    <n v="3528"/>
    <x v="0"/>
  </r>
  <r>
    <x v="0"/>
    <s v="24-0162"/>
    <x v="51"/>
    <m/>
    <s v="DBSJP Journal 23"/>
    <n v="475"/>
    <m/>
    <n v="475"/>
    <n v="23.75"/>
    <n v="498.75"/>
    <x v="0"/>
  </r>
  <r>
    <x v="73"/>
    <s v="24-0163"/>
    <x v="51"/>
    <m/>
    <s v="Note Books 50"/>
    <n v="750"/>
    <m/>
    <n v="750"/>
    <n v="37.5"/>
    <n v="787.5"/>
    <x v="1"/>
  </r>
  <r>
    <x v="20"/>
    <s v="24-0164"/>
    <x v="52"/>
    <m/>
    <s v="BC Ifthikar"/>
    <n v="405"/>
    <m/>
    <n v="405"/>
    <n v="20.25"/>
    <n v="425.25"/>
    <x v="0"/>
  </r>
  <r>
    <x v="0"/>
    <s v="24-0165"/>
    <x v="53"/>
    <m/>
    <s v="AAG Gift Hampera"/>
    <n v="3600"/>
    <m/>
    <n v="3600"/>
    <n v="180"/>
    <n v="3780"/>
    <x v="0"/>
  </r>
  <r>
    <x v="0"/>
    <s v="24-0166"/>
    <x v="53"/>
    <m/>
    <s v="Taylor Wessing Journal"/>
    <n v="2242.5"/>
    <m/>
    <n v="2242.5"/>
    <n v="112.125"/>
    <n v="2354.625"/>
    <x v="0"/>
  </r>
  <r>
    <x v="6"/>
    <s v="24-0167"/>
    <x v="53"/>
    <m/>
    <s v="BC Yulia"/>
    <n v="275"/>
    <m/>
    <n v="275"/>
    <n v="13.75"/>
    <n v="288.75"/>
    <x v="0"/>
  </r>
  <r>
    <x v="74"/>
    <s v="24-0168"/>
    <x v="54"/>
    <m/>
    <s v="Office Branding"/>
    <n v="5350"/>
    <m/>
    <n v="5350"/>
    <n v="267.5"/>
    <n v="5617.5"/>
    <x v="0"/>
  </r>
  <r>
    <x v="0"/>
    <s v="24-0169"/>
    <x v="55"/>
    <m/>
    <s v="DBSJ Flyer"/>
    <n v="290"/>
    <m/>
    <n v="290"/>
    <n v="14.5"/>
    <n v="304.5"/>
    <x v="0"/>
  </r>
  <r>
    <x v="72"/>
    <s v="24-0170"/>
    <x v="56"/>
    <m/>
    <s v="BC Anugha"/>
    <n v="195"/>
    <m/>
    <n v="195"/>
    <n v="9.75"/>
    <n v="204.75"/>
    <x v="0"/>
  </r>
  <r>
    <x v="75"/>
    <s v="24-0171"/>
    <x v="57"/>
    <m/>
    <s v="Non Woven Bags"/>
    <n v="1725"/>
    <m/>
    <n v="1725"/>
    <n v="86.25"/>
    <n v="1811.25"/>
    <x v="1"/>
  </r>
  <r>
    <x v="76"/>
    <s v="24-0172"/>
    <x v="56"/>
    <m/>
    <s v="RU/Tags/A6 Cards/Tent Cards"/>
    <n v="1925"/>
    <m/>
    <n v="1925"/>
    <n v="96.25"/>
    <n v="2021.25"/>
    <x v="0"/>
  </r>
  <r>
    <x v="77"/>
    <s v="24-0173"/>
    <x v="58"/>
    <m/>
    <s v="BC"/>
    <n v="275"/>
    <m/>
    <n v="275"/>
    <n v="13.75"/>
    <n v="288.75"/>
    <x v="0"/>
  </r>
  <r>
    <x v="77"/>
    <s v="24-0174"/>
    <x v="58"/>
    <m/>
    <s v="Pens/Bags/Flyers"/>
    <n v="10260"/>
    <m/>
    <n v="10260"/>
    <n v="513"/>
    <n v="10773"/>
    <x v="0"/>
  </r>
  <r>
    <x v="78"/>
    <s v="24-0175"/>
    <x v="59"/>
    <m/>
    <s v="NCR Book"/>
    <n v="285"/>
    <m/>
    <n v="285"/>
    <n v="14.25"/>
    <n v="299.25"/>
    <x v="0"/>
  </r>
  <r>
    <x v="11"/>
    <s v="24-0176"/>
    <x v="60"/>
    <s v="100056728700003"/>
    <s v="Office Signage"/>
    <n v="1250"/>
    <m/>
    <n v="1250"/>
    <n v="62.5"/>
    <n v="1312.5"/>
    <x v="1"/>
  </r>
  <r>
    <x v="74"/>
    <s v="24-0177"/>
    <x v="59"/>
    <s v="100056728700003"/>
    <s v="Office Branding"/>
    <n v="1275"/>
    <m/>
    <n v="1275"/>
    <n v="63.75"/>
    <n v="1338.75"/>
    <x v="0"/>
  </r>
  <r>
    <x v="77"/>
    <s v="24-0178"/>
    <x v="57"/>
    <s v="100056728700003"/>
    <s v="Instagram Frame."/>
    <n v="185"/>
    <m/>
    <n v="185"/>
    <n v="9.25"/>
    <n v="194.25"/>
    <x v="0"/>
  </r>
  <r>
    <x v="0"/>
    <s v="24-0179"/>
    <x v="61"/>
    <s v="100056728700003"/>
    <s v="Dummy Cheque (DBSEH)"/>
    <n v="145"/>
    <m/>
    <n v="145"/>
    <n v="7.25"/>
    <n v="152.25"/>
    <x v="0"/>
  </r>
  <r>
    <x v="0"/>
    <s v="24-0180"/>
    <x v="61"/>
    <s v="100056728700003"/>
    <s v="Journal (DBSEH)"/>
    <n v="450"/>
    <m/>
    <n v="450"/>
    <n v="22.5"/>
    <n v="472.5"/>
    <x v="0"/>
  </r>
  <r>
    <x v="0"/>
    <s v="24-0181"/>
    <x v="61"/>
    <s v="100056728700003"/>
    <s v="Business card - FICHTE"/>
    <n v="630"/>
    <m/>
    <n v="630"/>
    <n v="31.5"/>
    <n v="661.5"/>
    <x v="0"/>
  </r>
  <r>
    <x v="79"/>
    <s v="24-0182"/>
    <x v="57"/>
    <s v="100056728700003"/>
    <s v="A6 Ramadan Cards -Power Lease/Ikonic"/>
    <n v="435"/>
    <m/>
    <n v="435"/>
    <n v="21.75"/>
    <n v="456.75"/>
    <x v="0"/>
  </r>
  <r>
    <x v="20"/>
    <s v="24-0183"/>
    <x v="61"/>
    <s v="100056728700003"/>
    <s v="A3 &amp; A4 ENVELOPES"/>
    <n v="1615"/>
    <m/>
    <n v="1615"/>
    <n v="80.75"/>
    <n v="1695.75"/>
    <x v="0"/>
  </r>
  <r>
    <x v="80"/>
    <s v="24-0184"/>
    <x v="61"/>
    <s v="100056728700003"/>
    <s v="A4 &amp; A5 Paper Bags"/>
    <n v="6920"/>
    <m/>
    <n v="6920"/>
    <n v="346"/>
    <n v="7266"/>
    <x v="1"/>
  </r>
  <r>
    <x v="11"/>
    <s v="24-0185"/>
    <x v="62"/>
    <s v="100056728700003"/>
    <s v="Sticker on CRETA Signage"/>
    <n v="350"/>
    <m/>
    <n v="350"/>
    <n v="17.5"/>
    <n v="367.5"/>
    <x v="1"/>
  </r>
  <r>
    <x v="81"/>
    <s v="24-0186"/>
    <x v="62"/>
    <s v="100056728700003"/>
    <s v="Polo shirts"/>
    <n v="1440"/>
    <m/>
    <n v="1440"/>
    <n v="72"/>
    <n v="1512"/>
    <x v="1"/>
  </r>
  <r>
    <x v="11"/>
    <s v="24-0187"/>
    <x v="62"/>
    <s v="100056728700003"/>
    <s v="Notebooks &amp; Business cards"/>
    <n v="7875"/>
    <m/>
    <n v="7875"/>
    <n v="393.75"/>
    <n v="8268.75"/>
    <x v="1"/>
  </r>
  <r>
    <x v="76"/>
    <s v="24-0188"/>
    <x v="63"/>
    <m/>
    <s v="Tshirts (Holi)"/>
    <n v="2300"/>
    <m/>
    <n v="2300"/>
    <n v="115"/>
    <n v="2415"/>
    <x v="0"/>
  </r>
  <r>
    <x v="1"/>
    <s v="24-0189"/>
    <x v="63"/>
    <m/>
    <s v="A4 Notebook (PECUNIA)"/>
    <n v="792.5"/>
    <m/>
    <n v="792.5"/>
    <n v="39.625"/>
    <n v="832.125"/>
    <x v="0"/>
  </r>
  <r>
    <x v="0"/>
    <s v="24-0190"/>
    <x v="63"/>
    <m/>
    <s v="Brochure (Dubai School) "/>
    <n v="1575"/>
    <m/>
    <n v="1575"/>
    <n v="78.75"/>
    <n v="1653.75"/>
    <x v="0"/>
  </r>
  <r>
    <x v="18"/>
    <s v="24-0191"/>
    <x v="63"/>
    <m/>
    <s v="Table Cloth"/>
    <n v="585"/>
    <m/>
    <n v="585"/>
    <n v="29.25"/>
    <n v="614.25"/>
    <x v="0"/>
  </r>
  <r>
    <x v="41"/>
    <s v="24-0192"/>
    <x v="63"/>
    <m/>
    <s v="Name boards HO"/>
    <n v="60"/>
    <m/>
    <n v="60"/>
    <n v="3"/>
    <n v="63"/>
    <x v="0"/>
  </r>
  <r>
    <x v="41"/>
    <s v="24-0193"/>
    <x v="63"/>
    <m/>
    <s v="Name boards Br."/>
    <n v="90"/>
    <m/>
    <n v="90"/>
    <n v="4.5"/>
    <n v="94.5"/>
    <x v="0"/>
  </r>
  <r>
    <x v="82"/>
    <s v="24-0194"/>
    <x v="63"/>
    <s v="100290916400003"/>
    <s v="Bags"/>
    <n v="2358.75"/>
    <m/>
    <n v="2358.75"/>
    <n v="117.9375"/>
    <n v="2476.6875"/>
    <x v="1"/>
  </r>
  <r>
    <x v="83"/>
    <s v="24-0195"/>
    <x v="64"/>
    <s v="100225882800003"/>
    <s v="Vacuum Mug With Cork Base - White"/>
    <n v="1750.5"/>
    <m/>
    <n v="1750.5"/>
    <n v="87.525000000000006"/>
    <n v="1838.0250000000001"/>
    <x v="1"/>
  </r>
  <r>
    <x v="0"/>
    <s v="24-0196"/>
    <x v="65"/>
    <s v="100542487200003"/>
    <s v="Canvas print on frame (JAS)"/>
    <n v="1506"/>
    <m/>
    <n v="1506"/>
    <n v="75.3"/>
    <n v="1581.3"/>
    <x v="0"/>
  </r>
  <r>
    <x v="33"/>
    <s v="24-0197"/>
    <x v="66"/>
    <s v="104020118600003"/>
    <s v="Pens(Plastic)"/>
    <n v="1050"/>
    <m/>
    <n v="1050"/>
    <n v="52.5"/>
    <n v="1102.5"/>
    <x v="0"/>
  </r>
  <r>
    <x v="0"/>
    <s v="24-0198"/>
    <x v="65"/>
    <s v="100542487200003"/>
    <s v="Business Card - JBS"/>
    <n v="235"/>
    <m/>
    <n v="235"/>
    <n v="11.75"/>
    <n v="246.75"/>
    <x v="0"/>
  </r>
  <r>
    <x v="84"/>
    <s v="24-0199"/>
    <x v="67"/>
    <s v="100336526700003"/>
    <s v="Ceramic Mug, Business Cards"/>
    <n v="1167"/>
    <m/>
    <n v="1167"/>
    <n v="58.35"/>
    <n v="1225.3499999999999"/>
    <x v="1"/>
  </r>
  <r>
    <x v="82"/>
    <s v="24-0200"/>
    <x v="63"/>
    <s v="100290916400003"/>
    <s v="Bags"/>
    <n v="5827.5"/>
    <m/>
    <n v="5827.5"/>
    <n v="291.375"/>
    <n v="6118.875"/>
    <x v="1"/>
  </r>
  <r>
    <x v="82"/>
    <s v="24-0201"/>
    <x v="63"/>
    <s v="100290916400003"/>
    <s v="Bags"/>
    <n v="4440"/>
    <m/>
    <n v="4440"/>
    <n v="222"/>
    <n v="4662"/>
    <x v="1"/>
  </r>
  <r>
    <x v="85"/>
    <s v="24-0202"/>
    <x v="63"/>
    <s v="100290916400003"/>
    <s v="Bags"/>
    <n v="8463.75"/>
    <m/>
    <n v="8463.75"/>
    <n v="423.1875"/>
    <n v="8886.9375"/>
    <x v="1"/>
  </r>
  <r>
    <x v="86"/>
    <s v="24-0203"/>
    <x v="63"/>
    <s v="-"/>
    <s v="Bags"/>
    <n v="693.81"/>
    <m/>
    <n v="693.81"/>
    <n v="34.6905"/>
    <n v="728.50049999999999"/>
    <x v="1"/>
  </r>
  <r>
    <x v="87"/>
    <s v="24-0204"/>
    <x v="63"/>
    <s v="310562221900003"/>
    <s v="Bags"/>
    <n v="2497.7199999999998"/>
    <m/>
    <n v="2497.7199999999998"/>
    <n v="124.886"/>
    <n v="2622.6059999999998"/>
    <x v="1"/>
  </r>
  <r>
    <x v="86"/>
    <s v="24-0205"/>
    <x v="63"/>
    <s v="-"/>
    <s v="Bags"/>
    <n v="6799.34"/>
    <m/>
    <n v="6799.34"/>
    <n v="339.96700000000004"/>
    <n v="7139.3069999999998"/>
    <x v="1"/>
  </r>
  <r>
    <x v="88"/>
    <s v="24-0206"/>
    <x v="68"/>
    <s v="100583350200003"/>
    <s v="Gift Box - 50% advance"/>
    <n v="11000"/>
    <m/>
    <n v="11000"/>
    <n v="550"/>
    <n v="11550"/>
    <x v="1"/>
  </r>
  <r>
    <x v="89"/>
    <s v="24-0207"/>
    <x v="69"/>
    <s v="100054016900003"/>
    <s v="Printing of Logo on Client provided items, MousePads"/>
    <n v="285.5"/>
    <m/>
    <n v="285.5"/>
    <n v="14.275"/>
    <n v="299.77499999999998"/>
    <x v="0"/>
  </r>
  <r>
    <x v="0"/>
    <s v="24-0208"/>
    <x v="70"/>
    <s v="100542487200003"/>
    <s v="Karlita Baby Shower Poster"/>
    <n v="175"/>
    <m/>
    <n v="175"/>
    <n v="8.75"/>
    <n v="183.75"/>
    <x v="0"/>
  </r>
  <r>
    <x v="90"/>
    <s v="24-0209"/>
    <x v="71"/>
    <s v="100345098600003"/>
    <s v="Gift Set, back pack and NFC card"/>
    <n v="27360"/>
    <m/>
    <n v="27360"/>
    <n v="1368"/>
    <n v="28728"/>
    <x v="1"/>
  </r>
  <r>
    <x v="36"/>
    <s v="24-0210"/>
    <x v="72"/>
    <s v="100349055200003"/>
    <s v="Flyer"/>
    <n v="375"/>
    <m/>
    <n v="375"/>
    <n v="18.75"/>
    <n v="393.75"/>
    <x v="1"/>
  </r>
  <r>
    <x v="91"/>
    <s v="24-0211"/>
    <x v="68"/>
    <s v="100386934200003"/>
    <s v="Safety Jacket &amp; Safety Shoes"/>
    <n v="1205"/>
    <m/>
    <n v="1205"/>
    <n v="60.25"/>
    <n v="1265.25"/>
    <x v="1"/>
  </r>
  <r>
    <x v="92"/>
    <s v="24-0212"/>
    <x v="73"/>
    <s v="100524667100003"/>
    <s v="Lanyard"/>
    <n v="380"/>
    <m/>
    <n v="380"/>
    <n v="19"/>
    <n v="399"/>
    <x v="1"/>
  </r>
  <r>
    <x v="19"/>
    <s v="24-0213"/>
    <x v="73"/>
    <s v="-"/>
    <s v="Table Cloth"/>
    <n v="325"/>
    <m/>
    <n v="325"/>
    <n v="16.25"/>
    <n v="341.25"/>
    <x v="1"/>
  </r>
  <r>
    <x v="88"/>
    <s v="24-0214"/>
    <x v="68"/>
    <s v="100583350200003"/>
    <s v="Paper Bag"/>
    <n v="2100"/>
    <m/>
    <n v="2100"/>
    <n v="105"/>
    <n v="2205"/>
    <x v="1"/>
  </r>
  <r>
    <x v="11"/>
    <s v="24-0215"/>
    <x v="69"/>
    <s v="100056728700003"/>
    <s v="Business Card"/>
    <n v="1100"/>
    <m/>
    <n v="1100"/>
    <n v="55"/>
    <n v="1155"/>
    <x v="1"/>
  </r>
  <r>
    <x v="93"/>
    <s v="24-0216"/>
    <x v="73"/>
    <s v="-"/>
    <s v="Notebooks &amp; Caps"/>
    <n v="2850"/>
    <m/>
    <n v="2850"/>
    <n v="142.5"/>
    <n v="2992.5"/>
    <x v="0"/>
  </r>
  <r>
    <x v="12"/>
    <s v="24-0217"/>
    <x v="74"/>
    <s v="100482284500003"/>
    <s v="Business Cards"/>
    <n v="825"/>
    <m/>
    <n v="825"/>
    <n v="41.25"/>
    <n v="866.25"/>
    <x v="0"/>
  </r>
  <r>
    <x v="0"/>
    <s v="24-0218"/>
    <x v="74"/>
    <s v="100542487200003"/>
    <s v="Coloring Book - DBSJ"/>
    <n v="550"/>
    <m/>
    <n v="550"/>
    <n v="27.5"/>
    <n v="577.5"/>
    <x v="0"/>
  </r>
  <r>
    <x v="21"/>
    <s v="24-0219"/>
    <x v="71"/>
    <s v="-"/>
    <s v="Business Cards"/>
    <n v="310"/>
    <m/>
    <n v="310"/>
    <n v="15.5"/>
    <n v="325.5"/>
    <x v="0"/>
  </r>
  <r>
    <x v="0"/>
    <s v="24-0220"/>
    <x v="74"/>
    <s v="100542487200003"/>
    <s v="Roll up"/>
    <n v="575"/>
    <m/>
    <n v="575"/>
    <n v="28.75"/>
    <n v="603.75"/>
    <x v="0"/>
  </r>
  <r>
    <x v="20"/>
    <s v="24-0221"/>
    <x v="71"/>
    <s v="100235699400003"/>
    <s v="Business Cards"/>
    <n v="405"/>
    <m/>
    <n v="405"/>
    <n v="20.25"/>
    <n v="425.25"/>
    <x v="0"/>
  </r>
  <r>
    <x v="7"/>
    <s v="24-0222"/>
    <x v="71"/>
    <s v="100348311000003"/>
    <s v="Business Cards"/>
    <n v="845"/>
    <m/>
    <n v="845"/>
    <n v="42.25"/>
    <n v="887.25"/>
    <x v="0"/>
  </r>
  <r>
    <x v="7"/>
    <s v="24-0223"/>
    <x v="71"/>
    <s v="-"/>
    <m/>
    <n v="0"/>
    <m/>
    <n v="0"/>
    <n v="0"/>
    <n v="0"/>
    <x v="0"/>
  </r>
  <r>
    <x v="18"/>
    <s v="24-0224"/>
    <x v="71"/>
    <s v="100593105800003"/>
    <s v="Booth branding (Shell scheme)"/>
    <n v="2850"/>
    <m/>
    <n v="2850"/>
    <n v="142.5"/>
    <n v="2992.5"/>
    <x v="0"/>
  </r>
  <r>
    <x v="18"/>
    <s v="24-0225"/>
    <x v="71"/>
    <s v="100593105800003"/>
    <s v="Roll up, A3 Posters, Certificates"/>
    <n v="972"/>
    <m/>
    <n v="972"/>
    <n v="48.6"/>
    <n v="1020.6"/>
    <x v="0"/>
  </r>
  <r>
    <x v="36"/>
    <s v="24-0225-A"/>
    <x v="75"/>
    <s v="100349055200003"/>
    <s v="Balloons and cup sleeve"/>
    <n v="1628.75"/>
    <m/>
    <n v="1628.75"/>
    <n v="81.4375"/>
    <n v="1710.1875"/>
    <x v="1"/>
  </r>
  <r>
    <x v="6"/>
    <s v="24-0226"/>
    <x v="76"/>
    <s v="100430750800003"/>
    <s v="Tote bags, Pens, Tritan Water Bottle, Notebook"/>
    <n v="3704"/>
    <m/>
    <n v="3704"/>
    <n v="185.20000000000002"/>
    <n v="3889.2"/>
    <x v="0"/>
  </r>
  <r>
    <x v="30"/>
    <s v="24-0226-A"/>
    <x v="77"/>
    <s v="104020641700003"/>
    <s v="Signage"/>
    <n v="85"/>
    <m/>
    <n v="85"/>
    <n v="4.25"/>
    <n v="89.25"/>
    <x v="1"/>
  </r>
  <r>
    <x v="0"/>
    <s v="24-0227"/>
    <x v="76"/>
    <s v="100542487200003"/>
    <s v="Coloring Book - Dubai School"/>
    <n v="702"/>
    <m/>
    <n v="702"/>
    <n v="35.1"/>
    <n v="737.1"/>
    <x v="0"/>
  </r>
  <r>
    <x v="32"/>
    <s v="24-0227-A"/>
    <x v="77"/>
    <s v="104149170300003"/>
    <s v="Signage"/>
    <n v="85"/>
    <m/>
    <n v="85"/>
    <n v="4.25"/>
    <n v="89.25"/>
    <x v="1"/>
  </r>
  <r>
    <x v="88"/>
    <s v="24-0228"/>
    <x v="78"/>
    <s v="100583350200003"/>
    <s v="Gift Box - 50% balance"/>
    <n v="11000"/>
    <m/>
    <n v="11000"/>
    <n v="550"/>
    <n v="11550"/>
    <x v="1"/>
  </r>
  <r>
    <x v="68"/>
    <s v="24-0228-A"/>
    <x v="77"/>
    <s v="100566746200003"/>
    <s v="Signage, Acrylic Signboard"/>
    <n v="260"/>
    <m/>
    <n v="260"/>
    <n v="13"/>
    <n v="273"/>
    <x v="1"/>
  </r>
  <r>
    <x v="94"/>
    <s v="24-0229"/>
    <x v="78"/>
    <s v="100462479500003"/>
    <s v="A4 Sticker"/>
    <n v="202.95"/>
    <m/>
    <n v="202.95"/>
    <n v="10.147500000000001"/>
    <n v="213.0975"/>
    <x v="0"/>
  </r>
  <r>
    <x v="52"/>
    <s v="24-0229-A"/>
    <x v="75"/>
    <s v="-"/>
    <s v="Business Cards"/>
    <n v="375"/>
    <m/>
    <n v="375"/>
    <n v="18.75"/>
    <n v="393.75"/>
    <x v="1"/>
  </r>
  <r>
    <x v="6"/>
    <s v="24-0230"/>
    <x v="79"/>
    <s v="100430750800003"/>
    <s v="Round neck Tshirt"/>
    <n v="190"/>
    <m/>
    <n v="190"/>
    <n v="9.5"/>
    <n v="199.5"/>
    <x v="0"/>
  </r>
  <r>
    <x v="0"/>
    <s v="24-0231"/>
    <x v="78"/>
    <s v="100542487200003"/>
    <s v="Business card - FICHTE"/>
    <n v="780"/>
    <m/>
    <n v="780"/>
    <n v="39"/>
    <n v="819"/>
    <x v="0"/>
  </r>
  <r>
    <x v="6"/>
    <s v="24-0232"/>
    <x v="80"/>
    <s v="100430750800003"/>
    <s v="Business Cards"/>
    <n v="270"/>
    <m/>
    <n v="270"/>
    <n v="13.5"/>
    <n v="283.5"/>
    <x v="0"/>
  </r>
  <r>
    <x v="95"/>
    <s v="24-0233"/>
    <x v="81"/>
    <s v="100357115300003"/>
    <s v="Safety Vest - Customized"/>
    <n v="1249.5"/>
    <m/>
    <n v="1249.5"/>
    <n v="62.475000000000001"/>
    <n v="1311.9749999999999"/>
    <x v="1"/>
  </r>
  <r>
    <x v="38"/>
    <s v="24-0234"/>
    <x v="81"/>
    <s v="100044062600003"/>
    <s v="Polo Shirt - (Customized)"/>
    <n v="6000"/>
    <m/>
    <n v="6000"/>
    <n v="300"/>
    <n v="6300"/>
    <x v="1"/>
  </r>
  <r>
    <x v="6"/>
    <s v="24-0235"/>
    <x v="80"/>
    <s v="100430750800003"/>
    <s v="Roll up, A3  Desktop Roll up, flyer"/>
    <n v="505"/>
    <m/>
    <n v="505"/>
    <n v="25.25"/>
    <n v="530.25"/>
    <x v="0"/>
  </r>
  <r>
    <x v="90"/>
    <s v="24-0236"/>
    <x v="81"/>
    <s v="100345098600003"/>
    <s v="ID Holders and Lanyard"/>
    <n v="1972.5"/>
    <m/>
    <n v="1972.5"/>
    <n v="98.625"/>
    <n v="2071.125"/>
    <x v="1"/>
  </r>
  <r>
    <x v="0"/>
    <s v="24-0237"/>
    <x v="81"/>
    <s v="100542487200003"/>
    <s v="Curvetop Flags"/>
    <n v="3890"/>
    <m/>
    <n v="3890"/>
    <n v="194.5"/>
    <n v="4084.5"/>
    <x v="0"/>
  </r>
  <r>
    <x v="0"/>
    <s v="24-0238"/>
    <x v="81"/>
    <s v="100542487200003"/>
    <s v="Leaflet - 3 fold (DBSJ)"/>
    <n v="1008"/>
    <m/>
    <n v="1008"/>
    <n v="50.400000000000006"/>
    <n v="1058.4000000000001"/>
    <x v="0"/>
  </r>
  <r>
    <x v="96"/>
    <s v="24-0239"/>
    <x v="82"/>
    <s v="100556794400003"/>
    <s v="Business Card - PERI"/>
    <n v="380"/>
    <m/>
    <n v="380"/>
    <n v="19"/>
    <n v="399"/>
    <x v="0"/>
  </r>
  <r>
    <x v="0"/>
    <s v="24-0240"/>
    <x v="82"/>
    <s v="100542487200003"/>
    <s v="Letterhead (Obaid Almaazmi)"/>
    <n v="450"/>
    <m/>
    <n v="450"/>
    <n v="22.5"/>
    <n v="472.5"/>
    <x v="0"/>
  </r>
  <r>
    <x v="18"/>
    <s v="24-0241"/>
    <x v="82"/>
    <s v="100593105800003"/>
    <s v="20240415 - Fast - Migration  (Roll Up, A3 Posters, Certificates)"/>
    <n v="375"/>
    <m/>
    <n v="375"/>
    <n v="18.75"/>
    <n v="393.75"/>
    <x v="0"/>
  </r>
  <r>
    <x v="97"/>
    <s v="24-0242"/>
    <x v="82"/>
    <s v="-"/>
    <s v="Volleyball Jersey sets"/>
    <n v="900"/>
    <m/>
    <n v="900"/>
    <n v="45"/>
    <n v="945"/>
    <x v="0"/>
  </r>
  <r>
    <x v="98"/>
    <s v="24-0243"/>
    <x v="82"/>
    <s v="100048520900003"/>
    <s v="Supplies done in April, 2024"/>
    <n v="180"/>
    <m/>
    <n v="180"/>
    <n v="9"/>
    <n v="189"/>
    <x v="0"/>
  </r>
  <r>
    <x v="99"/>
    <s v="24-0244"/>
    <x v="82"/>
    <s v="100048520900003"/>
    <s v="Supplies done in April, 2024"/>
    <n v="90"/>
    <m/>
    <n v="90"/>
    <n v="4.5"/>
    <n v="94.5"/>
    <x v="0"/>
  </r>
  <r>
    <x v="6"/>
    <s v="24-0245"/>
    <x v="83"/>
    <s v="100430750800003"/>
    <s v="Poster Board for Easel"/>
    <n v="932"/>
    <m/>
    <n v="932"/>
    <n v="46.6"/>
    <n v="978.6"/>
    <x v="0"/>
  </r>
  <r>
    <x v="20"/>
    <s v="24-0246"/>
    <x v="83"/>
    <s v="100235699400003"/>
    <s v="Business Cards -Shabeek Yusuf"/>
    <n v="405"/>
    <m/>
    <n v="405"/>
    <n v="20.25"/>
    <n v="425.25"/>
    <x v="0"/>
  </r>
  <r>
    <x v="100"/>
    <s v="24-0247"/>
    <x v="84"/>
    <s v="-"/>
    <s v="Office Branding"/>
    <n v="2225"/>
    <m/>
    <n v="2225"/>
    <n v="111.25"/>
    <n v="2336.25"/>
    <x v="0"/>
  </r>
  <r>
    <x v="101"/>
    <s v="24-0248"/>
    <x v="85"/>
    <s v="100066699800003"/>
    <s v="Paper Sticker"/>
    <n v="350"/>
    <m/>
    <n v="350"/>
    <n v="17.5"/>
    <n v="367.5"/>
    <x v="1"/>
  </r>
  <r>
    <x v="15"/>
    <s v="24-0249"/>
    <x v="85"/>
    <s v="100399495900003"/>
    <s v="Pledge Card, Tent Card, Roll Up"/>
    <n v="570"/>
    <m/>
    <n v="570"/>
    <n v="28.5"/>
    <n v="598.5"/>
    <x v="1"/>
  </r>
  <r>
    <x v="6"/>
    <s v="24-0250"/>
    <x v="85"/>
    <s v="100430750800003"/>
    <s v="Floor Stickers"/>
    <n v="512"/>
    <m/>
    <n v="512"/>
    <n v="25.6"/>
    <n v="537.6"/>
    <x v="0"/>
  </r>
  <r>
    <x v="70"/>
    <s v="24-0251"/>
    <x v="86"/>
    <s v="100430750800003"/>
    <s v="Brochure (Destination Guide) "/>
    <n v="3425"/>
    <m/>
    <n v="3425"/>
    <n v="171.25"/>
    <n v="3596.25"/>
    <x v="0"/>
  </r>
  <r>
    <x v="0"/>
    <s v="24-0252"/>
    <x v="86"/>
    <s v="100542487200003"/>
    <s v="NotePad (top glue) - Taaleem"/>
    <n v="1380"/>
    <m/>
    <n v="1380"/>
    <n v="69"/>
    <n v="1449"/>
    <x v="0"/>
  </r>
  <r>
    <x v="0"/>
    <s v="24-0253"/>
    <x v="86"/>
    <s v="100542487200003"/>
    <s v="Roll Up with designing charges"/>
    <n v="340"/>
    <m/>
    <n v="340"/>
    <n v="17"/>
    <n v="357"/>
    <x v="0"/>
  </r>
  <r>
    <x v="0"/>
    <s v="24-0254"/>
    <x v="86"/>
    <s v="100542487200003"/>
    <s v="A5 Acrylic Display Stand (Raha School)"/>
    <n v="371.5"/>
    <m/>
    <n v="371.5"/>
    <n v="18.574999999999999"/>
    <n v="390.07499999999999"/>
    <x v="0"/>
  </r>
  <r>
    <x v="0"/>
    <s v="24-0255"/>
    <x v="86"/>
    <s v="100542487200003"/>
    <s v="Yearbook DBSJP"/>
    <n v="2510"/>
    <m/>
    <n v="2510"/>
    <n v="125.5"/>
    <n v="2635.5"/>
    <x v="0"/>
  </r>
  <r>
    <x v="76"/>
    <s v="24-0256"/>
    <x v="87"/>
    <s v="104146932900003"/>
    <s v="Round Neck Tshirts"/>
    <n v="350"/>
    <m/>
    <n v="350"/>
    <n v="17.5"/>
    <n v="367.5"/>
    <x v="0"/>
  </r>
  <r>
    <x v="102"/>
    <s v="24-0257"/>
    <x v="87"/>
    <s v="104014823900003"/>
    <s v="Business card "/>
    <n v="175"/>
    <m/>
    <n v="175"/>
    <n v="8.75"/>
    <n v="183.75"/>
    <x v="0"/>
  </r>
  <r>
    <x v="70"/>
    <s v="24-0258"/>
    <x v="87"/>
    <s v="100282822400003"/>
    <s v="Roll up Banner,  A3 Desktop roll up, Table Runner"/>
    <n v="1020"/>
    <m/>
    <n v="1020"/>
    <n v="51"/>
    <n v="1071"/>
    <x v="0"/>
  </r>
  <r>
    <x v="20"/>
    <s v="24-0259"/>
    <x v="75"/>
    <s v="100235699400003"/>
    <s v="Business cards - Ali El Sayed"/>
    <n v="405"/>
    <m/>
    <n v="405"/>
    <n v="20.25"/>
    <n v="425.25"/>
    <x v="0"/>
  </r>
  <r>
    <x v="6"/>
    <s v="24-0260"/>
    <x v="75"/>
    <s v="100430750800003"/>
    <s v="Posters"/>
    <n v="1600"/>
    <m/>
    <n v="1600"/>
    <n v="80"/>
    <n v="1680"/>
    <x v="0"/>
  </r>
  <r>
    <x v="0"/>
    <s v="24-0261"/>
    <x v="75"/>
    <s v="100542487200003"/>
    <s v="Void/ Business cards (Taaleem)"/>
    <s v="-"/>
    <s v="-"/>
    <s v="-"/>
    <s v="-"/>
    <s v="-"/>
    <x v="0"/>
  </r>
  <r>
    <x v="103"/>
    <s v="24-0262"/>
    <x v="88"/>
    <s v="-"/>
    <s v="Brochure, Tote bags,notebooks, pens, business card, table cloth, desktop roll up"/>
    <n v="6085"/>
    <m/>
    <n v="6085"/>
    <n v="304.25"/>
    <n v="6389.25"/>
    <x v="0"/>
  </r>
  <r>
    <x v="63"/>
    <s v="24-0263"/>
    <x v="89"/>
    <s v="100484375900003"/>
    <s v="Business Cards"/>
    <n v="125"/>
    <m/>
    <n v="125"/>
    <n v="6.25"/>
    <n v="131.25"/>
    <x v="0"/>
  </r>
  <r>
    <x v="84"/>
    <s v="24-0264"/>
    <x v="90"/>
    <s v="100336526700003"/>
    <s v="Ceramic Mug, Business Cards"/>
    <n v="250"/>
    <m/>
    <n v="250"/>
    <n v="12.5"/>
    <n v="262.5"/>
    <x v="1"/>
  </r>
  <r>
    <x v="80"/>
    <s v="24-0265"/>
    <x v="91"/>
    <s v="100267612800003"/>
    <s v="Ortho Cast Model Box"/>
    <n v="12375"/>
    <m/>
    <n v="12375"/>
    <n v="618.75"/>
    <n v="12993.75"/>
    <x v="1"/>
  </r>
  <r>
    <x v="48"/>
    <s v="24-0266"/>
    <x v="90"/>
    <s v="100277137400003"/>
    <s v="Poster, PVC Badge"/>
    <n v="944"/>
    <m/>
    <n v="944"/>
    <n v="47.2"/>
    <n v="991.2"/>
    <x v="1"/>
  </r>
  <r>
    <x v="52"/>
    <s v="24-0267"/>
    <x v="90"/>
    <s v="-"/>
    <s v="A4 Envelope"/>
    <n v="395"/>
    <m/>
    <n v="395"/>
    <n v="19.75"/>
    <n v="414.75"/>
    <x v="1"/>
  </r>
  <r>
    <x v="104"/>
    <s v="24-0268"/>
    <x v="90"/>
    <s v="-"/>
    <s v="A4 Envelope, A5 Notebook, Metal Pen"/>
    <n v="2195"/>
    <m/>
    <n v="2195"/>
    <n v="109.75"/>
    <n v="2304.75"/>
    <x v="1"/>
  </r>
  <r>
    <x v="36"/>
    <s v="24-0269"/>
    <x v="90"/>
    <s v="100349055200003"/>
    <s v="Thank you Card, Dummy Cheque, Stickers, Plaque, Notebook"/>
    <n v="2726.25"/>
    <m/>
    <n v="2726.25"/>
    <n v="136.3125"/>
    <n v="2862.5625"/>
    <x v="1"/>
  </r>
  <r>
    <x v="105"/>
    <s v="24-0270"/>
    <x v="91"/>
    <s v="-"/>
    <s v="Flower Box"/>
    <n v="8385"/>
    <m/>
    <n v="8385"/>
    <n v="419.25"/>
    <n v="8804.25"/>
    <x v="1"/>
  </r>
  <r>
    <x v="0"/>
    <s v="24-0271"/>
    <x v="92"/>
    <s v="100542487200003"/>
    <s v="Business cards (Taaleem)"/>
    <n v="450"/>
    <m/>
    <n v="450"/>
    <n v="22.5"/>
    <n v="472.5"/>
    <x v="0"/>
  </r>
  <r>
    <x v="0"/>
    <s v="24-0272"/>
    <x v="92"/>
    <s v="100542487200003"/>
    <s v="Brochure (Hourani)"/>
    <n v="875"/>
    <m/>
    <n v="875"/>
    <n v="43.75"/>
    <n v="918.75"/>
    <x v="0"/>
  </r>
  <r>
    <x v="0"/>
    <s v="24-0273"/>
    <x v="92"/>
    <s v="100542487200003"/>
    <s v="Business card, Letterhead - FICHTE"/>
    <n v="985"/>
    <m/>
    <n v="985"/>
    <n v="49.25"/>
    <n v="1034.25"/>
    <x v="0"/>
  </r>
  <r>
    <x v="51"/>
    <s v="24-0274"/>
    <x v="93"/>
    <s v="100377505100003"/>
    <s v="Continental Family voucher / Envelope"/>
    <n v="1266"/>
    <m/>
    <n v="1266"/>
    <n v="63.300000000000004"/>
    <n v="1329.3"/>
    <x v="0"/>
  </r>
  <r>
    <x v="20"/>
    <s v="24-0275"/>
    <x v="91"/>
    <s v="100235699400003"/>
    <s v="Access Card printing"/>
    <n v="144"/>
    <m/>
    <n v="144"/>
    <n v="7.2"/>
    <n v="151.19999999999999"/>
    <x v="0"/>
  </r>
  <r>
    <x v="6"/>
    <s v="24-0276"/>
    <x v="91"/>
    <s v="100430750800003"/>
    <s v="Posters"/>
    <n v="1645"/>
    <m/>
    <n v="1645"/>
    <n v="82.25"/>
    <n v="1727.25"/>
    <x v="0"/>
  </r>
  <r>
    <x v="0"/>
    <s v="24-0277"/>
    <x v="91"/>
    <s v="100542487200003"/>
    <s v="Graduation Tickets, Easel poster, Certificate A4"/>
    <n v="1465.75"/>
    <m/>
    <n v="1465.75"/>
    <n v="73.287500000000009"/>
    <n v="1539.0374999999999"/>
    <x v="0"/>
  </r>
  <r>
    <x v="103"/>
    <s v="24-0278"/>
    <x v="91"/>
    <s v="-"/>
    <s v="Brochure, Tote bags,notebooks, pens, business card, booth branding"/>
    <n v="4955.5"/>
    <m/>
    <n v="4955.5"/>
    <n v="247.77500000000001"/>
    <n v="5203.2749999999996"/>
    <x v="0"/>
  </r>
  <r>
    <x v="0"/>
    <s v="24-0279"/>
    <x v="91"/>
    <s v="100542487200003"/>
    <s v="Photo booth - Floor standing - DBF"/>
    <n v="960"/>
    <m/>
    <n v="960"/>
    <n v="48"/>
    <n v="1008"/>
    <x v="0"/>
  </r>
  <r>
    <x v="0"/>
    <s v="24-0280"/>
    <x v="91"/>
    <s v="100542487200003"/>
    <s v="Table cloth - JAS"/>
    <n v="300"/>
    <m/>
    <n v="300"/>
    <n v="15"/>
    <n v="315"/>
    <x v="0"/>
  </r>
  <r>
    <x v="0"/>
    <s v="24-0281"/>
    <x v="91"/>
    <s v="100542487200003"/>
    <s v="Round Neck Tshirts  (Dubai College UAE) "/>
    <n v="3787.5"/>
    <m/>
    <n v="3787.5"/>
    <n v="189.375"/>
    <n v="3976.875"/>
    <x v="0"/>
  </r>
  <r>
    <x v="106"/>
    <s v="24-0282"/>
    <x v="94"/>
    <s v="-"/>
    <s v="ECOTAG Box - Sampling Charges"/>
    <n v="285.70999999999998"/>
    <m/>
    <n v="285.70999999999998"/>
    <n v="14.285499999999999"/>
    <n v="299.99549999999999"/>
    <x v="1"/>
  </r>
  <r>
    <x v="103"/>
    <s v="24-0283"/>
    <x v="94"/>
    <s v="-"/>
    <s v="Booth branding - Reprinting"/>
    <n v="450"/>
    <m/>
    <n v="450"/>
    <n v="22.5"/>
    <n v="472.5"/>
    <x v="0"/>
  </r>
  <r>
    <x v="33"/>
    <s v="24-0284"/>
    <x v="90"/>
    <s v="104020118600003"/>
    <s v="Business Cards"/>
    <n v="190"/>
    <m/>
    <n v="190"/>
    <n v="9.5"/>
    <n v="199.5"/>
    <x v="0"/>
  </r>
  <r>
    <x v="6"/>
    <s v="24-0285"/>
    <x v="93"/>
    <s v="100430750800003"/>
    <s v="Posters"/>
    <n v="1892"/>
    <m/>
    <n v="1892"/>
    <n v="94.600000000000009"/>
    <n v="1986.6"/>
    <x v="0"/>
  </r>
  <r>
    <x v="107"/>
    <s v="24-0286"/>
    <x v="93"/>
    <s v="-"/>
    <s v="ID card with die cut for lanyard hook "/>
    <n v="2173.75"/>
    <m/>
    <n v="2173.75"/>
    <n v="108.6875"/>
    <n v="2282.4375"/>
    <x v="1"/>
  </r>
  <r>
    <x v="10"/>
    <s v="24-0287"/>
    <x v="93"/>
    <s v="100540543400003"/>
    <s v="Business Cards"/>
    <n v="1060"/>
    <m/>
    <n v="1060"/>
    <n v="53"/>
    <n v="1113"/>
    <x v="1"/>
  </r>
  <r>
    <x v="37"/>
    <s v="24-0288"/>
    <x v="95"/>
    <s v="100249843200003 "/>
    <s v="Portrait Wooden Plaques with Box"/>
    <n v="3207.6"/>
    <m/>
    <n v="3207.6"/>
    <n v="160.38"/>
    <n v="3367.98"/>
    <x v="1"/>
  </r>
  <r>
    <x v="37"/>
    <s v="24-0289"/>
    <x v="95"/>
    <s v="100249843200003 "/>
    <s v="Portrait Wooden Plaques with Box"/>
    <n v="89.1"/>
    <m/>
    <n v="89.1"/>
    <n v="4.4550000000000001"/>
    <n v="93.554999999999993"/>
    <x v="1"/>
  </r>
  <r>
    <x v="108"/>
    <s v="24-0290"/>
    <x v="93"/>
    <s v="-"/>
    <s v="Brochure &amp; Business Cards"/>
    <n v="1183"/>
    <m/>
    <n v="1183"/>
    <n v="59.150000000000006"/>
    <n v="1242.1500000000001"/>
    <x v="0"/>
  </r>
  <r>
    <x v="20"/>
    <s v="24-0291"/>
    <x v="93"/>
    <m/>
    <s v="Void"/>
    <m/>
    <m/>
    <n v="0"/>
    <n v="0"/>
    <n v="0"/>
    <x v="0"/>
  </r>
  <r>
    <x v="20"/>
    <s v="24-0292"/>
    <x v="93"/>
    <s v="100235699400003"/>
    <s v="A4 Envelope"/>
    <n v="1190"/>
    <m/>
    <n v="1190"/>
    <n v="59.5"/>
    <n v="1249.5"/>
    <x v="0"/>
  </r>
  <r>
    <x v="20"/>
    <s v="24-0293"/>
    <x v="93"/>
    <s v="100235699400003"/>
    <s v="Business Cards"/>
    <n v="470"/>
    <m/>
    <n v="470"/>
    <n v="23.5"/>
    <n v="493.5"/>
    <x v="0"/>
  </r>
  <r>
    <x v="21"/>
    <s v="24-0294"/>
    <x v="95"/>
    <s v="-"/>
    <s v="3 fold Flyer"/>
    <n v="975"/>
    <m/>
    <n v="975"/>
    <n v="48.75"/>
    <n v="1023.75"/>
    <x v="0"/>
  </r>
  <r>
    <x v="6"/>
    <s v="24-0295"/>
    <x v="95"/>
    <s v="100430750800003"/>
    <s v="Business card"/>
    <n v="275"/>
    <m/>
    <n v="275"/>
    <n v="13.75"/>
    <n v="288.75"/>
    <x v="0"/>
  </r>
  <r>
    <x v="0"/>
    <s v="24-0296"/>
    <x v="96"/>
    <s v="100542487200003"/>
    <s v="JAS Board "/>
    <n v="875"/>
    <m/>
    <n v="875"/>
    <n v="43.75"/>
    <n v="918.75"/>
    <x v="0"/>
  </r>
  <r>
    <x v="0"/>
    <s v="24-0297"/>
    <x v="95"/>
    <s v="100542487200003"/>
    <s v="Business Card - DBS"/>
    <n v="105"/>
    <m/>
    <n v="105"/>
    <n v="5.25"/>
    <n v="110.25"/>
    <x v="0"/>
  </r>
  <r>
    <x v="0"/>
    <s v="24-0298"/>
    <x v="95"/>
    <s v="100542487200003"/>
    <s v="Canvas printing  - Jamil Azzam"/>
    <n v="540"/>
    <m/>
    <n v="540"/>
    <n v="27"/>
    <n v="567"/>
    <x v="0"/>
  </r>
  <r>
    <x v="17"/>
    <s v="24-0299"/>
    <x v="95"/>
    <s v="-"/>
    <s v="Business Cards"/>
    <n v="1145"/>
    <m/>
    <n v="1145"/>
    <n v="57.25"/>
    <n v="1202.25"/>
    <x v="0"/>
  </r>
  <r>
    <x v="15"/>
    <s v="24-0300"/>
    <x v="97"/>
    <s v="100399495900003"/>
    <s v="Business Cards"/>
    <n v="440"/>
    <m/>
    <n v="440"/>
    <n v="22"/>
    <n v="462"/>
    <x v="1"/>
  </r>
  <r>
    <x v="37"/>
    <s v="24-0301"/>
    <x v="98"/>
    <s v="100249843200003 "/>
    <s v="Portrait Wooden Plaques with Box"/>
    <n v="178.2"/>
    <m/>
    <n v="178.2"/>
    <n v="8.91"/>
    <n v="187.10999999999999"/>
    <x v="1"/>
  </r>
  <r>
    <x v="6"/>
    <s v="24-0302"/>
    <x v="98"/>
    <s v="100430750800003"/>
    <s v="Tote Bags, Sticker, A4 Flyer"/>
    <n v="5242.5"/>
    <m/>
    <n v="5242.5"/>
    <n v="262.125"/>
    <n v="5504.625"/>
    <x v="0"/>
  </r>
  <r>
    <x v="20"/>
    <s v="24-0303"/>
    <x v="98"/>
    <s v="100235699400003"/>
    <s v="Crystal Trophy"/>
    <n v="2250"/>
    <m/>
    <n v="2250"/>
    <n v="112.5"/>
    <n v="2362.5"/>
    <x v="0"/>
  </r>
  <r>
    <x v="3"/>
    <s v="24-0304"/>
    <x v="98"/>
    <s v="100032677500003"/>
    <s v="Business card"/>
    <n v="450"/>
    <m/>
    <n v="450"/>
    <n v="22.5"/>
    <n v="472.5"/>
    <x v="0"/>
  </r>
  <r>
    <x v="18"/>
    <s v="24-0305"/>
    <x v="97"/>
    <s v="100593105800003"/>
    <s v="A5 Flyer "/>
    <n v="1060"/>
    <m/>
    <n v="1060"/>
    <n v="53"/>
    <n v="1113"/>
    <x v="0"/>
  </r>
  <r>
    <x v="0"/>
    <s v="24-0306"/>
    <x v="99"/>
    <s v="100542487200003"/>
    <s v="Journal (DBSEH), Admission Card(DBSEH)"/>
    <n v="666.25"/>
    <m/>
    <n v="666.25"/>
    <n v="33.3125"/>
    <n v="699.5625"/>
    <x v="0"/>
  </r>
  <r>
    <x v="0"/>
    <s v="24-0307"/>
    <x v="99"/>
    <s v="100542487200003"/>
    <s v="Tshirts (Customized)"/>
    <n v="550"/>
    <m/>
    <n v="550"/>
    <n v="27.5"/>
    <n v="577.5"/>
    <x v="0"/>
  </r>
  <r>
    <x v="82"/>
    <s v="24-0308"/>
    <x v="98"/>
    <s v="100290916400003"/>
    <s v="Backpack - GSD 2024 Giveaway (GT KCT)"/>
    <n v="1240"/>
    <m/>
    <n v="1240"/>
    <n v="62"/>
    <n v="1302"/>
    <x v="1"/>
  </r>
  <r>
    <x v="1"/>
    <s v="24-0309"/>
    <x v="100"/>
    <s v="104166051300003"/>
    <s v="Trophies and Hoodies"/>
    <n v="869"/>
    <m/>
    <n v="869"/>
    <n v="43.45"/>
    <n v="912.45"/>
    <x v="0"/>
  </r>
  <r>
    <x v="63"/>
    <s v="24-0310"/>
    <x v="100"/>
    <s v=" 100484375900003"/>
    <s v="Business Card"/>
    <n v="295"/>
    <m/>
    <n v="295"/>
    <n v="14.75"/>
    <n v="309.75"/>
    <x v="0"/>
  </r>
  <r>
    <x v="0"/>
    <s v="24-0311"/>
    <x v="101"/>
    <s v="100542487200003"/>
    <s v="JBS G12 Graduation Program 2024 Book"/>
    <n v="685.02"/>
    <m/>
    <n v="685.02"/>
    <n v="34.250999999999998"/>
    <n v="719.27099999999996"/>
    <x v="0"/>
  </r>
  <r>
    <x v="18"/>
    <s v="24-0312"/>
    <x v="98"/>
    <s v="100593105800003"/>
    <s v="Office Re-branding - PHASE II"/>
    <n v="2507"/>
    <m/>
    <n v="2507"/>
    <n v="125.35000000000001"/>
    <n v="2632.35"/>
    <x v="0"/>
  </r>
  <r>
    <x v="18"/>
    <s v="24-0313"/>
    <x v="98"/>
    <s v="100593105800003"/>
    <s v="Office Re-branding - PHASE II -8th Floor"/>
    <n v="5685"/>
    <m/>
    <n v="5685"/>
    <n v="284.25"/>
    <n v="5969.25"/>
    <x v="0"/>
  </r>
  <r>
    <x v="18"/>
    <s v="24-0314"/>
    <x v="100"/>
    <s v="100593105800003"/>
    <s v="20240508 - Sanji - Cassol - Aussizz - Al Tareeq"/>
    <n v="590"/>
    <m/>
    <n v="590"/>
    <n v="29.5"/>
    <n v="619.5"/>
    <x v="0"/>
  </r>
  <r>
    <x v="18"/>
    <s v="24-0315"/>
    <x v="98"/>
    <s v="100593105800003"/>
    <s v="Parking Permit"/>
    <n v="284.92"/>
    <m/>
    <n v="284.92"/>
    <n v="14.246000000000002"/>
    <n v="299.166"/>
    <x v="0"/>
  </r>
  <r>
    <x v="94"/>
    <s v="24-0316"/>
    <x v="101"/>
    <s v="100462479500003"/>
    <s v="A4 Sticker"/>
    <n v="195"/>
    <m/>
    <n v="195"/>
    <n v="9.75"/>
    <n v="204.75"/>
    <x v="0"/>
  </r>
  <r>
    <x v="6"/>
    <s v="24-0317"/>
    <x v="101"/>
    <s v="100430750800003"/>
    <s v="Business card"/>
    <n v="275"/>
    <m/>
    <n v="275"/>
    <n v="13.75"/>
    <n v="288.75"/>
    <x v="0"/>
  </r>
  <r>
    <x v="0"/>
    <s v="24-0318"/>
    <x v="102"/>
    <s v="100542487200003"/>
    <s v="Business card - FICHTE"/>
    <n v="420"/>
    <m/>
    <n v="420"/>
    <n v="21"/>
    <n v="441"/>
    <x v="0"/>
  </r>
  <r>
    <x v="0"/>
    <s v="24-0319"/>
    <x v="102"/>
    <s v="100542487200003"/>
    <s v="Raha School - Designing charges"/>
    <n v="350"/>
    <m/>
    <n v="350"/>
    <n v="17.5"/>
    <n v="367.5"/>
    <x v="0"/>
  </r>
  <r>
    <x v="16"/>
    <s v="24-0320"/>
    <x v="103"/>
    <s v="100293287700003"/>
    <s v="Recycled Notebook with Pen "/>
    <n v="1612.5"/>
    <m/>
    <n v="1612.5"/>
    <n v="80.625"/>
    <n v="1693.125"/>
    <x v="1"/>
  </r>
  <r>
    <x v="5"/>
    <s v="24-0321"/>
    <x v="102"/>
    <s v="104037069200003"/>
    <s v="Business Cards"/>
    <n v="217.5"/>
    <m/>
    <n v="217.5"/>
    <n v="10.875"/>
    <n v="228.375"/>
    <x v="0"/>
  </r>
  <r>
    <x v="98"/>
    <s v="24-0322"/>
    <x v="102"/>
    <s v="100048520900003"/>
    <s v="Board Supplies done in May, 2024"/>
    <n v="210"/>
    <m/>
    <n v="210"/>
    <n v="10.5"/>
    <n v="220.5"/>
    <x v="0"/>
  </r>
  <r>
    <x v="99"/>
    <s v="24-0323"/>
    <x v="102"/>
    <s v="100048520900003"/>
    <s v="Board Supplies done in May, 2024"/>
    <n v="60"/>
    <m/>
    <n v="60"/>
    <n v="3"/>
    <n v="63"/>
    <x v="0"/>
  </r>
  <r>
    <x v="109"/>
    <s v="24-0324"/>
    <x v="102"/>
    <s v="-"/>
    <s v="Website Designing and Development"/>
    <n v="2000"/>
    <m/>
    <n v="2000"/>
    <n v="100"/>
    <n v="2100"/>
    <x v="0"/>
  </r>
  <r>
    <x v="54"/>
    <s v="24-0325"/>
    <x v="102"/>
    <s v="104061690400003"/>
    <s v="Polo Shirts - Kids"/>
    <n v="7425"/>
    <m/>
    <n v="7425"/>
    <n v="371.25"/>
    <n v="7796.25"/>
    <x v="1"/>
  </r>
  <r>
    <x v="70"/>
    <s v="24-0326"/>
    <x v="103"/>
    <s v="100282822400003"/>
    <s v="Brochure - SRH International College,Brochures  ICN, Paper bag"/>
    <n v="1757.5"/>
    <m/>
    <n v="1757.5"/>
    <n v="87.875"/>
    <n v="1845.375"/>
    <x v="0"/>
  </r>
  <r>
    <x v="37"/>
    <s v="24-0327"/>
    <x v="103"/>
    <s v="100282822400003"/>
    <s v="Portrait Wooden Plaques with Box"/>
    <n v="356.4"/>
    <m/>
    <n v="356.4"/>
    <n v="17.82"/>
    <n v="374.21999999999997"/>
    <x v="1"/>
  </r>
  <r>
    <x v="6"/>
    <s v="24-0328"/>
    <x v="103"/>
    <s v="100430750800003"/>
    <s v="Polo Shirt"/>
    <n v="124"/>
    <m/>
    <n v="124"/>
    <n v="6.2"/>
    <n v="130.19999999999999"/>
    <x v="0"/>
  </r>
  <r>
    <x v="18"/>
    <s v="24-0329"/>
    <x v="103"/>
    <s v="100593105800003"/>
    <s v="Booth branding (Shell scheme) - Designing charges"/>
    <n v="6020"/>
    <m/>
    <n v="6020"/>
    <n v="301"/>
    <n v="6321"/>
    <x v="0"/>
  </r>
  <r>
    <x v="18"/>
    <s v="24-0330"/>
    <x v="103"/>
    <s v="100593105800003"/>
    <s v="-"/>
    <s v="-"/>
    <m/>
    <s v="-"/>
    <s v="-"/>
    <s v="-"/>
    <x v="0"/>
  </r>
  <r>
    <x v="18"/>
    <s v="24-0331"/>
    <x v="103"/>
    <s v="100593105800003"/>
    <s v="Hoodie with zipper "/>
    <n v="381.25"/>
    <m/>
    <n v="381.25"/>
    <n v="19.0625"/>
    <n v="400.3125"/>
    <x v="0"/>
  </r>
  <r>
    <x v="18"/>
    <s v="24-0332"/>
    <x v="103"/>
    <s v="100593105800003"/>
    <s v="Dublin Training - Roll up - A3 Posters - Certificates"/>
    <n v="187.5"/>
    <m/>
    <n v="187.5"/>
    <n v="9.375"/>
    <n v="196.875"/>
    <x v="0"/>
  </r>
  <r>
    <x v="0"/>
    <s v="24-0333"/>
    <x v="103"/>
    <s v="100542487200003"/>
    <s v="Pop Up Banner"/>
    <n v="2550"/>
    <m/>
    <n v="2550"/>
    <n v="127.5"/>
    <n v="2677.5"/>
    <x v="0"/>
  </r>
  <r>
    <x v="36"/>
    <s v="24-0334"/>
    <x v="104"/>
    <s v="100349055200003"/>
    <s v="Balloons (Helium)"/>
    <n v="1233.75"/>
    <m/>
    <n v="1233.75"/>
    <n v="61.6875"/>
    <n v="1295.4375"/>
    <x v="1"/>
  </r>
  <r>
    <x v="110"/>
    <s v="24-0335"/>
    <x v="105"/>
    <m/>
    <s v="Business Card"/>
    <n v="90"/>
    <m/>
    <n v="90"/>
    <n v="4.5"/>
    <n v="94.5"/>
    <x v="0"/>
  </r>
  <r>
    <x v="0"/>
    <s v="24-0336"/>
    <x v="106"/>
    <s v="100593105800003"/>
    <s v="A4 size, Total 16 pages"/>
    <n v="705"/>
    <m/>
    <n v="705"/>
    <n v="35.25"/>
    <n v="740.25"/>
    <x v="0"/>
  </r>
  <r>
    <x v="0"/>
    <s v="24-0337"/>
    <x v="106"/>
    <s v="100593105800003"/>
    <s v="Yearbook (Raha School)"/>
    <n v="18962.5"/>
    <m/>
    <n v="18962.5"/>
    <n v="948.125"/>
    <n v="19910.625"/>
    <x v="0"/>
  </r>
  <r>
    <x v="0"/>
    <s v="24-0338"/>
    <x v="106"/>
    <s v="100593105800003"/>
    <s v="A5 Notepad (Top Glue)"/>
    <n v="945"/>
    <m/>
    <n v="945"/>
    <n v="47.25"/>
    <n v="992.25"/>
    <x v="0"/>
  </r>
  <r>
    <x v="21"/>
    <s v="24-0339"/>
    <x v="106"/>
    <s v="-"/>
    <s v="3 fold flyer, Business card"/>
    <n v="2260"/>
    <m/>
    <n v="2260"/>
    <n v="113"/>
    <n v="2373"/>
    <x v="0"/>
  </r>
  <r>
    <x v="0"/>
    <s v="24-0340"/>
    <x v="106"/>
    <s v="100593105800003"/>
    <s v="Designing Charges - GIS year book, Designing Charges - UIS year book, "/>
    <n v="4000"/>
    <m/>
    <n v="4000"/>
    <n v="200"/>
    <n v="4200"/>
    <x v="0"/>
  </r>
  <r>
    <x v="20"/>
    <s v="24-0341"/>
    <x v="104"/>
    <s v="100235699400003"/>
    <s v="Access cards (Client supplied)"/>
    <n v="1311"/>
    <m/>
    <n v="1311"/>
    <n v="65.55"/>
    <n v="1376.55"/>
    <x v="0"/>
  </r>
  <r>
    <x v="37"/>
    <s v="24-0342"/>
    <x v="107"/>
    <s v="100249843200003"/>
    <s v="Ribbon with printing "/>
    <n v="358.75"/>
    <m/>
    <n v="358.75"/>
    <n v="17.9375"/>
    <n v="376.6875"/>
    <x v="1"/>
  </r>
  <r>
    <x v="111"/>
    <s v="24-0342 A"/>
    <x v="108"/>
    <s v="100511338400003"/>
    <s v="Mug"/>
    <n v="367.5"/>
    <m/>
    <n v="367.5"/>
    <n v="18.375"/>
    <n v="385.875"/>
    <x v="0"/>
  </r>
  <r>
    <x v="1"/>
    <s v="24-0344"/>
    <x v="108"/>
    <s v="104166051300003"/>
    <s v="A4 Notepad (PECUNIA), Pen (Metal), A4 Pocket folder, A4 Notepad (PECUNIA)"/>
    <n v="1788"/>
    <m/>
    <n v="1788"/>
    <n v="89.4"/>
    <n v="1877.4"/>
    <x v="0"/>
  </r>
  <r>
    <x v="6"/>
    <s v="24-0345"/>
    <x v="109"/>
    <s v="100430750800003"/>
    <s v="Students Course Guide , Metal Pens, A4 Flyers , "/>
    <n v="9397.5"/>
    <m/>
    <n v="9397.5"/>
    <n v="469.875"/>
    <n v="9867.375"/>
    <x v="0"/>
  </r>
  <r>
    <x v="0"/>
    <s v="24-0346"/>
    <x v="107"/>
    <s v="100542487200003"/>
    <s v="Coloring Book"/>
    <n v="1345"/>
    <m/>
    <n v="1345"/>
    <n v="67.25"/>
    <n v="1412.25"/>
    <x v="0"/>
  </r>
  <r>
    <x v="0"/>
    <s v="24-0347"/>
    <x v="107"/>
    <s v="100542487200003"/>
    <s v="A5 prints- Taaleem"/>
    <n v="125"/>
    <m/>
    <n v="125"/>
    <n v="6.25"/>
    <n v="131.25"/>
    <x v="0"/>
  </r>
  <r>
    <x v="0"/>
    <s v="24-0348"/>
    <x v="107"/>
    <s v="100542487200003"/>
    <s v="Leaflet - GIS"/>
    <n v="925"/>
    <m/>
    <n v="925"/>
    <n v="46.25"/>
    <n v="971.25"/>
    <x v="0"/>
  </r>
  <r>
    <x v="10"/>
    <s v="24-0349"/>
    <x v="110"/>
    <s v="100540543400003"/>
    <s v="Patient Profile Books"/>
    <n v="1695"/>
    <m/>
    <n v="1695"/>
    <n v="84.75"/>
    <n v="1779.75"/>
    <x v="1"/>
  </r>
  <r>
    <x v="0"/>
    <s v="24-0350"/>
    <x v="107"/>
    <s v="100542487200003"/>
    <s v="T-shirts"/>
    <n v="1344"/>
    <m/>
    <n v="1344"/>
    <n v="67.2"/>
    <n v="1411.2"/>
    <x v="0"/>
  </r>
  <r>
    <x v="20"/>
    <s v="24-0351"/>
    <x v="104"/>
    <s v="100235699400003"/>
    <s v="Business Cards"/>
    <n v="420"/>
    <m/>
    <n v="420"/>
    <n v="21"/>
    <n v="441"/>
    <x v="0"/>
  </r>
  <r>
    <x v="18"/>
    <s v="24-0352"/>
    <x v="110"/>
    <s v="100593105800003"/>
    <s v="IDP Business Cards"/>
    <n v="160"/>
    <m/>
    <n v="160"/>
    <n v="8"/>
    <n v="168"/>
    <x v="0"/>
  </r>
  <r>
    <x v="104"/>
    <s v="24-0353"/>
    <x v="111"/>
    <m/>
    <s v="Business Cards"/>
    <n v="768"/>
    <m/>
    <n v="768"/>
    <n v="38.400000000000006"/>
    <n v="806.4"/>
    <x v="1"/>
  </r>
  <r>
    <x v="11"/>
    <s v="24-0354"/>
    <x v="111"/>
    <s v=" 100056728700003"/>
    <s v="Business Cards"/>
    <n v="375"/>
    <m/>
    <n v="375"/>
    <n v="18.75"/>
    <n v="393.75"/>
    <x v="1"/>
  </r>
  <r>
    <x v="21"/>
    <s v="24-0355"/>
    <x v="111"/>
    <m/>
    <s v="Paper bag and Pennant"/>
    <n v="4185"/>
    <m/>
    <n v="4185"/>
    <n v="209.25"/>
    <n v="4394.25"/>
    <x v="0"/>
  </r>
  <r>
    <x v="55"/>
    <s v="24-0356"/>
    <x v="111"/>
    <s v="100433257100003"/>
    <s v="Stickers"/>
    <n v="389.75"/>
    <m/>
    <n v="389.75"/>
    <n v="19.487500000000001"/>
    <n v="409.23750000000001"/>
    <x v="1"/>
  </r>
  <r>
    <x v="6"/>
    <s v="24-0357"/>
    <x v="111"/>
    <s v="100430750800003"/>
    <s v="Double Wall Vacuum Water bottle ,Eco-neutral A5 Cork Fabric Hard Cover Notebook and Pen Set-Red, Bookmark,Desk Calendar 2025"/>
    <n v="24010"/>
    <m/>
    <n v="24010"/>
    <n v="1200.5"/>
    <n v="25210.5"/>
    <x v="0"/>
  </r>
  <r>
    <x v="1"/>
    <s v="24-0358"/>
    <x v="111"/>
    <s v="104166051300003"/>
    <s v="Business cards"/>
    <n v="350"/>
    <m/>
    <n v="350"/>
    <n v="17.5"/>
    <n v="367.5"/>
    <x v="0"/>
  </r>
  <r>
    <x v="104"/>
    <s v="24-0359"/>
    <x v="112"/>
    <m/>
    <s v="Business cards"/>
    <n v="125"/>
    <m/>
    <n v="125"/>
    <n v="6.25"/>
    <n v="131.25"/>
    <x v="1"/>
  </r>
  <r>
    <x v="112"/>
    <s v="24-0360"/>
    <x v="111"/>
    <s v="100536270000003"/>
    <s v="Notebooks"/>
    <n v="45667.08"/>
    <m/>
    <n v="45667.08"/>
    <n v="2283.3540000000003"/>
    <n v="47950.434000000001"/>
    <x v="1"/>
  </r>
  <r>
    <x v="76"/>
    <s v="24-0361"/>
    <x v="111"/>
    <s v="104146932900003"/>
    <s v="Spiral Notebooks,Pen (Plastic), Water bottle, Mug with cork base with lid, Jute Bag "/>
    <n v="5935"/>
    <m/>
    <n v="5935"/>
    <n v="296.75"/>
    <n v="6231.75"/>
    <x v="0"/>
  </r>
  <r>
    <x v="70"/>
    <s v="24-0362"/>
    <x v="112"/>
    <s v="100282822400003"/>
    <s v="Wall Sticker - Phone bhooth"/>
    <n v="1325"/>
    <m/>
    <n v="1325"/>
    <n v="66.25"/>
    <n v="1391.25"/>
    <x v="0"/>
  </r>
  <r>
    <x v="113"/>
    <s v="24-0363"/>
    <x v="112"/>
    <s v="100212272700003"/>
    <s v="Membership Directory 2025-26"/>
    <n v="39130"/>
    <m/>
    <n v="39130"/>
    <n v="1956.5"/>
    <n v="41086.5"/>
    <x v="3"/>
  </r>
  <r>
    <x v="0"/>
    <s v="24-0364"/>
    <x v="112"/>
    <s v=" 100542487200003"/>
    <s v="Brochure - (DBSEH)"/>
    <n v="15956.5"/>
    <m/>
    <n v="15956.5"/>
    <n v="797.82500000000005"/>
    <n v="16754.325000000001"/>
    <x v="0"/>
  </r>
  <r>
    <x v="51"/>
    <s v="24-0365"/>
    <x v="112"/>
    <s v="100377505100003"/>
    <s v="Santhome Round Neck Tshirt (Premium) "/>
    <n v="1790"/>
    <m/>
    <n v="1790"/>
    <n v="89.5"/>
    <n v="1879.5"/>
    <x v="0"/>
  </r>
  <r>
    <x v="72"/>
    <s v="24-0366"/>
    <x v="113"/>
    <m/>
    <s v="Flyer "/>
    <n v="735"/>
    <m/>
    <n v="735"/>
    <n v="36.75"/>
    <n v="771.75"/>
    <x v="0"/>
  </r>
  <r>
    <x v="91"/>
    <s v="24-0367"/>
    <x v="114"/>
    <s v="100386934200003"/>
    <s v="Polo Shirts"/>
    <n v="4000"/>
    <m/>
    <n v="4000"/>
    <n v="200"/>
    <n v="4200"/>
    <x v="1"/>
  </r>
  <r>
    <x v="0"/>
    <s v="24-0368"/>
    <x v="114"/>
    <s v=" 100542487200003"/>
    <s v="A5 Notepad (top glue)  Taaleem"/>
    <n v="1685"/>
    <m/>
    <n v="1685"/>
    <n v="84.25"/>
    <n v="1769.25"/>
    <x v="0"/>
  </r>
  <r>
    <x v="0"/>
    <s v="24-0369"/>
    <x v="114"/>
    <s v=" 100542487200003"/>
    <s v="Flyer – Dubai School"/>
    <n v="575"/>
    <m/>
    <n v="575"/>
    <n v="28.75"/>
    <n v="603.75"/>
    <x v="0"/>
  </r>
  <r>
    <x v="44"/>
    <s v="24-0370"/>
    <x v="114"/>
    <s v="100533217400003"/>
    <s v="Staff ID Card priting, Lanyard (Ready made) "/>
    <n v="210"/>
    <m/>
    <n v="210"/>
    <n v="10.5"/>
    <n v="220.5"/>
    <x v="0"/>
  </r>
  <r>
    <x v="80"/>
    <s v="24-0371"/>
    <x v="113"/>
    <s v="100267612800003"/>
    <s v="VIP Magnetic cord  lanyard"/>
    <n v="1263.5"/>
    <m/>
    <n v="1263.5"/>
    <n v="63.175000000000004"/>
    <n v="1326.675"/>
    <x v="1"/>
  </r>
  <r>
    <x v="0"/>
    <s v="24-0372"/>
    <x v="115"/>
    <s v="100542487200003"/>
    <s v="Brochure - 7 fold JBS"/>
    <n v="3540"/>
    <m/>
    <n v="3540"/>
    <n v="177"/>
    <n v="3717"/>
    <x v="0"/>
  </r>
  <r>
    <x v="0"/>
    <s v="24-0373"/>
    <x v="116"/>
    <s v="100542487200003"/>
    <s v="Flags &amp; Banners (GIS)"/>
    <n v="450"/>
    <m/>
    <n v="450"/>
    <n v="22.5"/>
    <n v="472.5"/>
    <x v="0"/>
  </r>
  <r>
    <x v="114"/>
    <s v="24-0374"/>
    <x v="116"/>
    <m/>
    <s v="Cotton tote bag, Cork base Mug"/>
    <n v="1875"/>
    <m/>
    <n v="1875"/>
    <n v="93.75"/>
    <n v="1968.75"/>
    <x v="0"/>
  </r>
  <r>
    <x v="0"/>
    <s v="24-0375"/>
    <x v="117"/>
    <s v="100542487200003"/>
    <s v="Year Book -GIS"/>
    <n v="12576"/>
    <m/>
    <n v="12576"/>
    <n v="628.80000000000007"/>
    <n v="13204.8"/>
    <x v="0"/>
  </r>
  <r>
    <x v="15"/>
    <s v="24-0376"/>
    <x v="116"/>
    <s v="100399495900003"/>
    <s v="Business Card"/>
    <n v="285"/>
    <m/>
    <n v="285"/>
    <n v="14.25"/>
    <n v="299.25"/>
    <x v="1"/>
  </r>
  <r>
    <x v="115"/>
    <s v="24-0377"/>
    <x v="115"/>
    <s v="100596449700003"/>
    <s v="Business card"/>
    <n v="285"/>
    <m/>
    <n v="285"/>
    <n v="14.25"/>
    <n v="299.25"/>
    <x v="4"/>
  </r>
  <r>
    <x v="6"/>
    <s v="24-0378"/>
    <x v="116"/>
    <s v="100430750800003"/>
    <s v="Business card"/>
    <n v="275"/>
    <m/>
    <n v="275"/>
    <n v="13.75"/>
    <n v="288.75"/>
    <x v="0"/>
  </r>
  <r>
    <x v="51"/>
    <s v="24-0379"/>
    <x v="115"/>
    <s v="100377505100003"/>
    <s v="Change of Fabric for Backdrop &amp; Flag"/>
    <n v="1296"/>
    <m/>
    <n v="1296"/>
    <n v="64.8"/>
    <n v="1360.8"/>
    <x v="0"/>
  </r>
  <r>
    <x v="116"/>
    <s v="24-0380"/>
    <x v="118"/>
    <m/>
    <s v="Office signage "/>
    <n v="425"/>
    <m/>
    <n v="425"/>
    <n v="21.25"/>
    <n v="446.25"/>
    <x v="0"/>
  </r>
  <r>
    <x v="80"/>
    <s v="24-0381"/>
    <x v="118"/>
    <n v="100267612800003"/>
    <s v="A4 Paper Bag - Vertical"/>
    <n v="2125"/>
    <m/>
    <n v="2125"/>
    <n v="106.25"/>
    <n v="2231.25"/>
    <x v="1"/>
  </r>
  <r>
    <x v="17"/>
    <s v="24-0382"/>
    <x v="118"/>
    <m/>
    <s v="Directory signage, Mr. Selvam's office wall branding, Entrance Glass door branding, Rollup "/>
    <n v="820"/>
    <m/>
    <n v="820"/>
    <n v="41"/>
    <n v="861"/>
    <x v="0"/>
  </r>
  <r>
    <x v="11"/>
    <s v="24-0383"/>
    <x v="116"/>
    <s v="100056728700003"/>
    <s v="Business card"/>
    <n v="495"/>
    <m/>
    <n v="495"/>
    <n v="24.75"/>
    <n v="519.75"/>
    <x v="1"/>
  </r>
  <r>
    <x v="98"/>
    <s v="24-0384"/>
    <x v="118"/>
    <s v="100048520900003"/>
    <s v="Sticker on supplied board "/>
    <n v="60"/>
    <m/>
    <n v="60"/>
    <n v="3"/>
    <n v="63"/>
    <x v="0"/>
  </r>
  <r>
    <x v="99"/>
    <s v="24-0385"/>
    <x v="118"/>
    <s v="100048520900003"/>
    <s v="Sticker on supplied board "/>
    <n v="30"/>
    <m/>
    <n v="30"/>
    <n v="1.5"/>
    <n v="31.5"/>
    <x v="0"/>
  </r>
  <r>
    <x v="96"/>
    <s v="24-0386"/>
    <x v="119"/>
    <s v="100556794400003"/>
    <s v="Business Card - PERI"/>
    <n v="459.52"/>
    <m/>
    <n v="459.52"/>
    <n v="22.975999999999999"/>
    <n v="482.49599999999998"/>
    <x v="0"/>
  </r>
  <r>
    <x v="10"/>
    <s v="24-0387"/>
    <x v="118"/>
    <s v=" 100540543400003"/>
    <s v="Medical Complaints &amp; History Cards"/>
    <n v="8375"/>
    <m/>
    <n v="8375"/>
    <n v="418.75"/>
    <n v="8793.75"/>
    <x v="1"/>
  </r>
  <r>
    <x v="117"/>
    <s v="24-0388"/>
    <x v="116"/>
    <s v="100347786400003"/>
    <s v="Diary - TWIN NOTE, Metal Pen , Name board, Tissue box with tissues , A4 Certificate Holder, Pocket folder , PU Leather Holder, Notepad (top glue), Tea Coaster , Shopping Paper Bag"/>
    <n v="10930"/>
    <m/>
    <n v="10930"/>
    <n v="546.5"/>
    <n v="11476.5"/>
    <x v="1"/>
  </r>
  <r>
    <x v="118"/>
    <s v="24-0389"/>
    <x v="116"/>
    <s v="100035896800003"/>
    <s v="Business Card"/>
    <n v="235"/>
    <m/>
    <n v="235"/>
    <n v="11.75"/>
    <n v="246.75"/>
    <x v="1"/>
  </r>
  <r>
    <x v="0"/>
    <s v="24-0390"/>
    <x v="118"/>
    <s v="'100542487200003"/>
    <s v="Instagram frames - DBSJ , Star stickers"/>
    <n v="565"/>
    <m/>
    <n v="565"/>
    <n v="28.25"/>
    <n v="593.25"/>
    <x v="0"/>
  </r>
  <r>
    <x v="80"/>
    <s v="24-0391"/>
    <x v="116"/>
    <s v="100267612800003"/>
    <s v="Metal Pen, Twin Note Book , "/>
    <n v="20950"/>
    <m/>
    <n v="20950"/>
    <n v="1047.5"/>
    <n v="21997.5"/>
    <x v="1"/>
  </r>
  <r>
    <x v="117"/>
    <s v="24-0392"/>
    <x v="116"/>
    <s v="100347786400003"/>
    <s v="Name board"/>
    <n v="212.25"/>
    <m/>
    <n v="212.25"/>
    <n v="10.612500000000001"/>
    <n v="222.86250000000001"/>
    <x v="1"/>
  </r>
  <r>
    <x v="119"/>
    <s v="24-0393"/>
    <x v="116"/>
    <s v="100241312600003"/>
    <s v="Rollups, Signage"/>
    <n v="0"/>
    <m/>
    <n v="0"/>
    <n v="0"/>
    <n v="0"/>
    <x v="5"/>
  </r>
  <r>
    <x v="0"/>
    <s v="24-0394"/>
    <x v="119"/>
    <s v="100542487200003"/>
    <s v="Yearbook (UIS)"/>
    <n v="11212.5"/>
    <m/>
    <n v="11212.5"/>
    <n v="560.625"/>
    <n v="11773.125"/>
    <x v="0"/>
  </r>
  <r>
    <x v="114"/>
    <s v="24-0395"/>
    <x v="116"/>
    <m/>
    <s v="Rollups, Lanyard"/>
    <n v="2642.5"/>
    <m/>
    <n v="2642.5"/>
    <n v="132.125"/>
    <n v="2774.625"/>
    <x v="0"/>
  </r>
  <r>
    <x v="0"/>
    <s v="24-0396"/>
    <x v="119"/>
    <s v="100542487200003"/>
    <s v="Year Book -GIS"/>
    <n v="491.25"/>
    <m/>
    <n v="491.25"/>
    <n v="24.5625"/>
    <n v="515.8125"/>
    <x v="0"/>
  </r>
  <r>
    <x v="68"/>
    <s v="24-0397"/>
    <x v="116"/>
    <s v=" 100566746200003"/>
    <s v="Website Designing and Development "/>
    <n v="485"/>
    <m/>
    <n v="485"/>
    <n v="24.25"/>
    <n v="509.25"/>
    <x v="1"/>
  </r>
  <r>
    <x v="0"/>
    <s v="24-0398"/>
    <x v="119"/>
    <s v="100542487200003"/>
    <s v="Business Cards and Letterhead"/>
    <n v="1225"/>
    <m/>
    <n v="1225"/>
    <n v="61.25"/>
    <n v="1286.25"/>
    <x v="0"/>
  </r>
  <r>
    <x v="120"/>
    <s v="24-0399"/>
    <x v="119"/>
    <m/>
    <s v="Card +Envelope"/>
    <n v="714.29"/>
    <m/>
    <n v="714.29"/>
    <n v="35.714500000000001"/>
    <n v="750.00450000000001"/>
    <x v="4"/>
  </r>
  <r>
    <x v="76"/>
    <s v="24-0400"/>
    <x v="120"/>
    <s v=" 104146932900003"/>
    <s v="Gift tag with die cut"/>
    <n v="485"/>
    <m/>
    <n v="485"/>
    <n v="24.25"/>
    <n v="509.25"/>
    <x v="0"/>
  </r>
  <r>
    <x v="21"/>
    <s v="24-0401"/>
    <x v="120"/>
    <m/>
    <s v="Table Cloth-Trinity College Dublin"/>
    <n v="275"/>
    <m/>
    <n v="275"/>
    <n v="13.75"/>
    <n v="288.75"/>
    <x v="0"/>
  </r>
  <r>
    <x v="121"/>
    <s v="24-0402"/>
    <x v="121"/>
    <m/>
    <s v="Water Dispenser cover"/>
    <n v="200"/>
    <m/>
    <n v="200"/>
    <n v="10"/>
    <n v="210"/>
    <x v="0"/>
  </r>
  <r>
    <x v="122"/>
    <s v="24-0403"/>
    <x v="121"/>
    <m/>
    <s v="Mug"/>
    <n v="1243.75"/>
    <m/>
    <n v="1243.75"/>
    <n v="62.1875"/>
    <n v="1305.9375"/>
    <x v="1"/>
  </r>
  <r>
    <x v="104"/>
    <s v="24-0404"/>
    <x v="120"/>
    <m/>
    <s v="Business Card"/>
    <n v="175"/>
    <m/>
    <n v="175"/>
    <n v="8.75"/>
    <n v="183.75"/>
    <x v="1"/>
  </r>
  <r>
    <x v="123"/>
    <s v="24-0405"/>
    <x v="122"/>
    <s v=" 100272379700003"/>
    <s v="Executive Formal Shirts (Long sleeves)"/>
    <n v="2800"/>
    <m/>
    <n v="2800"/>
    <n v="140"/>
    <n v="2940"/>
    <x v="1"/>
  </r>
  <r>
    <x v="0"/>
    <s v="24-0406"/>
    <x v="120"/>
    <s v="100542487200003"/>
    <s v="A5 Booklet – DBSEH "/>
    <n v="1675"/>
    <m/>
    <n v="1675"/>
    <n v="83.75"/>
    <n v="1758.75"/>
    <x v="0"/>
  </r>
  <r>
    <x v="11"/>
    <s v="24-0407"/>
    <x v="123"/>
    <s v="100056728700003"/>
    <s v="Business Card"/>
    <n v="435"/>
    <m/>
    <n v="435"/>
    <n v="21.75"/>
    <n v="456.75"/>
    <x v="1"/>
  </r>
  <r>
    <x v="13"/>
    <s v="24-0408"/>
    <x v="123"/>
    <s v="100567483100003"/>
    <s v="Roll Up banner"/>
    <n v="700"/>
    <m/>
    <n v="700"/>
    <n v="35"/>
    <n v="735"/>
    <x v="1"/>
  </r>
  <r>
    <x v="124"/>
    <s v="24-0409"/>
    <x v="122"/>
    <s v="100279643900003"/>
    <s v="Certificate"/>
    <n v="1803.75"/>
    <m/>
    <n v="1803.75"/>
    <n v="90.1875"/>
    <n v="1893.9375"/>
    <x v="0"/>
  </r>
  <r>
    <x v="6"/>
    <s v="24-0410"/>
    <x v="122"/>
    <s v="100430750800003"/>
    <s v="Sports bibs"/>
    <n v="702"/>
    <m/>
    <n v="702"/>
    <n v="35.1"/>
    <n v="737.1"/>
    <x v="0"/>
  </r>
  <r>
    <x v="20"/>
    <s v="24-0411"/>
    <x v="122"/>
    <s v="100235699400003"/>
    <s v="Business Cards"/>
    <n v="470"/>
    <m/>
    <n v="470"/>
    <n v="23.5"/>
    <n v="493.5"/>
    <x v="0"/>
  </r>
  <r>
    <x v="125"/>
    <s v="24-0412"/>
    <x v="122"/>
    <s v=" 100444367500003"/>
    <s v="Polo Shirt"/>
    <n v="2032.5"/>
    <m/>
    <n v="2032.5"/>
    <n v="101.625"/>
    <n v="2134.125"/>
    <x v="1"/>
  </r>
  <r>
    <x v="20"/>
    <s v="24-0413"/>
    <x v="122"/>
    <s v="100235699400003"/>
    <s v="A5 Envelope"/>
    <n v="575"/>
    <m/>
    <n v="575"/>
    <n v="28.75"/>
    <n v="603.75"/>
    <x v="0"/>
  </r>
  <r>
    <x v="52"/>
    <s v="24-0414"/>
    <x v="123"/>
    <m/>
    <s v="Designing charges, Designing charges - 6 months"/>
    <n v="2250"/>
    <m/>
    <n v="2250"/>
    <n v="112.5"/>
    <n v="2362.5"/>
    <x v="1"/>
  </r>
  <r>
    <x v="0"/>
    <s v="24-0415"/>
    <x v="124"/>
    <m/>
    <s v="A5 Notepad (top glue)  Taaleem"/>
    <n v="475"/>
    <m/>
    <n v="475"/>
    <n v="23.75"/>
    <n v="498.75"/>
    <x v="0"/>
  </r>
  <r>
    <x v="1"/>
    <s v="24-0416"/>
    <x v="125"/>
    <s v="104166051300003"/>
    <s v="Business card "/>
    <n v="725"/>
    <m/>
    <n v="725"/>
    <n v="36.25"/>
    <n v="761.25"/>
    <x v="0"/>
  </r>
  <r>
    <x v="6"/>
    <s v="24-0417"/>
    <x v="126"/>
    <s v=" 100430750800003"/>
    <s v="Business card "/>
    <n v="275"/>
    <m/>
    <n v="275"/>
    <n v="13.75"/>
    <n v="288.75"/>
    <x v="0"/>
  </r>
  <r>
    <x v="18"/>
    <s v="24-0418"/>
    <x v="124"/>
    <s v="100593105800003"/>
    <s v="Rollup,  Agenda card , Table Tent , Name badges , Certificate , Wide Flame Crystal Awards, Table tent ,  Recycled Bluetooth Speaker, A5 Cue Cards"/>
    <n v="3623"/>
    <m/>
    <n v="3623"/>
    <n v="181.15"/>
    <n v="3804.15"/>
    <x v="0"/>
  </r>
  <r>
    <x v="126"/>
    <s v="24-0419"/>
    <x v="124"/>
    <s v=" 100361059700003"/>
    <s v="Polo Shirt"/>
    <n v="1195"/>
    <m/>
    <n v="1195"/>
    <n v="59.75"/>
    <n v="1254.75"/>
    <x v="1"/>
  </r>
  <r>
    <x v="104"/>
    <s v="24-0420"/>
    <x v="125"/>
    <s v=""/>
    <s v="Business Card"/>
    <n v="525"/>
    <m/>
    <n v="525"/>
    <n v="26.25"/>
    <n v="551.25"/>
    <x v="1"/>
  </r>
  <r>
    <x v="52"/>
    <s v="24-0421"/>
    <x v="125"/>
    <m/>
    <s v="Business Card"/>
    <n v="185"/>
    <m/>
    <n v="185"/>
    <n v="9.25"/>
    <n v="194.25"/>
    <x v="1"/>
  </r>
  <r>
    <x v="127"/>
    <s v="24-0422"/>
    <x v="125"/>
    <m/>
    <s v="Door Branding"/>
    <n v="625"/>
    <m/>
    <n v="625"/>
    <n v="31.25"/>
    <n v="656.25"/>
    <x v="1"/>
  </r>
  <r>
    <x v="128"/>
    <s v="24-0423"/>
    <x v="127"/>
    <m/>
    <s v="Business cards"/>
    <n v="565"/>
    <m/>
    <n v="565"/>
    <n v="28.25"/>
    <n v="593.25"/>
    <x v="0"/>
  </r>
  <r>
    <x v="129"/>
    <s v="24-0424"/>
    <x v="125"/>
    <s v="100386329500003"/>
    <s v="Ducon ODL Concept Brochure"/>
    <n v="17900"/>
    <m/>
    <n v="17900"/>
    <n v="895"/>
    <n v="18795"/>
    <x v="1"/>
  </r>
  <r>
    <x v="46"/>
    <s v="24-0425"/>
    <x v="125"/>
    <s v="100279643900003"/>
    <s v="ID card ,  ID card holder (men), Reel badge (Male), Lanyard (Ready made) (female), "/>
    <n v="1933.5"/>
    <m/>
    <n v="1933.5"/>
    <n v="96.675000000000011"/>
    <n v="2030.175"/>
    <x v="0"/>
  </r>
  <r>
    <x v="68"/>
    <s v="24-0426"/>
    <x v="125"/>
    <s v="100566746200003"/>
    <s v="Letterhead"/>
    <n v="287.5"/>
    <m/>
    <n v="287.5"/>
    <n v="14.375"/>
    <n v="301.875"/>
    <x v="1"/>
  </r>
  <r>
    <x v="29"/>
    <s v="24-0427"/>
    <x v="125"/>
    <s v=" 100494671900003"/>
    <s v="Letterhead"/>
    <n v="287.5"/>
    <m/>
    <n v="287.5"/>
    <n v="14.375"/>
    <n v="301.875"/>
    <x v="1"/>
  </r>
  <r>
    <x v="12"/>
    <s v="24-0428"/>
    <x v="128"/>
    <s v="100482284500003"/>
    <s v="Brochure folder ,Non woven bag (Horizontal) "/>
    <n v="3210"/>
    <m/>
    <n v="3210"/>
    <n v="160.5"/>
    <n v="3370.5"/>
    <x v="0"/>
  </r>
  <r>
    <x v="130"/>
    <s v="24-0429"/>
    <x v="126"/>
    <s v="100595462100003"/>
    <s v="Coverall "/>
    <n v="2750"/>
    <m/>
    <n v="2750"/>
    <n v="137.5"/>
    <n v="2887.5"/>
    <x v="1"/>
  </r>
  <r>
    <x v="65"/>
    <s v="24-0430"/>
    <x v="129"/>
    <s v="100246622300003"/>
    <s v="Paper bags "/>
    <n v="1395"/>
    <m/>
    <n v="1395"/>
    <n v="69.75"/>
    <n v="1464.75"/>
    <x v="0"/>
  </r>
  <r>
    <x v="37"/>
    <s v="24-0431"/>
    <x v="130"/>
    <s v="100249843200003"/>
    <s v="Non Woven Bag, Lanyard (Customized) "/>
    <n v="14110"/>
    <m/>
    <n v="14110"/>
    <n v="705.5"/>
    <n v="14815.5"/>
    <x v="1"/>
  </r>
  <r>
    <x v="20"/>
    <s v="24-0432"/>
    <x v="131"/>
    <s v="100235699400003"/>
    <s v="Access cards (Client supplied)"/>
    <n v="624"/>
    <m/>
    <n v="624"/>
    <n v="31.200000000000003"/>
    <n v="655.20000000000005"/>
    <x v="0"/>
  </r>
  <r>
    <x v="0"/>
    <s v="24-0433"/>
    <x v="129"/>
    <s v="100542487200003"/>
    <s v="Rollups - Al Ghad Nursery - Abu Dhabi, Spiral Notebook (side spiral)"/>
    <n v="1765"/>
    <m/>
    <n v="1765"/>
    <n v="88.25"/>
    <n v="1853.25"/>
    <x v="0"/>
  </r>
  <r>
    <x v="63"/>
    <s v="24-0434"/>
    <x v="129"/>
    <s v="100484375900003"/>
    <s v="Business Card"/>
    <n v="125"/>
    <m/>
    <n v="125"/>
    <n v="6.25"/>
    <n v="131.25"/>
    <x v="0"/>
  </r>
  <r>
    <x v="0"/>
    <s v="24-0435"/>
    <x v="131"/>
    <s v=" 100542487200003"/>
    <s v="UAE Flag - ESE – Dubai| Al Maktoum Primary School,  UAE Flag"/>
    <n v="3964"/>
    <m/>
    <n v="3964"/>
    <n v="198.20000000000002"/>
    <n v="4162.2"/>
    <x v="0"/>
  </r>
  <r>
    <x v="18"/>
    <s v="24-0436"/>
    <x v="128"/>
    <s v="100593105800003"/>
    <s v="Roll up, A3 Posters, Certificates"/>
    <n v="222"/>
    <m/>
    <n v="222"/>
    <n v="11.100000000000001"/>
    <n v="233.1"/>
    <x v="0"/>
  </r>
  <r>
    <x v="0"/>
    <s v="24-0437"/>
    <x v="131"/>
    <s v=" 100542487200003"/>
    <s v="Business cards (Taaleem)"/>
    <n v="275"/>
    <m/>
    <n v="275"/>
    <n v="13.75"/>
    <n v="288.75"/>
    <x v="0"/>
  </r>
  <r>
    <x v="131"/>
    <s v="24-0438"/>
    <x v="129"/>
    <s v="100548855400003"/>
    <s v="Rubber stamp"/>
    <n v="80"/>
    <m/>
    <n v="80"/>
    <n v="4"/>
    <n v="84"/>
    <x v="4"/>
  </r>
  <r>
    <x v="0"/>
    <s v="24-0439"/>
    <x v="129"/>
    <s v=" 100542487200003"/>
    <s v="Rock Painting Kit"/>
    <n v="1750"/>
    <m/>
    <n v="1750"/>
    <n v="87.5"/>
    <n v="1837.5"/>
    <x v="3"/>
  </r>
  <r>
    <x v="0"/>
    <s v="24-0440"/>
    <x v="129"/>
    <s v=" 100542487200003"/>
    <s v="Slap sticks"/>
    <n v="3460.81"/>
    <m/>
    <n v="3460.81"/>
    <n v="173.04050000000001"/>
    <n v="3633.8505"/>
    <x v="3"/>
  </r>
  <r>
    <x v="132"/>
    <s v="24-0441"/>
    <x v="132"/>
    <s v="104081861700003"/>
    <s v="Flyer"/>
    <n v="380.95"/>
    <m/>
    <n v="380.95"/>
    <n v="19.047499999999999"/>
    <n v="399.9975"/>
    <x v="1"/>
  </r>
  <r>
    <x v="0"/>
    <s v="24-0442"/>
    <x v="133"/>
    <s v=" 100542487200003"/>
    <s v="Selfie Frame - JAS School"/>
    <n v="200"/>
    <m/>
    <n v="200"/>
    <n v="10"/>
    <n v="210"/>
    <x v="0"/>
  </r>
  <r>
    <x v="20"/>
    <s v="24-0443"/>
    <x v="134"/>
    <s v="100235699400003"/>
    <s v="Crystal Trophy"/>
    <n v="2700"/>
    <m/>
    <n v="2700"/>
    <n v="135"/>
    <n v="2835"/>
    <x v="0"/>
  </r>
  <r>
    <x v="129"/>
    <s v="24-0444"/>
    <x v="132"/>
    <s v="100386329500003"/>
    <s v="Maintenance Brochure"/>
    <n v="6976"/>
    <m/>
    <n v="6976"/>
    <n v="348.8"/>
    <n v="7324.8"/>
    <x v="3"/>
  </r>
  <r>
    <x v="133"/>
    <s v="24-0445"/>
    <x v="135"/>
    <s v="100326328000003"/>
    <s v="Business Cards"/>
    <n v="1175"/>
    <m/>
    <n v="1175"/>
    <n v="58.75"/>
    <n v="1233.75"/>
    <x v="1"/>
  </r>
  <r>
    <x v="134"/>
    <s v="24-0446"/>
    <x v="133"/>
    <s v="100520639400003"/>
    <s v="2D Designing charges - Exhibition stand"/>
    <n v="3750"/>
    <m/>
    <n v="3750"/>
    <n v="187.5"/>
    <n v="3937.5"/>
    <x v="5"/>
  </r>
  <r>
    <x v="11"/>
    <s v="24-0447"/>
    <x v="133"/>
    <s v="100056728700003"/>
    <s v="Signage"/>
    <n v="2675"/>
    <m/>
    <n v="2675"/>
    <n v="133.75"/>
    <n v="2808.75"/>
    <x v="1"/>
  </r>
  <r>
    <x v="0"/>
    <s v="24-0448"/>
    <x v="136"/>
    <s v=" 100542487200003"/>
    <s v="Brochure - DBSJ"/>
    <n v="810"/>
    <m/>
    <n v="810"/>
    <n v="40.5"/>
    <n v="850.5"/>
    <x v="0"/>
  </r>
  <r>
    <x v="0"/>
    <s v="24-0449"/>
    <x v="136"/>
    <s v=" 100542487200003"/>
    <s v="Leaflet - 3 fold (DBSJ)"/>
    <n v="1008"/>
    <m/>
    <n v="1008"/>
    <n v="50.400000000000006"/>
    <n v="1058.4000000000001"/>
    <x v="0"/>
  </r>
  <r>
    <x v="18"/>
    <s v="24-0450"/>
    <x v="134"/>
    <s v="100593105800003"/>
    <s v="IDP Business Cards"/>
    <n v="2040"/>
    <m/>
    <n v="2040"/>
    <n v="102"/>
    <n v="2142"/>
    <x v="0"/>
  </r>
  <r>
    <x v="135"/>
    <s v="24-0451"/>
    <x v="137"/>
    <m/>
    <s v="Metal badge"/>
    <n v="150"/>
    <m/>
    <n v="150"/>
    <n v="7.5"/>
    <n v="157.5"/>
    <x v="3"/>
  </r>
  <r>
    <x v="120"/>
    <s v="24-0452"/>
    <x v="134"/>
    <m/>
    <s v="Hans Larsen Insulated Drinkware gift set"/>
    <n v="868"/>
    <m/>
    <n v="868"/>
    <n v="43.400000000000006"/>
    <n v="911.4"/>
    <x v="4"/>
  </r>
  <r>
    <x v="120"/>
    <s v="24-0453"/>
    <x v="134"/>
    <m/>
    <s v="Selfie Frame, Props, Balloons"/>
    <n v="544"/>
    <m/>
    <n v="544"/>
    <n v="27.200000000000003"/>
    <n v="571.20000000000005"/>
    <x v="4"/>
  </r>
  <r>
    <x v="136"/>
    <s v="24-0454"/>
    <x v="134"/>
    <m/>
    <s v="Designing"/>
    <n v="333.33"/>
    <m/>
    <n v="333.33"/>
    <n v="16.666499999999999"/>
    <n v="349.99649999999997"/>
    <x v="0"/>
  </r>
  <r>
    <x v="51"/>
    <s v="24-0455"/>
    <x v="134"/>
    <s v="100377505100003"/>
    <s v="Polo shirts , Rollup, Brochure - 4 fold - OE"/>
    <n v="5528.75"/>
    <m/>
    <n v="5528.75"/>
    <n v="276.4375"/>
    <n v="5805.1875"/>
    <x v="0"/>
  </r>
  <r>
    <x v="7"/>
    <s v="24-0456"/>
    <x v="129"/>
    <s v="100348311000003"/>
    <s v="Business Cards"/>
    <n v="760"/>
    <m/>
    <n v="760"/>
    <n v="38"/>
    <n v="798"/>
    <x v="0"/>
  </r>
  <r>
    <x v="135"/>
    <s v="24-0457"/>
    <x v="136"/>
    <m/>
    <s v="Paper Cups (Double Wall)"/>
    <n v="1450"/>
    <m/>
    <n v="1450"/>
    <n v="72.5"/>
    <n v="1522.5"/>
    <x v="3"/>
  </r>
  <r>
    <x v="1"/>
    <s v="24-0458"/>
    <x v="138"/>
    <s v="104166051300003"/>
    <s v="Trophy "/>
    <n v="275"/>
    <m/>
    <n v="275"/>
    <n v="13.75"/>
    <n v="288.75"/>
    <x v="0"/>
  </r>
  <r>
    <x v="55"/>
    <s v="24-0459"/>
    <x v="139"/>
    <s v="100433257100003"/>
    <s v="Kraft Paper Bag"/>
    <n v="1580"/>
    <m/>
    <n v="1580"/>
    <n v="79"/>
    <n v="1659"/>
    <x v="1"/>
  </r>
  <r>
    <x v="98"/>
    <s v="24-0460"/>
    <x v="132"/>
    <s v="100048520900003"/>
    <s v="Sticker on supplied board "/>
    <n v="78.75"/>
    <m/>
    <n v="78.75"/>
    <n v="3.9375"/>
    <n v="82.6875"/>
    <x v="0"/>
  </r>
  <r>
    <x v="99"/>
    <s v="24-0461"/>
    <x v="140"/>
    <s v="100048520900003"/>
    <s v="Sticker on supplied board "/>
    <n v="31.5"/>
    <m/>
    <n v="31.5"/>
    <n v="1.5750000000000002"/>
    <n v="33.0750000000000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F47A7-C152-4520-AEFC-1306A4972DC3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 Name" colHeaderCaption="Month">
  <location ref="A3:C41" firstHeaderRow="1" firstDataRow="2" firstDataCol="1"/>
  <pivotFields count="13">
    <pivotField axis="axisRow" showAll="0">
      <items count="138">
        <item x="69"/>
        <item x="68"/>
        <item x="65"/>
        <item x="50"/>
        <item x="92"/>
        <item x="64"/>
        <item x="25"/>
        <item x="55"/>
        <item x="30"/>
        <item x="2"/>
        <item x="1"/>
        <item x="29"/>
        <item x="31"/>
        <item x="12"/>
        <item x="75"/>
        <item x="89"/>
        <item x="24"/>
        <item x="46"/>
        <item x="76"/>
        <item x="93"/>
        <item x="22"/>
        <item x="43"/>
        <item x="51"/>
        <item x="62"/>
        <item x="90"/>
        <item x="80"/>
        <item x="37"/>
        <item x="61"/>
        <item x="40"/>
        <item x="48"/>
        <item x="3"/>
        <item x="26"/>
        <item x="14"/>
        <item x="17"/>
        <item x="58"/>
        <item x="71"/>
        <item x="4"/>
        <item x="78"/>
        <item x="60"/>
        <item x="21"/>
        <item x="82"/>
        <item x="86"/>
        <item x="45"/>
        <item x="36"/>
        <item x="18"/>
        <item x="9"/>
        <item x="63"/>
        <item x="15"/>
        <item x="52"/>
        <item x="16"/>
        <item x="84"/>
        <item x="56"/>
        <item x="53"/>
        <item x="32"/>
        <item x="66"/>
        <item x="11"/>
        <item x="13"/>
        <item x="10"/>
        <item x="8"/>
        <item x="81"/>
        <item x="47"/>
        <item x="87"/>
        <item x="85"/>
        <item x="28"/>
        <item x="35"/>
        <item x="73"/>
        <item x="77"/>
        <item x="6"/>
        <item x="70"/>
        <item x="57"/>
        <item x="39"/>
        <item x="74"/>
        <item x="27"/>
        <item x="88"/>
        <item x="79"/>
        <item x="19"/>
        <item x="23"/>
        <item x="33"/>
        <item x="42"/>
        <item x="49"/>
        <item x="44"/>
        <item x="0"/>
        <item x="54"/>
        <item x="67"/>
        <item x="72"/>
        <item x="83"/>
        <item x="59"/>
        <item x="7"/>
        <item x="20"/>
        <item x="38"/>
        <item x="41"/>
        <item x="5"/>
        <item x="34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91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showAll="0"/>
    <pivotField numFmtId="166" showAll="0">
      <items count="142">
        <item x="0"/>
        <item x="1"/>
        <item x="4"/>
        <item x="3"/>
        <item x="6"/>
        <item x="5"/>
        <item x="8"/>
        <item x="9"/>
        <item x="2"/>
        <item x="10"/>
        <item x="14"/>
        <item x="15"/>
        <item x="18"/>
        <item x="11"/>
        <item x="17"/>
        <item x="16"/>
        <item x="7"/>
        <item x="20"/>
        <item x="19"/>
        <item x="12"/>
        <item x="21"/>
        <item x="22"/>
        <item x="13"/>
        <item x="23"/>
        <item x="25"/>
        <item x="24"/>
        <item x="27"/>
        <item x="26"/>
        <item x="30"/>
        <item x="28"/>
        <item x="29"/>
        <item x="32"/>
        <item x="31"/>
        <item x="33"/>
        <item x="34"/>
        <item x="35"/>
        <item x="36"/>
        <item x="37"/>
        <item x="38"/>
        <item x="41"/>
        <item x="39"/>
        <item x="40"/>
        <item x="42"/>
        <item x="45"/>
        <item x="43"/>
        <item x="44"/>
        <item x="47"/>
        <item x="46"/>
        <item x="50"/>
        <item x="48"/>
        <item x="49"/>
        <item x="51"/>
        <item x="52"/>
        <item x="53"/>
        <item x="54"/>
        <item x="55"/>
        <item x="56"/>
        <item x="58"/>
        <item x="59"/>
        <item x="60"/>
        <item x="57"/>
        <item x="61"/>
        <item x="62"/>
        <item x="63"/>
        <item x="64"/>
        <item x="65"/>
        <item x="66"/>
        <item x="67"/>
        <item x="70"/>
        <item x="69"/>
        <item x="72"/>
        <item x="73"/>
        <item x="71"/>
        <item x="74"/>
        <item x="68"/>
        <item x="76"/>
        <item x="79"/>
        <item x="78"/>
        <item x="80"/>
        <item x="81"/>
        <item x="82"/>
        <item x="83"/>
        <item x="84"/>
        <item x="85"/>
        <item x="86"/>
        <item x="77"/>
        <item x="75"/>
        <item x="87"/>
        <item x="88"/>
        <item x="92"/>
        <item x="89"/>
        <item x="91"/>
        <item x="94"/>
        <item x="90"/>
        <item x="96"/>
        <item x="93"/>
        <item x="95"/>
        <item x="97"/>
        <item x="99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dataField="1" numFmtId="43" showAll="0"/>
    <pivotField showAll="0"/>
    <pivotField numFmtId="43" showAll="0"/>
    <pivotField numFmtId="43" showAll="0"/>
    <pivotField numFmtId="43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0"/>
  </rowFields>
  <rowItems count="37">
    <i>
      <x v="1"/>
    </i>
    <i>
      <x v="7"/>
    </i>
    <i>
      <x v="10"/>
    </i>
    <i>
      <x v="18"/>
    </i>
    <i>
      <x v="22"/>
    </i>
    <i>
      <x v="25"/>
    </i>
    <i>
      <x v="26"/>
    </i>
    <i>
      <x v="33"/>
    </i>
    <i>
      <x v="39"/>
    </i>
    <i>
      <x v="43"/>
    </i>
    <i>
      <x v="44"/>
    </i>
    <i>
      <x v="47"/>
    </i>
    <i>
      <x v="55"/>
    </i>
    <i>
      <x v="57"/>
    </i>
    <i>
      <x v="67"/>
    </i>
    <i>
      <x v="68"/>
    </i>
    <i>
      <x v="80"/>
    </i>
    <i>
      <x v="81"/>
    </i>
    <i>
      <x v="84"/>
    </i>
    <i>
      <x v="88"/>
    </i>
    <i>
      <x v="95"/>
    </i>
    <i>
      <x v="97"/>
    </i>
    <i>
      <x v="98"/>
    </i>
    <i>
      <x v="103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 t="grand">
      <x/>
    </i>
  </rowItems>
  <colFields count="1">
    <field x="12"/>
  </colFields>
  <colItems count="2">
    <i>
      <x v="6"/>
    </i>
    <i t="grand">
      <x/>
    </i>
  </colItems>
  <dataFields count="1">
    <dataField name="Sum of INVOICE SUB-TOTAL" fld="5" baseField="0" baseItem="0"/>
  </dataFields>
  <formats count="7">
    <format dxfId="130">
      <pivotArea type="topRight" dataOnly="0" labelOnly="1" outline="0" fieldPosition="0"/>
    </format>
    <format dxfId="129">
      <pivotArea dataOnly="0" labelOnly="1" grandCol="1" outline="0" fieldPosition="0"/>
    </format>
    <format dxfId="128">
      <pivotArea outline="0" collapsedLevelsAreSubtotals="1" fieldPosition="0"/>
    </format>
    <format dxfId="127">
      <pivotArea field="12" type="button" dataOnly="0" labelOnly="1" outline="0" axis="axisCol" fieldPosition="0"/>
    </format>
    <format dxfId="126">
      <pivotArea type="topRight" dataOnly="0" labelOnly="1" outline="0" fieldPosition="0"/>
    </format>
    <format dxfId="125">
      <pivotArea dataOnly="0" labelOnly="1" fieldPosition="0">
        <references count="1">
          <reference field="12" count="0"/>
        </references>
      </pivotArea>
    </format>
    <format dxfId="1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CDEAE-5F5D-4E09-B9AD-757EB5EE357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 Name" colHeaderCaption="Month">
  <location ref="J3:S11" firstHeaderRow="1" firstDataRow="2" firstDataCol="1"/>
  <pivotFields count="13">
    <pivotField showAll="0"/>
    <pivotField showAll="0"/>
    <pivotField numFmtId="166" showAll="0">
      <items count="142">
        <item x="0"/>
        <item x="1"/>
        <item x="4"/>
        <item x="3"/>
        <item x="6"/>
        <item x="5"/>
        <item x="8"/>
        <item x="9"/>
        <item x="2"/>
        <item x="10"/>
        <item x="14"/>
        <item x="15"/>
        <item x="18"/>
        <item x="11"/>
        <item x="17"/>
        <item x="16"/>
        <item x="7"/>
        <item x="20"/>
        <item x="19"/>
        <item x="12"/>
        <item x="21"/>
        <item x="22"/>
        <item x="13"/>
        <item x="23"/>
        <item x="25"/>
        <item x="24"/>
        <item x="27"/>
        <item x="26"/>
        <item x="30"/>
        <item x="28"/>
        <item x="29"/>
        <item x="32"/>
        <item x="31"/>
        <item x="33"/>
        <item x="34"/>
        <item x="35"/>
        <item x="36"/>
        <item x="37"/>
        <item x="38"/>
        <item x="41"/>
        <item x="39"/>
        <item x="40"/>
        <item x="42"/>
        <item x="45"/>
        <item x="43"/>
        <item x="44"/>
        <item x="47"/>
        <item x="46"/>
        <item x="50"/>
        <item x="48"/>
        <item x="49"/>
        <item x="51"/>
        <item x="52"/>
        <item x="53"/>
        <item x="54"/>
        <item x="55"/>
        <item x="56"/>
        <item x="58"/>
        <item x="59"/>
        <item x="60"/>
        <item x="57"/>
        <item x="61"/>
        <item x="62"/>
        <item x="63"/>
        <item x="64"/>
        <item x="65"/>
        <item x="66"/>
        <item x="67"/>
        <item x="70"/>
        <item x="69"/>
        <item x="72"/>
        <item x="73"/>
        <item x="71"/>
        <item x="74"/>
        <item x="68"/>
        <item x="76"/>
        <item x="79"/>
        <item x="78"/>
        <item x="80"/>
        <item x="81"/>
        <item x="82"/>
        <item x="83"/>
        <item x="84"/>
        <item x="85"/>
        <item x="86"/>
        <item x="77"/>
        <item x="75"/>
        <item x="87"/>
        <item x="88"/>
        <item x="92"/>
        <item x="89"/>
        <item x="91"/>
        <item x="94"/>
        <item x="90"/>
        <item x="96"/>
        <item x="93"/>
        <item x="95"/>
        <item x="97"/>
        <item x="99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dataField="1" numFmtId="43" showAll="0"/>
    <pivotField showAll="0"/>
    <pivotField numFmtId="43" showAll="0"/>
    <pivotField numFmtId="43" showAll="0"/>
    <pivotField numFmtId="43" showAll="0"/>
    <pivotField axis="axisRow" showAll="0">
      <items count="7">
        <item x="2"/>
        <item x="1"/>
        <item x="3"/>
        <item x="0"/>
        <item x="4"/>
        <item x="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INVOICE SUB-TOTAL" fld="5" baseField="0" baseItem="0"/>
  </dataFields>
  <formats count="26">
    <format dxfId="156">
      <pivotArea type="topRight" dataOnly="0" labelOnly="1" outline="0" fieldPosition="0"/>
    </format>
    <format dxfId="155">
      <pivotArea dataOnly="0" labelOnly="1" grandCol="1" outline="0" fieldPosition="0"/>
    </format>
    <format dxfId="154">
      <pivotArea dataOnly="0" labelOnly="1" fieldPosition="0">
        <references count="1">
          <reference field="12" count="0"/>
        </references>
      </pivotArea>
    </format>
    <format dxfId="153">
      <pivotArea outline="0" collapsedLevelsAreSubtotals="1" fieldPosition="0"/>
    </format>
    <format dxfId="152">
      <pivotArea field="12" type="button" dataOnly="0" labelOnly="1" outline="0" axis="axisCol" fieldPosition="0"/>
    </format>
    <format dxfId="151">
      <pivotArea type="topRight" dataOnly="0" labelOnly="1" outline="0" fieldPosition="0"/>
    </format>
    <format dxfId="150">
      <pivotArea dataOnly="0" labelOnly="1" fieldPosition="0">
        <references count="1">
          <reference field="12" count="5">
            <x v="1"/>
            <x v="2"/>
            <x v="3"/>
            <x v="4"/>
            <x v="5"/>
          </reference>
        </references>
      </pivotArea>
    </format>
    <format dxfId="149">
      <pivotArea dataOnly="0" labelOnly="1" grandCol="1" outline="0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type="origin" dataOnly="0" labelOnly="1" outline="0" fieldPosition="0"/>
    </format>
    <format dxfId="145">
      <pivotArea field="12" type="button" dataOnly="0" labelOnly="1" outline="0" axis="axisCol" fieldPosition="0"/>
    </format>
    <format dxfId="144">
      <pivotArea type="topRight" dataOnly="0" labelOnly="1" outline="0" fieldPosition="0"/>
    </format>
    <format dxfId="143">
      <pivotArea field="10" type="button" dataOnly="0" labelOnly="1" outline="0" axis="axisRow" fieldPosition="0"/>
    </format>
    <format dxfId="142">
      <pivotArea dataOnly="0" labelOnly="1" grandRow="1" outline="0" fieldPosition="0"/>
    </format>
    <format dxfId="141">
      <pivotArea dataOnly="0" labelOnly="1" fieldPosition="0">
        <references count="1">
          <reference field="12" count="6">
            <x v="1"/>
            <x v="2"/>
            <x v="3"/>
            <x v="4"/>
            <x v="5"/>
            <x v="6"/>
          </reference>
        </references>
      </pivotArea>
    </format>
    <format dxfId="140">
      <pivotArea dataOnly="0" labelOnly="1" grandCol="1" outline="0" fieldPosition="0"/>
    </format>
    <format dxfId="139">
      <pivotArea collapsedLevelsAreSubtotals="1" fieldPosition="0">
        <references count="1">
          <reference field="10" count="0"/>
        </references>
      </pivotArea>
    </format>
    <format dxfId="138">
      <pivotArea dataOnly="0" labelOnly="1" fieldPosition="0">
        <references count="1">
          <reference field="10" count="0"/>
        </references>
      </pivotArea>
    </format>
    <format dxfId="137">
      <pivotArea collapsedLevelsAreSubtotals="1" fieldPosition="0">
        <references count="1">
          <reference field="10" count="1">
            <x v="0"/>
          </reference>
        </references>
      </pivotArea>
    </format>
    <format dxfId="136">
      <pivotArea dataOnly="0" labelOnly="1" fieldPosition="0">
        <references count="1">
          <reference field="10" count="1">
            <x v="0"/>
          </reference>
        </references>
      </pivotArea>
    </format>
    <format dxfId="135">
      <pivotArea collapsedLevelsAreSubtotals="1" fieldPosition="0">
        <references count="1">
          <reference field="10" count="1">
            <x v="1"/>
          </reference>
        </references>
      </pivotArea>
    </format>
    <format dxfId="134">
      <pivotArea dataOnly="0" labelOnly="1" fieldPosition="0">
        <references count="1">
          <reference field="10" count="1">
            <x v="1"/>
          </reference>
        </references>
      </pivotArea>
    </format>
    <format dxfId="133">
      <pivotArea dataOnly="0" fieldPosition="0">
        <references count="1">
          <reference field="10" count="1">
            <x v="2"/>
          </reference>
        </references>
      </pivotArea>
    </format>
    <format dxfId="132">
      <pivotArea collapsedLevelsAreSubtotals="1" fieldPosition="0">
        <references count="1">
          <reference field="10" count="1">
            <x v="3"/>
          </reference>
        </references>
      </pivotArea>
    </format>
    <format dxfId="131">
      <pivotArea dataOnly="0" labelOnly="1" fieldPosition="0">
        <references count="1">
          <reference field="1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CD8DC-7897-4C15-9923-686EA35205B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 Name" colHeaderCaption="Month">
  <location ref="E3:G44" firstHeaderRow="1" firstDataRow="2" firstDataCol="1"/>
  <pivotFields count="13">
    <pivotField axis="axisRow" showAll="0">
      <items count="138">
        <item x="69"/>
        <item x="68"/>
        <item x="65"/>
        <item x="50"/>
        <item x="92"/>
        <item x="64"/>
        <item x="25"/>
        <item x="55"/>
        <item x="30"/>
        <item x="2"/>
        <item x="1"/>
        <item x="29"/>
        <item x="31"/>
        <item x="12"/>
        <item x="75"/>
        <item x="89"/>
        <item x="24"/>
        <item x="46"/>
        <item x="76"/>
        <item x="93"/>
        <item x="22"/>
        <item x="43"/>
        <item x="51"/>
        <item x="62"/>
        <item x="90"/>
        <item x="80"/>
        <item x="37"/>
        <item x="61"/>
        <item x="40"/>
        <item x="48"/>
        <item x="3"/>
        <item x="26"/>
        <item x="14"/>
        <item x="17"/>
        <item x="58"/>
        <item x="71"/>
        <item x="4"/>
        <item x="78"/>
        <item x="60"/>
        <item x="21"/>
        <item x="82"/>
        <item x="86"/>
        <item x="45"/>
        <item x="36"/>
        <item x="18"/>
        <item x="9"/>
        <item x="63"/>
        <item x="15"/>
        <item x="52"/>
        <item x="16"/>
        <item x="84"/>
        <item x="56"/>
        <item x="53"/>
        <item x="32"/>
        <item x="66"/>
        <item x="11"/>
        <item x="13"/>
        <item x="10"/>
        <item x="8"/>
        <item x="81"/>
        <item x="47"/>
        <item x="87"/>
        <item x="85"/>
        <item x="28"/>
        <item x="35"/>
        <item x="73"/>
        <item x="77"/>
        <item x="6"/>
        <item x="70"/>
        <item x="57"/>
        <item x="39"/>
        <item x="74"/>
        <item x="27"/>
        <item x="88"/>
        <item x="79"/>
        <item x="19"/>
        <item x="23"/>
        <item x="33"/>
        <item x="42"/>
        <item x="49"/>
        <item x="44"/>
        <item x="0"/>
        <item x="54"/>
        <item x="67"/>
        <item x="72"/>
        <item x="83"/>
        <item x="59"/>
        <item x="7"/>
        <item x="20"/>
        <item x="38"/>
        <item x="41"/>
        <item x="5"/>
        <item x="34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9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showAll="0"/>
    <pivotField numFmtId="166" showAll="0">
      <items count="142">
        <item x="0"/>
        <item x="1"/>
        <item x="4"/>
        <item x="3"/>
        <item x="6"/>
        <item x="5"/>
        <item x="8"/>
        <item x="9"/>
        <item x="2"/>
        <item x="10"/>
        <item x="14"/>
        <item x="15"/>
        <item x="18"/>
        <item x="11"/>
        <item x="17"/>
        <item x="16"/>
        <item x="7"/>
        <item x="20"/>
        <item x="19"/>
        <item x="12"/>
        <item x="21"/>
        <item x="22"/>
        <item x="13"/>
        <item x="23"/>
        <item x="25"/>
        <item x="24"/>
        <item x="27"/>
        <item x="26"/>
        <item x="30"/>
        <item x="28"/>
        <item x="29"/>
        <item x="32"/>
        <item x="31"/>
        <item x="33"/>
        <item x="34"/>
        <item x="35"/>
        <item x="36"/>
        <item x="37"/>
        <item x="38"/>
        <item x="41"/>
        <item x="39"/>
        <item x="40"/>
        <item x="42"/>
        <item x="45"/>
        <item x="43"/>
        <item x="44"/>
        <item x="47"/>
        <item x="46"/>
        <item x="50"/>
        <item x="48"/>
        <item x="49"/>
        <item x="51"/>
        <item x="52"/>
        <item x="53"/>
        <item x="54"/>
        <item x="55"/>
        <item x="56"/>
        <item x="58"/>
        <item x="59"/>
        <item x="60"/>
        <item x="57"/>
        <item x="61"/>
        <item x="62"/>
        <item x="63"/>
        <item x="64"/>
        <item x="65"/>
        <item x="66"/>
        <item x="67"/>
        <item x="70"/>
        <item x="69"/>
        <item x="72"/>
        <item x="73"/>
        <item x="71"/>
        <item x="74"/>
        <item x="68"/>
        <item x="76"/>
        <item x="79"/>
        <item x="78"/>
        <item x="80"/>
        <item x="81"/>
        <item x="82"/>
        <item x="83"/>
        <item x="84"/>
        <item x="85"/>
        <item x="86"/>
        <item x="77"/>
        <item x="75"/>
        <item x="87"/>
        <item x="88"/>
        <item x="92"/>
        <item x="89"/>
        <item x="91"/>
        <item x="94"/>
        <item x="90"/>
        <item x="96"/>
        <item x="93"/>
        <item x="95"/>
        <item x="97"/>
        <item x="99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dataField="1" numFmtId="43" showAll="0"/>
    <pivotField showAll="0"/>
    <pivotField numFmtId="43" showAll="0"/>
    <pivotField numFmtId="43" showAll="0"/>
    <pivotField numFmtId="43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0"/>
  </rowFields>
  <rowItems count="40">
    <i>
      <x v="1"/>
    </i>
    <i>
      <x v="2"/>
    </i>
    <i>
      <x v="10"/>
    </i>
    <i>
      <x v="11"/>
    </i>
    <i>
      <x v="13"/>
    </i>
    <i>
      <x v="17"/>
    </i>
    <i>
      <x v="18"/>
    </i>
    <i>
      <x v="22"/>
    </i>
    <i>
      <x v="26"/>
    </i>
    <i>
      <x v="39"/>
    </i>
    <i>
      <x v="44"/>
    </i>
    <i>
      <x v="46"/>
    </i>
    <i>
      <x v="48"/>
    </i>
    <i>
      <x v="55"/>
    </i>
    <i>
      <x v="56"/>
    </i>
    <i>
      <x v="67"/>
    </i>
    <i>
      <x v="81"/>
    </i>
    <i>
      <x v="87"/>
    </i>
    <i>
      <x v="88"/>
    </i>
    <i>
      <x v="97"/>
    </i>
    <i>
      <x v="98"/>
    </i>
    <i>
      <x v="103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rowItems>
  <colFields count="1">
    <field x="12"/>
  </colFields>
  <colItems count="2">
    <i>
      <x v="7"/>
    </i>
    <i t="grand">
      <x/>
    </i>
  </colItems>
  <dataFields count="1">
    <dataField name="Sum of INVOICE SUB-TOTAL" fld="5" baseField="0" baseItem="0"/>
  </dataFields>
  <formats count="9">
    <format dxfId="165">
      <pivotArea type="topRight" dataOnly="0" labelOnly="1" outline="0" fieldPosition="0"/>
    </format>
    <format dxfId="164">
      <pivotArea dataOnly="0" labelOnly="1" grandCol="1" outline="0" fieldPosition="0"/>
    </format>
    <format dxfId="163">
      <pivotArea outline="0" collapsedLevelsAreSubtotals="1" fieldPosition="0"/>
    </format>
    <format dxfId="162">
      <pivotArea field="12" type="button" dataOnly="0" labelOnly="1" outline="0" axis="axisCol" fieldPosition="0"/>
    </format>
    <format dxfId="161">
      <pivotArea type="topRight" dataOnly="0" labelOnly="1" outline="0" fieldPosition="0"/>
    </format>
    <format dxfId="160">
      <pivotArea dataOnly="0" labelOnly="1" fieldPosition="0">
        <references count="1">
          <reference field="12" count="0"/>
        </references>
      </pivotArea>
    </format>
    <format dxfId="159">
      <pivotArea dataOnly="0" labelOnly="1" grandCol="1" outline="0" fieldPosition="0"/>
    </format>
    <format dxfId="158">
      <pivotArea collapsedLevelsAreSubtotals="1" fieldPosition="0">
        <references count="1">
          <reference field="0" count="1">
            <x v="7"/>
          </reference>
        </references>
      </pivotArea>
    </format>
    <format dxfId="157">
      <pivotArea dataOnly="0" labelOnly="1" fieldPosition="0">
        <references count="1"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71088-2FD1-48B1-A274-26DFDC416A8C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O118" firstHeaderRow="1" firstDataRow="3" firstDataCol="1"/>
  <pivotFields count="17">
    <pivotField axis="axisRow" showAll="0">
      <items count="118">
        <item m="1" x="116"/>
        <item x="69"/>
        <item x="68"/>
        <item x="65"/>
        <item x="101"/>
        <item x="50"/>
        <item x="92"/>
        <item x="64"/>
        <item x="25"/>
        <item x="55"/>
        <item x="94"/>
        <item x="30"/>
        <item x="2"/>
        <item x="1"/>
        <item x="29"/>
        <item x="31"/>
        <item x="105"/>
        <item x="107"/>
        <item x="12"/>
        <item x="75"/>
        <item x="89"/>
        <item x="24"/>
        <item x="46"/>
        <item x="76"/>
        <item m="1" x="113"/>
        <item x="93"/>
        <item x="22"/>
        <item x="43"/>
        <item x="51"/>
        <item x="62"/>
        <item x="90"/>
        <item x="80"/>
        <item m="1" x="115"/>
        <item x="37"/>
        <item x="61"/>
        <item x="40"/>
        <item x="48"/>
        <item x="106"/>
        <item x="3"/>
        <item x="26"/>
        <item x="14"/>
        <item x="100"/>
        <item x="102"/>
        <item x="17"/>
        <item x="58"/>
        <item x="71"/>
        <item x="4"/>
        <item x="78"/>
        <item x="60"/>
        <item x="21"/>
        <item x="82"/>
        <item x="86"/>
        <item x="45"/>
        <item x="36"/>
        <item x="18"/>
        <item x="9"/>
        <item x="63"/>
        <item x="15"/>
        <item x="52"/>
        <item x="16"/>
        <item x="84"/>
        <item x="56"/>
        <item x="53"/>
        <item x="32"/>
        <item x="66"/>
        <item x="11"/>
        <item x="13"/>
        <item x="10"/>
        <item x="8"/>
        <item x="91"/>
        <item x="95"/>
        <item x="81"/>
        <item x="104"/>
        <item x="47"/>
        <item x="87"/>
        <item x="85"/>
        <item x="97"/>
        <item x="28"/>
        <item x="35"/>
        <item x="73"/>
        <item x="96"/>
        <item x="77"/>
        <item x="6"/>
        <item m="1" x="114"/>
        <item x="70"/>
        <item x="110"/>
        <item x="57"/>
        <item x="39"/>
        <item x="74"/>
        <item x="27"/>
        <item x="88"/>
        <item x="108"/>
        <item x="79"/>
        <item x="19"/>
        <item x="23"/>
        <item x="109"/>
        <item x="33"/>
        <item x="42"/>
        <item x="49"/>
        <item x="44"/>
        <item x="0"/>
        <item x="54"/>
        <item x="67"/>
        <item x="103"/>
        <item x="72"/>
        <item x="83"/>
        <item x="59"/>
        <item x="7"/>
        <item x="20"/>
        <item x="38"/>
        <item x="41"/>
        <item x="99"/>
        <item x="98"/>
        <item x="5"/>
        <item x="34"/>
        <item m="1" x="112"/>
        <item x="111"/>
        <item t="default"/>
      </items>
    </pivotField>
    <pivotField showAll="0"/>
    <pivotField numFmtId="166" showAll="0">
      <items count="110">
        <item x="0"/>
        <item x="1"/>
        <item x="4"/>
        <item x="3"/>
        <item x="6"/>
        <item x="5"/>
        <item x="8"/>
        <item x="9"/>
        <item x="2"/>
        <item x="10"/>
        <item x="14"/>
        <item x="15"/>
        <item x="18"/>
        <item x="11"/>
        <item x="17"/>
        <item x="16"/>
        <item x="7"/>
        <item x="20"/>
        <item x="19"/>
        <item x="12"/>
        <item x="21"/>
        <item x="22"/>
        <item x="13"/>
        <item x="23"/>
        <item x="25"/>
        <item x="24"/>
        <item x="27"/>
        <item x="26"/>
        <item x="30"/>
        <item x="28"/>
        <item x="29"/>
        <item x="32"/>
        <item x="31"/>
        <item x="33"/>
        <item x="34"/>
        <item x="35"/>
        <item x="36"/>
        <item x="37"/>
        <item x="38"/>
        <item x="41"/>
        <item x="39"/>
        <item x="40"/>
        <item x="42"/>
        <item x="45"/>
        <item x="43"/>
        <item x="44"/>
        <item x="47"/>
        <item x="46"/>
        <item x="50"/>
        <item x="48"/>
        <item x="49"/>
        <item x="51"/>
        <item x="52"/>
        <item x="53"/>
        <item x="54"/>
        <item x="55"/>
        <item x="56"/>
        <item x="58"/>
        <item x="59"/>
        <item x="60"/>
        <item x="57"/>
        <item x="61"/>
        <item x="62"/>
        <item x="63"/>
        <item x="64"/>
        <item x="65"/>
        <item x="66"/>
        <item x="67"/>
        <item x="70"/>
        <item x="69"/>
        <item x="72"/>
        <item x="73"/>
        <item x="71"/>
        <item x="74"/>
        <item x="68"/>
        <item x="76"/>
        <item x="79"/>
        <item x="78"/>
        <item x="80"/>
        <item x="81"/>
        <item x="82"/>
        <item x="83"/>
        <item x="84"/>
        <item x="85"/>
        <item x="86"/>
        <item x="77"/>
        <item x="75"/>
        <item x="87"/>
        <item x="88"/>
        <item x="92"/>
        <item x="89"/>
        <item x="91"/>
        <item x="94"/>
        <item x="90"/>
        <item x="96"/>
        <item x="93"/>
        <item x="95"/>
        <item x="97"/>
        <item x="99"/>
        <item x="98"/>
        <item x="100"/>
        <item x="101"/>
        <item x="102"/>
        <item x="103"/>
        <item x="105"/>
        <item x="106"/>
        <item x="104"/>
        <item x="108"/>
        <item x="107"/>
        <item t="default"/>
      </items>
    </pivotField>
    <pivotField showAll="0"/>
    <pivotField showAll="0"/>
    <pivotField dataField="1" showAll="0"/>
    <pivotField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6"/>
    </i>
    <i t="grand">
      <x/>
    </i>
  </rowItems>
  <colFields count="2">
    <field x="16"/>
    <field x="-2"/>
  </colFields>
  <colItems count="14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Sum of INVOICE SUB-TOTAL" fld="5" baseField="0" baseItem="0"/>
    <dataField name="Sum of No of invoice" fld="14" baseField="0" baseItem="0"/>
  </dataFields>
  <formats count="10">
    <format dxfId="123">
      <pivotArea type="all" dataOnly="0" outline="0" fieldPosition="0"/>
    </format>
    <format dxfId="122">
      <pivotArea dataOnly="0" labelOnly="1" outline="0" fieldPosition="0">
        <references count="2">
          <reference field="4294967294" count="1">
            <x v="0"/>
          </reference>
          <reference field="16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1">
            <x v="1"/>
          </reference>
          <reference field="16" count="1" selected="0">
            <x v="1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2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3"/>
          </reference>
        </references>
      </pivotArea>
    </format>
    <format dxfId="118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4"/>
          </reference>
        </references>
      </pivotArea>
    </format>
    <format dxfId="117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5"/>
          </reference>
        </references>
      </pivotArea>
    </format>
    <format dxfId="116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6"/>
          </reference>
        </references>
      </pivotArea>
    </format>
    <format dxfId="115">
      <pivotArea field="1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4">
      <pivotArea field="1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16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6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1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96EC9-0100-49D2-A232-589060213CC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am" colHeaderCaption="2024">
  <location ref="L3:O6" firstHeaderRow="1" firstDataRow="2" firstDataCol="1"/>
  <pivotFields count="12">
    <pivotField showAll="0">
      <items count="3">
        <item n="Jan" x="0"/>
        <item x="1"/>
        <item t="default"/>
      </items>
    </pivotField>
    <pivotField showAll="0"/>
    <pivotField numFmtId="165" showAll="0">
      <items count="5">
        <item x="0"/>
        <item x="1"/>
        <item x="2"/>
        <item x="3"/>
        <item t="default"/>
      </items>
    </pivotField>
    <pivotField showAll="0"/>
    <pivotField showAll="0"/>
    <pivotField numFmtId="43" showAll="0"/>
    <pivotField showAll="0"/>
    <pivotField dataField="1" numFmtId="43" showAll="0"/>
    <pivotField numFmtId="43" showAll="0"/>
    <pivotField numFmtId="43" showAll="0"/>
    <pivotField axis="axisRow" showAll="0">
      <items count="2">
        <item x="0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2">
    <i>
      <x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Summary Sales per Month" fld="7" baseField="0" baseItem="0"/>
  </dataFields>
  <formats count="6">
    <format dxfId="108">
      <pivotArea outline="0" collapsedLevelsAreSubtotals="1" fieldPosition="0"/>
    </format>
    <format dxfId="107">
      <pivotArea field="0" type="button" dataOnly="0" labelOnly="1" outline="0"/>
    </format>
    <format dxfId="106">
      <pivotArea type="topRight" dataOnly="0" labelOnly="1" outline="0" fieldPosition="0"/>
    </format>
    <format dxfId="105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104">
      <pivotArea dataOnly="0" labelOnly="1" grandCol="1" outline="0" fieldPosition="0"/>
    </format>
    <format dxfId="103">
      <pivotArea field="11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D3CF1-01CF-4F3C-9C76-39584CCD767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 Names" colHeaderCaption="2024">
  <location ref="B3:E7" firstHeaderRow="1" firstDataRow="2" firstDataCol="1"/>
  <pivotFields count="12">
    <pivotField axis="axisRow" showAll="0">
      <items count="3">
        <item x="0"/>
        <item x="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Sum of INVOICE SUB-TOTAL" fld="7" baseField="0" baseItem="0"/>
  </dataFields>
  <formats count="5">
    <format dxfId="113">
      <pivotArea outline="0" collapsedLevelsAreSubtotals="1" fieldPosition="0"/>
    </format>
    <format dxfId="112">
      <pivotArea field="11" type="button" dataOnly="0" labelOnly="1" outline="0" axis="axisCol" fieldPosition="0"/>
    </format>
    <format dxfId="111">
      <pivotArea type="topRight" dataOnly="0" labelOnly="1" outline="0" fieldPosition="0"/>
    </format>
    <format dxfId="110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10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6AC68-85DF-4F30-8910-14DF0A74FAC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S143" firstHeaderRow="1" firstDataRow="3" firstDataCol="1"/>
  <pivotFields count="17">
    <pivotField axis="axisRow" showAll="0" sortType="descending">
      <items count="138">
        <item x="69"/>
        <item x="117"/>
        <item x="68"/>
        <item x="65"/>
        <item x="101"/>
        <item x="50"/>
        <item x="92"/>
        <item x="64"/>
        <item x="25"/>
        <item x="55"/>
        <item x="94"/>
        <item x="2"/>
        <item x="1"/>
        <item x="105"/>
        <item x="107"/>
        <item x="128"/>
        <item x="12"/>
        <item x="75"/>
        <item x="111"/>
        <item x="24"/>
        <item x="120"/>
        <item x="124"/>
        <item x="46"/>
        <item x="76"/>
        <item x="93"/>
        <item x="125"/>
        <item x="22"/>
        <item x="43"/>
        <item x="51"/>
        <item x="62"/>
        <item x="90"/>
        <item x="80"/>
        <item x="129"/>
        <item x="37"/>
        <item x="61"/>
        <item x="40"/>
        <item x="48"/>
        <item x="106"/>
        <item x="3"/>
        <item x="26"/>
        <item x="14"/>
        <item x="100"/>
        <item x="121"/>
        <item x="119"/>
        <item x="102"/>
        <item x="118"/>
        <item x="122"/>
        <item x="17"/>
        <item x="58"/>
        <item x="71"/>
        <item x="4"/>
        <item x="78"/>
        <item x="60"/>
        <item x="21"/>
        <item x="82"/>
        <item x="45"/>
        <item x="36"/>
        <item x="18"/>
        <item x="63"/>
        <item x="15"/>
        <item x="52"/>
        <item x="16"/>
        <item x="115"/>
        <item x="84"/>
        <item x="56"/>
        <item x="53"/>
        <item x="66"/>
        <item x="11"/>
        <item x="13"/>
        <item x="10"/>
        <item x="8"/>
        <item x="91"/>
        <item x="127"/>
        <item x="95"/>
        <item x="81"/>
        <item x="104"/>
        <item x="47"/>
        <item x="97"/>
        <item x="28"/>
        <item x="35"/>
        <item x="112"/>
        <item x="73"/>
        <item x="96"/>
        <item x="6"/>
        <item x="110"/>
        <item x="57"/>
        <item x="39"/>
        <item x="74"/>
        <item x="27"/>
        <item x="88"/>
        <item x="108"/>
        <item x="79"/>
        <item x="19"/>
        <item x="23"/>
        <item x="109"/>
        <item x="116"/>
        <item x="123"/>
        <item x="33"/>
        <item x="42"/>
        <item x="49"/>
        <item x="44"/>
        <item x="0"/>
        <item x="113"/>
        <item x="54"/>
        <item x="67"/>
        <item x="103"/>
        <item x="72"/>
        <item x="20"/>
        <item x="38"/>
        <item x="41"/>
        <item x="5"/>
        <item x="126"/>
        <item x="34"/>
        <item x="83"/>
        <item x="130"/>
        <item x="131"/>
        <item x="7"/>
        <item x="9"/>
        <item x="29"/>
        <item x="30"/>
        <item x="31"/>
        <item x="32"/>
        <item x="59"/>
        <item x="70"/>
        <item x="77"/>
        <item x="85"/>
        <item x="86"/>
        <item x="87"/>
        <item x="89"/>
        <item x="98"/>
        <item x="99"/>
        <item x="114"/>
        <item x="132"/>
        <item x="133"/>
        <item x="134"/>
        <item x="135"/>
        <item x="1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42">
        <item x="0"/>
        <item x="1"/>
        <item x="4"/>
        <item x="3"/>
        <item x="6"/>
        <item x="5"/>
        <item x="8"/>
        <item x="9"/>
        <item x="2"/>
        <item x="10"/>
        <item x="14"/>
        <item x="15"/>
        <item x="18"/>
        <item x="11"/>
        <item x="17"/>
        <item x="16"/>
        <item x="7"/>
        <item x="20"/>
        <item x="19"/>
        <item x="12"/>
        <item x="21"/>
        <item x="22"/>
        <item x="13"/>
        <item x="23"/>
        <item x="25"/>
        <item x="24"/>
        <item x="27"/>
        <item x="26"/>
        <item x="30"/>
        <item x="28"/>
        <item x="29"/>
        <item x="32"/>
        <item x="31"/>
        <item x="33"/>
        <item x="34"/>
        <item x="35"/>
        <item x="36"/>
        <item x="37"/>
        <item x="38"/>
        <item x="41"/>
        <item x="39"/>
        <item x="40"/>
        <item x="42"/>
        <item x="45"/>
        <item x="43"/>
        <item x="44"/>
        <item x="47"/>
        <item x="46"/>
        <item x="50"/>
        <item x="48"/>
        <item x="49"/>
        <item x="51"/>
        <item x="52"/>
        <item x="53"/>
        <item x="54"/>
        <item x="55"/>
        <item x="56"/>
        <item x="58"/>
        <item x="59"/>
        <item x="60"/>
        <item x="57"/>
        <item x="61"/>
        <item x="62"/>
        <item x="63"/>
        <item x="64"/>
        <item x="65"/>
        <item x="66"/>
        <item x="67"/>
        <item x="70"/>
        <item x="69"/>
        <item x="72"/>
        <item x="73"/>
        <item x="71"/>
        <item x="74"/>
        <item x="68"/>
        <item x="76"/>
        <item x="79"/>
        <item x="78"/>
        <item x="80"/>
        <item x="81"/>
        <item x="82"/>
        <item x="83"/>
        <item x="84"/>
        <item x="85"/>
        <item x="86"/>
        <item x="77"/>
        <item x="75"/>
        <item x="87"/>
        <item x="88"/>
        <item x="92"/>
        <item x="89"/>
        <item x="91"/>
        <item x="94"/>
        <item x="90"/>
        <item x="96"/>
        <item x="93"/>
        <item x="95"/>
        <item x="97"/>
        <item x="99"/>
        <item x="98"/>
        <item x="100"/>
        <item x="101"/>
        <item x="102"/>
        <item x="103"/>
        <item x="105"/>
        <item x="106"/>
        <item x="104"/>
        <item x="108"/>
        <item x="107"/>
        <item x="109"/>
        <item x="110"/>
        <item x="111"/>
        <item x="112"/>
        <item x="113"/>
        <item x="114"/>
        <item x="115"/>
        <item x="118"/>
        <item x="116"/>
        <item x="117"/>
        <item x="119"/>
        <item x="121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38">
    <i>
      <x v="57"/>
    </i>
    <i>
      <x v="101"/>
    </i>
    <i>
      <x v="83"/>
    </i>
    <i>
      <x v="80"/>
    </i>
    <i>
      <x v="31"/>
    </i>
    <i>
      <x v="102"/>
    </i>
    <i>
      <x v="33"/>
    </i>
    <i>
      <x v="53"/>
    </i>
    <i>
      <x v="30"/>
    </i>
    <i>
      <x v="32"/>
    </i>
    <i>
      <x v="89"/>
    </i>
    <i>
      <x v="107"/>
    </i>
    <i>
      <x v="22"/>
    </i>
    <i>
      <x v="67"/>
    </i>
    <i>
      <x v="92"/>
    </i>
    <i>
      <x v="54"/>
    </i>
    <i>
      <x v="28"/>
    </i>
    <i>
      <x v="64"/>
    </i>
    <i>
      <x v="69"/>
    </i>
    <i>
      <x v="105"/>
    </i>
    <i>
      <x v="1"/>
    </i>
    <i>
      <x v="23"/>
    </i>
    <i>
      <x v="5"/>
    </i>
    <i>
      <x v="124"/>
    </i>
    <i>
      <x v="48"/>
    </i>
    <i>
      <x v="123"/>
    </i>
    <i>
      <x v="125"/>
    </i>
    <i>
      <x v="103"/>
    </i>
    <i>
      <x v="13"/>
    </i>
    <i>
      <x v="50"/>
    </i>
    <i>
      <x v="12"/>
    </i>
    <i>
      <x v="61"/>
    </i>
    <i>
      <x v="126"/>
    </i>
    <i>
      <x v="56"/>
    </i>
    <i>
      <x v="108"/>
    </i>
    <i>
      <x v="66"/>
    </i>
    <i>
      <x v="87"/>
    </i>
    <i>
      <x v="11"/>
    </i>
    <i>
      <x v="88"/>
    </i>
    <i>
      <x v="110"/>
    </i>
    <i>
      <x v="71"/>
    </i>
    <i>
      <x v="97"/>
    </i>
    <i>
      <x v="16"/>
    </i>
    <i>
      <x v="68"/>
    </i>
    <i>
      <x v="3"/>
    </i>
    <i>
      <x v="79"/>
    </i>
    <i>
      <x v="9"/>
    </i>
    <i>
      <x v="131"/>
    </i>
    <i>
      <x v="118"/>
    </i>
    <i>
      <x v="2"/>
    </i>
    <i>
      <x v="60"/>
    </i>
    <i>
      <x v="75"/>
    </i>
    <i>
      <x v="134"/>
    </i>
    <i>
      <x v="119"/>
    </i>
    <i>
      <x v="122"/>
    </i>
    <i>
      <x v="76"/>
    </i>
    <i>
      <x v="26"/>
    </i>
    <i>
      <x v="24"/>
    </i>
    <i>
      <x v="96"/>
    </i>
    <i>
      <x v="114"/>
    </i>
    <i>
      <x v="7"/>
    </i>
    <i>
      <x v="116"/>
    </i>
    <i>
      <x v="127"/>
    </i>
    <i>
      <x v="36"/>
    </i>
    <i>
      <x v="47"/>
    </i>
    <i>
      <x v="41"/>
    </i>
    <i>
      <x v="14"/>
    </i>
    <i>
      <x v="20"/>
    </i>
    <i>
      <x v="25"/>
    </i>
    <i>
      <x v="94"/>
    </i>
    <i>
      <x v="104"/>
    </i>
    <i>
      <x v="29"/>
    </i>
    <i>
      <x v="21"/>
    </i>
    <i>
      <x v="112"/>
    </i>
    <i>
      <x v="38"/>
    </i>
    <i>
      <x v="113"/>
    </i>
    <i>
      <x v="17"/>
    </i>
    <i>
      <x v="40"/>
    </i>
    <i>
      <x v="59"/>
    </i>
    <i>
      <x v="135"/>
    </i>
    <i>
      <x v="100"/>
    </i>
    <i>
      <x v="74"/>
    </i>
    <i>
      <x v="63"/>
    </i>
    <i>
      <x v="19"/>
    </i>
    <i>
      <x v="73"/>
    </i>
    <i>
      <x v="46"/>
    </i>
    <i>
      <x v="52"/>
    </i>
    <i>
      <x v="111"/>
    </i>
    <i>
      <x v="90"/>
    </i>
    <i>
      <x v="133"/>
    </i>
    <i>
      <x v="58"/>
    </i>
    <i>
      <x v="106"/>
    </i>
    <i>
      <x v="85"/>
    </i>
    <i>
      <x v="98"/>
    </i>
    <i>
      <x v="55"/>
    </i>
    <i>
      <x v="8"/>
    </i>
    <i>
      <x v="49"/>
    </i>
    <i>
      <x v="77"/>
    </i>
    <i>
      <x v="34"/>
    </i>
    <i>
      <x v="82"/>
    </i>
    <i>
      <x v="81"/>
    </i>
    <i>
      <x v="109"/>
    </i>
    <i>
      <x v="99"/>
    </i>
    <i>
      <x v="72"/>
    </i>
    <i>
      <x v="15"/>
    </i>
    <i>
      <x v="70"/>
    </i>
    <i>
      <x v="129"/>
    </i>
    <i>
      <x v="86"/>
    </i>
    <i>
      <x v="91"/>
    </i>
    <i>
      <x v="95"/>
    </i>
    <i>
      <x v="78"/>
    </i>
    <i>
      <x v="10"/>
    </i>
    <i>
      <x v="132"/>
    </i>
    <i>
      <x v="93"/>
    </i>
    <i>
      <x v="6"/>
    </i>
    <i>
      <x v="18"/>
    </i>
    <i>
      <x v="4"/>
    </i>
    <i>
      <x v="136"/>
    </i>
    <i>
      <x v="35"/>
    </i>
    <i>
      <x v="37"/>
    </i>
    <i>
      <x v="128"/>
    </i>
    <i>
      <x v="121"/>
    </i>
    <i>
      <x v="51"/>
    </i>
    <i>
      <x v="62"/>
    </i>
    <i>
      <x v="120"/>
    </i>
    <i>
      <x v="45"/>
    </i>
    <i>
      <x v="117"/>
    </i>
    <i>
      <x v="130"/>
    </i>
    <i>
      <x v="42"/>
    </i>
    <i>
      <x v="44"/>
    </i>
    <i>
      <x v="65"/>
    </i>
    <i>
      <x v="39"/>
    </i>
    <i>
      <x v="84"/>
    </i>
    <i>
      <x v="115"/>
    </i>
    <i>
      <x/>
    </i>
    <i>
      <x v="27"/>
    </i>
    <i>
      <x v="43"/>
    </i>
    <i t="grand">
      <x/>
    </i>
  </rowItems>
  <colFields count="2">
    <field x="16"/>
    <field x="-2"/>
  </colFields>
  <colItems count="18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 t="grand">
      <x/>
    </i>
    <i t="grand" i="1">
      <x/>
    </i>
  </colItems>
  <dataFields count="2">
    <dataField name="Sum of INVOICE SUB-TOTAL" fld="5" baseField="0" baseItem="0"/>
    <dataField name="Sum of No of invoice" fld="14" baseField="0" baseItem="10"/>
  </dataFields>
  <formats count="32">
    <format dxfId="102">
      <pivotArea type="all" dataOnly="0" outline="0" fieldPosition="0"/>
    </format>
    <format dxfId="101">
      <pivotArea collapsedLevelsAreSubtotals="1" fieldPosition="0">
        <references count="1">
          <reference field="0" count="1">
            <x v="9"/>
          </reference>
        </references>
      </pivotArea>
    </format>
    <format dxfId="100">
      <pivotArea dataOnly="0" labelOnly="1" fieldPosition="0">
        <references count="1">
          <reference field="0" count="1">
            <x v="9"/>
          </reference>
        </references>
      </pivotArea>
    </format>
    <format dxfId="99">
      <pivotArea collapsedLevelsAreSubtotals="1" fieldPosition="0">
        <references count="1">
          <reference field="0" count="1">
            <x v="9"/>
          </reference>
        </references>
      </pivotArea>
    </format>
    <format dxfId="98">
      <pivotArea dataOnly="0" labelOnly="1" fieldPosition="0">
        <references count="1">
          <reference field="0" count="1">
            <x v="9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6">
      <pivotArea field="1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5">
      <pivotArea field="1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">
      <pivotArea collapsedLevelsAreSubtotals="1" fieldPosition="0">
        <references count="1">
          <reference field="0" count="1">
            <x v="108"/>
          </reference>
        </references>
      </pivotArea>
    </format>
    <format dxfId="92">
      <pivotArea dataOnly="0" labelOnly="1" fieldPosition="0">
        <references count="1">
          <reference field="0" count="1">
            <x v="108"/>
          </reference>
        </references>
      </pivotArea>
    </format>
    <format dxfId="91">
      <pivotArea collapsedLevelsAreSubtotals="1" fieldPosition="0">
        <references count="1">
          <reference field="0" count="1">
            <x v="60"/>
          </reference>
        </references>
      </pivotArea>
    </format>
    <format dxfId="90">
      <pivotArea dataOnly="0" labelOnly="1" fieldPosition="0">
        <references count="1">
          <reference field="0" count="1">
            <x v="60"/>
          </reference>
        </references>
      </pivotArea>
    </format>
    <format dxfId="89">
      <pivotArea collapsedLevelsAreSubtotals="1" fieldPosition="0">
        <references count="1">
          <reference field="0" count="1">
            <x v="108"/>
          </reference>
        </references>
      </pivotArea>
    </format>
    <format dxfId="88">
      <pivotArea dataOnly="0" labelOnly="1" fieldPosition="0">
        <references count="1">
          <reference field="0" count="1">
            <x v="108"/>
          </reference>
        </references>
      </pivotArea>
    </format>
    <format dxfId="87">
      <pivotArea collapsedLevelsAreSubtotals="1" fieldPosition="0">
        <references count="1">
          <reference field="0" count="1">
            <x v="60"/>
          </reference>
        </references>
      </pivotArea>
    </format>
    <format dxfId="86">
      <pivotArea dataOnly="0" labelOnly="1" fieldPosition="0">
        <references count="1">
          <reference field="0" count="1">
            <x v="60"/>
          </reference>
        </references>
      </pivotArea>
    </format>
    <format dxfId="85">
      <pivotArea field="1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84">
      <pivotArea collapsedLevelsAreSubtotals="1" fieldPosition="0">
        <references count="1">
          <reference field="0" count="1">
            <x v="89"/>
          </reference>
        </references>
      </pivotArea>
    </format>
    <format dxfId="83">
      <pivotArea dataOnly="0" labelOnly="1" fieldPosition="0">
        <references count="1">
          <reference field="0" count="1">
            <x v="89"/>
          </reference>
        </references>
      </pivotArea>
    </format>
    <format dxfId="82">
      <pivotArea collapsedLevelsAreSubtotals="1" fieldPosition="0">
        <references count="1">
          <reference field="0" count="1">
            <x v="30"/>
          </reference>
        </references>
      </pivotArea>
    </format>
    <format dxfId="81">
      <pivotArea dataOnly="0" labelOnly="1" fieldPosition="0">
        <references count="1">
          <reference field="0" count="1">
            <x v="30"/>
          </reference>
        </references>
      </pivotArea>
    </format>
    <format dxfId="80">
      <pivotArea collapsedLevelsAreSubtotals="1" fieldPosition="0">
        <references count="1">
          <reference field="0" count="2">
            <x v="12"/>
            <x v="50"/>
          </reference>
        </references>
      </pivotArea>
    </format>
    <format dxfId="79">
      <pivotArea dataOnly="0" labelOnly="1" fieldPosition="0">
        <references count="1">
          <reference field="0" count="2">
            <x v="12"/>
            <x v="50"/>
          </reference>
        </references>
      </pivotArea>
    </format>
    <format dxfId="78">
      <pivotArea collapsedLevelsAreSubtotals="1" fieldPosition="0">
        <references count="1">
          <reference field="0" count="1">
            <x v="41"/>
          </reference>
        </references>
      </pivotArea>
    </format>
    <format dxfId="77">
      <pivotArea dataOnly="0" labelOnly="1" fieldPosition="0">
        <references count="1">
          <reference field="0" count="1">
            <x v="41"/>
          </reference>
        </references>
      </pivotArea>
    </format>
    <format dxfId="76">
      <pivotArea collapsedLevelsAreSubtotals="1" fieldPosition="0">
        <references count="1">
          <reference field="0" count="1">
            <x v="59"/>
          </reference>
        </references>
      </pivotArea>
    </format>
    <format dxfId="75">
      <pivotArea dataOnly="0" labelOnly="1" fieldPosition="0">
        <references count="1">
          <reference field="0" count="1">
            <x v="59"/>
          </reference>
        </references>
      </pivotArea>
    </format>
    <format dxfId="74">
      <pivotArea collapsedLevelsAreSubtotals="1" fieldPosition="0">
        <references count="1">
          <reference field="0" count="1">
            <x v="32"/>
          </reference>
        </references>
      </pivotArea>
    </format>
    <format dxfId="73">
      <pivotArea dataOnly="0" labelOnly="1" fieldPosition="0">
        <references count="1">
          <reference field="0" count="1">
            <x v="32"/>
          </reference>
        </references>
      </pivotArea>
    </format>
    <format dxfId="72">
      <pivotArea dataOnly="0" fieldPosition="0">
        <references count="1">
          <reference field="0" count="1">
            <x v="50"/>
          </reference>
        </references>
      </pivotArea>
    </format>
    <format dxfId="71">
      <pivotArea dataOnly="0" fieldPosition="0">
        <references count="1">
          <reference field="0" count="1">
            <x v="13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41" dT="2024-06-28T14:01:07.55" personId="{3FEEF6AD-B473-4A7D-B085-6973E1BA4BF0}" id="{2C2959DF-14C4-4774-B5CF-FE00C587A7D5}">
    <text>INVOICE DATE 28/06/2024</text>
  </threadedComment>
  <threadedComment ref="C142" dT="2024-06-28T14:04:55.95" personId="{3FEEF6AD-B473-4A7D-B085-6973E1BA4BF0}" id="{4195E5C9-E6AB-405E-BEED-3FB7BAC28ABF}">
    <text xml:space="preserve">INVOICE DATE 28/06/2024
</text>
  </threadedComment>
  <threadedComment ref="C143" dT="2024-06-28T14:08:16.39" personId="{3FEEF6AD-B473-4A7D-B085-6973E1BA4BF0}" id="{51840483-C41B-49BA-9520-E59F78EF3440}">
    <text xml:space="preserve">INVOICE DATE 28/06/2024
</text>
  </threadedComment>
  <threadedComment ref="C268" dT="2024-06-10T10:00:55.16" personId="{3FEEF6AD-B473-4A7D-B085-6973E1BA4BF0}" id="{3A2A6E9D-98E0-447B-A856-83F3B6145078}">
    <text>VOID</text>
  </threadedComment>
  <threadedComment ref="D277" dT="2024-06-07T10:56:17.91" personId="{3FEEF6AD-B473-4A7D-B085-6973E1BA4BF0}" id="{17C4EF5E-239C-41E6-864D-FF7C22892865}">
    <text xml:space="preserve">Invoice date is 14/06/2024
</text>
  </threadedComment>
  <threadedComment ref="B298" dT="2024-06-03T08:54:39.79" personId="{3FEEF6AD-B473-4A7D-B085-6973E1BA4BF0}" id="{3DADA4CB-22BD-4F2B-9A23-08F0FB40006E}">
    <text>Not used</text>
  </threadedComment>
  <threadedComment ref="D309" dT="2024-06-10T06:11:09.94" personId="{3FEEF6AD-B473-4A7D-B085-6973E1BA4BF0}" id="{8D3A0C05-EFD6-4006-8227-C68FDA615B81}">
    <text xml:space="preserve">Invoice raised as per proforma 09/06/2024
</text>
  </threadedComment>
  <threadedComment ref="D332" dT="2024-06-07T10:56:03.27" personId="{3FEEF6AD-B473-4A7D-B085-6973E1BA4BF0}" id="{1C45DD0C-A271-4E81-93BA-FFC9E269FFA9}">
    <text xml:space="preserve">Invoice date is 14/06/2024
</text>
  </threadedComment>
  <threadedComment ref="D336" dT="2024-06-10T11:26:03.64" personId="{3FEEF6AD-B473-4A7D-B085-6973E1BA4BF0}" id="{9EA34A16-5E71-4D65-A3B4-E616128B8AD5}">
    <text xml:space="preserve">Invoice raised as per LOP 10/06/2024
</text>
  </threadedComment>
  <threadedComment ref="D337" dT="2024-06-14T09:18:31.94" personId="{3FEEF6AD-B473-4A7D-B085-6973E1BA4BF0}" id="{3B7A4948-93B5-4598-AFDF-7396E60437F8}">
    <text xml:space="preserve">Raised invoice 24-0352
</text>
  </threadedComment>
  <threadedComment ref="D338" dT="2024-06-10T11:25:47.35" personId="{3FEEF6AD-B473-4A7D-B085-6973E1BA4BF0}" id="{D4E14EAF-03A5-4FA4-8318-E660D3C82131}">
    <text xml:space="preserve">Invoice raised as per LOP 10/06/2024
</text>
  </threadedComment>
  <threadedComment ref="D339" dT="2024-06-05T07:48:40.47" personId="{3FEEF6AD-B473-4A7D-B085-6973E1BA4BF0}" id="{08D44E89-EC9A-47EF-B519-CCF14779A3CE}">
    <text xml:space="preserve">Invoice raised as per LOP 05/06/2024
</text>
  </threadedComment>
  <threadedComment ref="D394" dT="2024-07-10T11:28:04.12" personId="{3FEEF6AD-B473-4A7D-B085-6973E1BA4BF0}" id="{0AC1370A-DE70-405D-BA83-7C7670F5317B}">
    <text xml:space="preserve">Invoice dated 11/07/2024
</text>
  </threadedComment>
  <threadedComment ref="C400" dT="2024-07-11T13:31:51.35" personId="{3FEEF6AD-B473-4A7D-B085-6973E1BA4BF0}" id="{8396357C-076E-4D4C-AE8D-1191720569AE}">
    <text>VOID. NO CONFIRMATION</text>
  </threadedComment>
  <threadedComment ref="D426" dT="2024-07-19T07:31:42.83" personId="{3FEEF6AD-B473-4A7D-B085-6973E1BA4BF0}" id="{C01988D5-3F8F-485C-A1C0-73776CDA50AB}">
    <text>Raised invoice for 12/07/2024</text>
  </threadedComment>
  <threadedComment ref="D429" dT="2024-07-19T07:28:05.08" personId="{3FEEF6AD-B473-4A7D-B085-6973E1BA4BF0}" id="{95B37179-3A0E-4EC1-AA50-4D3AD1403483}">
    <text xml:space="preserve">Raised invoice for the date 19/07/2024
</text>
  </threadedComment>
  <threadedComment ref="D431" dT="2024-07-19T07:48:01.33" personId="{3FEEF6AD-B473-4A7D-B085-6973E1BA4BF0}" id="{64BBC93D-D6E6-4F97-97C2-D018DA985A4D}">
    <text xml:space="preserve">Raised invoice for 26/07/2024
</text>
  </threadedComment>
  <threadedComment ref="D436" dT="2024-07-19T07:24:03.16" personId="{3FEEF6AD-B473-4A7D-B085-6973E1BA4BF0}" id="{247A71CC-994F-4D04-82C2-7591B6BB1C85}">
    <text xml:space="preserve">Raised invoice for the date 22/07/2024
</text>
  </threadedComment>
  <threadedComment ref="D438" dT="2024-07-19T07:48:07.39" personId="{3FEEF6AD-B473-4A7D-B085-6973E1BA4BF0}" id="{CC33CC97-5412-4582-81F3-86AFE4DE5989}">
    <text xml:space="preserve">Raised invoice for 26/07/2024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41" dT="2024-06-28T14:01:07.55" personId="{3FEEF6AD-B473-4A7D-B085-6973E1BA4BF0}" id="{B503230A-B65F-471D-848F-DBA8D63828D8}">
    <text>INVOICE DATE 28/06/2024</text>
  </threadedComment>
  <threadedComment ref="C142" dT="2024-06-28T14:04:55.95" personId="{3FEEF6AD-B473-4A7D-B085-6973E1BA4BF0}" id="{69806124-33C6-490F-92E7-29C860C956FE}">
    <text xml:space="preserve">INVOICE DATE 28/06/2024
</text>
  </threadedComment>
  <threadedComment ref="C143" dT="2024-06-28T14:08:16.39" personId="{3FEEF6AD-B473-4A7D-B085-6973E1BA4BF0}" id="{77326E0C-830D-4B9A-8CD3-6B7738391391}">
    <text xml:space="preserve">INVOICE DATE 28/06/2024
</text>
  </threadedComment>
  <threadedComment ref="C268" dT="2024-06-10T10:00:55.16" personId="{3FEEF6AD-B473-4A7D-B085-6973E1BA4BF0}" id="{7DBDF101-CF2F-4999-AC7D-F42735CDF10D}">
    <text>VOID</text>
  </threadedComment>
  <threadedComment ref="D277" dT="2024-06-07T10:56:17.91" personId="{3FEEF6AD-B473-4A7D-B085-6973E1BA4BF0}" id="{03DB0B48-82F8-4D2C-9981-4D0C46F60E13}">
    <text xml:space="preserve">Invoice date is 14/06/2024
</text>
  </threadedComment>
  <threadedComment ref="B298" dT="2024-06-03T08:54:39.79" personId="{3FEEF6AD-B473-4A7D-B085-6973E1BA4BF0}" id="{F0CC6E9A-CF63-4761-BE85-4CB7C9093B20}">
    <text>Not used</text>
  </threadedComment>
  <threadedComment ref="D309" dT="2024-06-10T06:11:09.94" personId="{3FEEF6AD-B473-4A7D-B085-6973E1BA4BF0}" id="{7301EFAD-17BB-4B19-B96A-CBB0EF2E8BC2}">
    <text xml:space="preserve">Invoice raised as per proforma 09/06/2024
</text>
  </threadedComment>
  <threadedComment ref="D332" dT="2024-06-07T10:56:03.27" personId="{3FEEF6AD-B473-4A7D-B085-6973E1BA4BF0}" id="{231A3565-D384-4D15-9749-38FE103A2E43}">
    <text xml:space="preserve">Invoice date is 14/06/2024
</text>
  </threadedComment>
  <threadedComment ref="D336" dT="2024-06-10T11:26:03.64" personId="{3FEEF6AD-B473-4A7D-B085-6973E1BA4BF0}" id="{DAC84130-4854-44D2-AC0C-1C4CEAFABC80}">
    <text xml:space="preserve">Invoice raised as per LOP 10/06/2024
</text>
  </threadedComment>
  <threadedComment ref="D337" dT="2024-06-14T09:18:31.94" personId="{3FEEF6AD-B473-4A7D-B085-6973E1BA4BF0}" id="{B2D1DD44-E137-49EB-84BD-DB9C3CA25E4A}">
    <text xml:space="preserve">Raised invoice 24-0352
</text>
  </threadedComment>
  <threadedComment ref="D338" dT="2024-06-10T11:25:47.35" personId="{3FEEF6AD-B473-4A7D-B085-6973E1BA4BF0}" id="{E46FABDE-2B80-49C6-8A25-168C1A872A42}">
    <text xml:space="preserve">Invoice raised as per LOP 10/06/2024
</text>
  </threadedComment>
  <threadedComment ref="D339" dT="2024-06-05T07:48:40.47" personId="{3FEEF6AD-B473-4A7D-B085-6973E1BA4BF0}" id="{58D367CA-80FB-4B15-B762-3268F0789F6B}">
    <text xml:space="preserve">Invoice raised as per LOP 05/06/2024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41" dT="2024-06-28T14:01:07.55" personId="{3FEEF6AD-B473-4A7D-B085-6973E1BA4BF0}" id="{2BA0CEE5-F85A-4738-BFEB-0FFD7B80ACA0}">
    <text>INVOICE DATE 28/06/2024</text>
  </threadedComment>
  <threadedComment ref="C142" dT="2024-06-28T14:04:55.95" personId="{3FEEF6AD-B473-4A7D-B085-6973E1BA4BF0}" id="{26734D45-F6D7-467C-A0FB-7388EC58397D}">
    <text xml:space="preserve">INVOICE DATE 28/06/2024
</text>
  </threadedComment>
  <threadedComment ref="C143" dT="2024-06-28T14:08:16.39" personId="{3FEEF6AD-B473-4A7D-B085-6973E1BA4BF0}" id="{2FD96659-07D6-4182-82BE-92BC5053BDAA}">
    <text xml:space="preserve">INVOICE DATE 28/06/2024
</text>
  </threadedComment>
  <threadedComment ref="C268" dT="2024-06-10T10:00:55.16" personId="{3FEEF6AD-B473-4A7D-B085-6973E1BA4BF0}" id="{E9511852-A158-4F7B-B914-8B48BE1AFE97}">
    <text>VOID</text>
  </threadedComment>
  <threadedComment ref="D277" dT="2024-06-07T10:56:17.91" personId="{3FEEF6AD-B473-4A7D-B085-6973E1BA4BF0}" id="{57F2AC7A-B029-45B6-9353-D03E041BF791}">
    <text xml:space="preserve">Invoice date is 14/06/2024
</text>
  </threadedComment>
  <threadedComment ref="B298" dT="2024-06-03T08:54:39.79" personId="{3FEEF6AD-B473-4A7D-B085-6973E1BA4BF0}" id="{F55620FA-A526-44AB-B250-C8A9A5B6CFFD}">
    <text>Not used</text>
  </threadedComment>
  <threadedComment ref="D309" dT="2024-06-10T06:11:09.94" personId="{3FEEF6AD-B473-4A7D-B085-6973E1BA4BF0}" id="{5F938011-982E-494A-8617-3222865E7625}">
    <text xml:space="preserve">Invoice raised as per proforma 09/06/2024
</text>
  </threadedComment>
  <threadedComment ref="D332" dT="2024-06-07T10:56:03.27" personId="{3FEEF6AD-B473-4A7D-B085-6973E1BA4BF0}" id="{2930930C-FD61-449A-B999-4B8B117EB80D}">
    <text xml:space="preserve">Invoice date is 14/06/2024
</text>
  </threadedComment>
  <threadedComment ref="D336" dT="2024-06-10T11:26:03.64" personId="{3FEEF6AD-B473-4A7D-B085-6973E1BA4BF0}" id="{3410F79B-19A2-4274-A728-DA56CC9A47AF}">
    <text xml:space="preserve">Invoice raised as per LOP 10/06/2024
</text>
  </threadedComment>
  <threadedComment ref="D337" dT="2024-06-14T09:18:31.94" personId="{3FEEF6AD-B473-4A7D-B085-6973E1BA4BF0}" id="{BFF96A1C-11D1-44EF-B23A-4BAFEEFF31E4}">
    <text xml:space="preserve">Raised invoice 24-0352
</text>
  </threadedComment>
  <threadedComment ref="D338" dT="2024-06-10T11:25:47.35" personId="{3FEEF6AD-B473-4A7D-B085-6973E1BA4BF0}" id="{11AD2F9F-C970-4CC2-AE46-D1DE0F680987}">
    <text xml:space="preserve">Invoice raised as per LOP 10/06/2024
</text>
  </threadedComment>
  <threadedComment ref="D339" dT="2024-06-05T07:48:40.47" personId="{3FEEF6AD-B473-4A7D-B085-6973E1BA4BF0}" id="{C0B5A13B-85EA-45E7-8858-09A6BDB093CB}">
    <text xml:space="preserve">Invoice raised as per LOP 05/06/2024
</text>
  </threadedComment>
  <threadedComment ref="D394" dT="2024-07-10T11:28:04.12" personId="{3FEEF6AD-B473-4A7D-B085-6973E1BA4BF0}" id="{C347FF86-871C-4AB4-BFE5-8F61FB7EF843}">
    <text xml:space="preserve">Invoice dated 11/07/2024
</text>
  </threadedComment>
  <threadedComment ref="C400" dT="2024-07-11T13:31:51.35" personId="{3FEEF6AD-B473-4A7D-B085-6973E1BA4BF0}" id="{85369559-D706-41BD-BAA2-5295BCE3FE79}">
    <text>VOID. NO CONFIRMATION</text>
  </threadedComment>
  <threadedComment ref="D426" dT="2024-07-19T07:31:42.83" personId="{3FEEF6AD-B473-4A7D-B085-6973E1BA4BF0}" id="{36891B96-E1FB-4E15-80C0-3226149DAA0C}">
    <text>Raised invoice for 12/07/2024</text>
  </threadedComment>
  <threadedComment ref="D429" dT="2024-07-19T07:28:05.08" personId="{3FEEF6AD-B473-4A7D-B085-6973E1BA4BF0}" id="{BC7A8EBA-73BC-4A67-9436-86E999E068E4}">
    <text xml:space="preserve">Raised invoice for the date 19/07/2024
</text>
  </threadedComment>
  <threadedComment ref="D431" dT="2024-07-19T07:48:01.33" personId="{3FEEF6AD-B473-4A7D-B085-6973E1BA4BF0}" id="{66E35CA9-DEDB-4401-BF5D-A14654615785}">
    <text xml:space="preserve">Raised invoice for 26/07/2024
</text>
  </threadedComment>
  <threadedComment ref="D436" dT="2024-07-19T07:24:03.16" personId="{3FEEF6AD-B473-4A7D-B085-6973E1BA4BF0}" id="{DA07641F-78E0-4328-8D76-613C5F8B5C7C}">
    <text xml:space="preserve">Raised invoice for the date 22/07/2024
</text>
  </threadedComment>
  <threadedComment ref="D438" dT="2024-07-19T07:48:07.39" personId="{3FEEF6AD-B473-4A7D-B085-6973E1BA4BF0}" id="{37EB98F3-DC46-4E36-8BE0-7CD7C496CF54}">
    <text xml:space="preserve">Raised invoice for 26/07/2024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7071-5ABD-4A98-8031-74A0C22411B3}">
  <dimension ref="A1:N190"/>
  <sheetViews>
    <sheetView topLeftCell="A47" workbookViewId="0">
      <selection activeCell="C32" sqref="C32"/>
    </sheetView>
  </sheetViews>
  <sheetFormatPr defaultRowHeight="15" x14ac:dyDescent="0.25"/>
  <cols>
    <col min="1" max="1" width="51.85546875" customWidth="1"/>
    <col min="2" max="2" width="14.28515625" style="14" customWidth="1"/>
    <col min="3" max="3" width="19.85546875" style="15" customWidth="1"/>
    <col min="4" max="4" width="19.42578125" style="16" customWidth="1"/>
    <col min="5" max="5" width="74.42578125" customWidth="1"/>
    <col min="6" max="6" width="18.28515625" style="17" customWidth="1"/>
    <col min="7" max="7" width="13.42578125" style="17" customWidth="1"/>
    <col min="8" max="8" width="15.7109375" style="17" customWidth="1"/>
    <col min="9" max="9" width="11.7109375" style="17" customWidth="1"/>
    <col min="10" max="10" width="16.42578125" style="17" customWidth="1"/>
    <col min="11" max="11" width="19.5703125" style="18" customWidth="1"/>
    <col min="12" max="12" width="10.5703125" customWidth="1"/>
    <col min="13" max="13" width="11.85546875" customWidth="1"/>
    <col min="14" max="14" width="14.28515625" customWidth="1"/>
  </cols>
  <sheetData>
    <row r="1" spans="1:14" s="8" customFormat="1" ht="36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35" t="s">
        <v>19</v>
      </c>
      <c r="H1" s="36" t="s">
        <v>20</v>
      </c>
      <c r="I1" s="4" t="s">
        <v>6</v>
      </c>
      <c r="J1" s="4" t="s">
        <v>7</v>
      </c>
      <c r="K1" s="4" t="s">
        <v>8</v>
      </c>
      <c r="L1" s="5">
        <f>COUNTA(B:B)-1</f>
        <v>189</v>
      </c>
      <c r="M1" s="6" t="e">
        <f>GETPIVOTDATA("Count of INVOICE NO.",#REF!)+GETPIVOTDATA("Count of INVOICE NO.",#REF!)</f>
        <v>#REF!</v>
      </c>
      <c r="N1" s="7">
        <f>SUM(F:F)</f>
        <v>542386.70699999994</v>
      </c>
    </row>
    <row r="2" spans="1:14" x14ac:dyDescent="0.25">
      <c r="A2" s="9" t="s">
        <v>10</v>
      </c>
      <c r="B2" s="10" t="s">
        <v>32</v>
      </c>
      <c r="C2" s="11">
        <v>45293</v>
      </c>
      <c r="D2" s="34" t="s">
        <v>16</v>
      </c>
      <c r="E2" s="9" t="s">
        <v>41</v>
      </c>
      <c r="F2" s="28">
        <v>425.49</v>
      </c>
      <c r="G2" s="28"/>
      <c r="H2" s="28">
        <f t="shared" ref="H2:H64" si="0">F2-G2</f>
        <v>425.49</v>
      </c>
      <c r="I2" s="28">
        <f t="shared" ref="I2:I64" si="1">F2*5%</f>
        <v>21.274500000000003</v>
      </c>
      <c r="J2" s="28">
        <f t="shared" ref="J2:J64" si="2">F2+I2</f>
        <v>446.7645</v>
      </c>
      <c r="K2" s="29" t="s">
        <v>9</v>
      </c>
      <c r="M2" s="33"/>
    </row>
    <row r="3" spans="1:14" x14ac:dyDescent="0.25">
      <c r="A3" s="9" t="s">
        <v>10</v>
      </c>
      <c r="B3" s="10" t="s">
        <v>33</v>
      </c>
      <c r="C3" s="11">
        <v>45295</v>
      </c>
      <c r="D3" s="34" t="s">
        <v>16</v>
      </c>
      <c r="E3" s="9" t="s">
        <v>42</v>
      </c>
      <c r="F3" s="28">
        <v>415</v>
      </c>
      <c r="G3" s="28"/>
      <c r="H3" s="12">
        <f t="shared" si="0"/>
        <v>415</v>
      </c>
      <c r="I3" s="12">
        <f t="shared" si="1"/>
        <v>20.75</v>
      </c>
      <c r="J3" s="12">
        <f t="shared" si="2"/>
        <v>435.75</v>
      </c>
      <c r="K3" s="13" t="s">
        <v>9</v>
      </c>
      <c r="M3" s="33"/>
    </row>
    <row r="4" spans="1:14" x14ac:dyDescent="0.25">
      <c r="A4" s="9" t="s">
        <v>43</v>
      </c>
      <c r="B4" s="10" t="s">
        <v>34</v>
      </c>
      <c r="C4" s="11">
        <v>45295</v>
      </c>
      <c r="D4" s="34" t="s">
        <v>30</v>
      </c>
      <c r="E4" s="9" t="s">
        <v>44</v>
      </c>
      <c r="F4" s="28">
        <v>475</v>
      </c>
      <c r="G4" s="28"/>
      <c r="H4" s="12">
        <f t="shared" si="0"/>
        <v>475</v>
      </c>
      <c r="I4" s="12">
        <f t="shared" si="1"/>
        <v>23.75</v>
      </c>
      <c r="J4" s="12">
        <f t="shared" si="2"/>
        <v>498.75</v>
      </c>
      <c r="K4" s="13" t="s">
        <v>9</v>
      </c>
      <c r="M4" s="33"/>
    </row>
    <row r="5" spans="1:14" x14ac:dyDescent="0.25">
      <c r="A5" s="9" t="s">
        <v>45</v>
      </c>
      <c r="B5" s="10" t="s">
        <v>35</v>
      </c>
      <c r="C5" s="11">
        <v>45306</v>
      </c>
      <c r="D5" s="34" t="s">
        <v>46</v>
      </c>
      <c r="E5" s="9" t="s">
        <v>84</v>
      </c>
      <c r="F5" s="28">
        <v>5850</v>
      </c>
      <c r="G5" s="28"/>
      <c r="H5" s="12">
        <f t="shared" si="0"/>
        <v>5850</v>
      </c>
      <c r="I5" s="12">
        <f t="shared" si="1"/>
        <v>292.5</v>
      </c>
      <c r="J5" s="12">
        <f t="shared" si="2"/>
        <v>6142.5</v>
      </c>
      <c r="K5" s="13" t="s">
        <v>78</v>
      </c>
      <c r="M5" s="33"/>
    </row>
    <row r="6" spans="1:14" x14ac:dyDescent="0.25">
      <c r="A6" s="9" t="s">
        <v>26</v>
      </c>
      <c r="B6" s="10" t="s">
        <v>36</v>
      </c>
      <c r="C6" s="11">
        <v>45297</v>
      </c>
      <c r="D6" s="34" t="s">
        <v>21</v>
      </c>
      <c r="E6" s="9" t="s">
        <v>47</v>
      </c>
      <c r="F6" s="28">
        <v>425</v>
      </c>
      <c r="G6" s="28"/>
      <c r="H6" s="12">
        <f t="shared" si="0"/>
        <v>425</v>
      </c>
      <c r="I6" s="12">
        <f t="shared" si="1"/>
        <v>21.25</v>
      </c>
      <c r="J6" s="12">
        <f t="shared" si="2"/>
        <v>446.25</v>
      </c>
      <c r="K6" s="13" t="s">
        <v>9</v>
      </c>
      <c r="M6" s="33"/>
    </row>
    <row r="7" spans="1:14" x14ac:dyDescent="0.25">
      <c r="A7" s="9" t="s">
        <v>48</v>
      </c>
      <c r="B7" s="10" t="s">
        <v>37</v>
      </c>
      <c r="C7" s="11">
        <v>45296</v>
      </c>
      <c r="D7" s="38" t="s">
        <v>24</v>
      </c>
      <c r="E7" s="9" t="s">
        <v>27</v>
      </c>
      <c r="F7" s="28">
        <v>7600</v>
      </c>
      <c r="G7" s="28"/>
      <c r="H7" s="28">
        <f t="shared" si="0"/>
        <v>7600</v>
      </c>
      <c r="I7" s="28">
        <f t="shared" si="1"/>
        <v>380</v>
      </c>
      <c r="J7" s="28">
        <f t="shared" si="2"/>
        <v>7980</v>
      </c>
      <c r="K7" s="29" t="s">
        <v>9</v>
      </c>
      <c r="M7" s="33"/>
    </row>
    <row r="8" spans="1:14" x14ac:dyDescent="0.25">
      <c r="A8" s="9" t="s">
        <v>49</v>
      </c>
      <c r="B8" s="10" t="s">
        <v>38</v>
      </c>
      <c r="C8" s="11">
        <v>45302</v>
      </c>
      <c r="D8" s="34" t="s">
        <v>50</v>
      </c>
      <c r="E8" s="9" t="s">
        <v>51</v>
      </c>
      <c r="F8" s="28">
        <v>848</v>
      </c>
      <c r="G8" s="28"/>
      <c r="H8" s="28">
        <f t="shared" si="0"/>
        <v>848</v>
      </c>
      <c r="I8" s="28">
        <f t="shared" si="1"/>
        <v>42.400000000000006</v>
      </c>
      <c r="J8" s="28">
        <f t="shared" si="2"/>
        <v>890.4</v>
      </c>
      <c r="K8" s="29" t="s">
        <v>9</v>
      </c>
      <c r="M8" s="33"/>
    </row>
    <row r="9" spans="1:14" x14ac:dyDescent="0.25">
      <c r="A9" s="9" t="s">
        <v>29</v>
      </c>
      <c r="B9" s="40" t="s">
        <v>39</v>
      </c>
      <c r="C9" s="11">
        <v>45300</v>
      </c>
      <c r="D9" s="34" t="s">
        <v>28</v>
      </c>
      <c r="E9" s="9" t="s">
        <v>52</v>
      </c>
      <c r="F9" s="28">
        <v>380</v>
      </c>
      <c r="G9" s="28"/>
      <c r="H9" s="12">
        <f t="shared" si="0"/>
        <v>380</v>
      </c>
      <c r="I9" s="12">
        <f t="shared" si="1"/>
        <v>19</v>
      </c>
      <c r="J9" s="12">
        <f t="shared" si="2"/>
        <v>399</v>
      </c>
      <c r="K9" s="13" t="s">
        <v>9</v>
      </c>
      <c r="M9" s="33"/>
    </row>
    <row r="10" spans="1:14" x14ac:dyDescent="0.25">
      <c r="A10" s="9" t="s">
        <v>22</v>
      </c>
      <c r="B10" s="60" t="s">
        <v>40</v>
      </c>
      <c r="C10" s="11">
        <v>45316</v>
      </c>
      <c r="D10" s="34" t="s">
        <v>23</v>
      </c>
      <c r="E10" s="9" t="s">
        <v>53</v>
      </c>
      <c r="F10" s="28">
        <v>405</v>
      </c>
      <c r="G10" s="28"/>
      <c r="H10" s="12">
        <f t="shared" si="0"/>
        <v>405</v>
      </c>
      <c r="I10" s="12">
        <f t="shared" si="1"/>
        <v>20.25</v>
      </c>
      <c r="J10" s="12">
        <f t="shared" si="2"/>
        <v>425.25</v>
      </c>
      <c r="K10" s="13" t="s">
        <v>9</v>
      </c>
      <c r="M10" s="33"/>
    </row>
    <row r="11" spans="1:14" x14ac:dyDescent="0.25">
      <c r="A11" s="9" t="s">
        <v>56</v>
      </c>
      <c r="B11" s="40" t="s">
        <v>54</v>
      </c>
      <c r="C11" s="11">
        <v>45300</v>
      </c>
      <c r="D11" s="38" t="s">
        <v>57</v>
      </c>
      <c r="E11" s="9" t="s">
        <v>58</v>
      </c>
      <c r="F11" s="28">
        <v>530</v>
      </c>
      <c r="G11" s="28"/>
      <c r="H11" s="12">
        <f t="shared" si="0"/>
        <v>530</v>
      </c>
      <c r="I11" s="12">
        <f t="shared" si="1"/>
        <v>26.5</v>
      </c>
      <c r="J11" s="12">
        <f t="shared" si="2"/>
        <v>556.5</v>
      </c>
      <c r="K11" s="29" t="s">
        <v>9</v>
      </c>
    </row>
    <row r="12" spans="1:14" x14ac:dyDescent="0.25">
      <c r="A12" s="9" t="s">
        <v>48</v>
      </c>
      <c r="B12" s="40" t="s">
        <v>55</v>
      </c>
      <c r="C12" s="11">
        <v>45302</v>
      </c>
      <c r="D12" s="38" t="s">
        <v>24</v>
      </c>
      <c r="E12" s="9" t="s">
        <v>59</v>
      </c>
      <c r="F12" s="28">
        <v>760</v>
      </c>
      <c r="G12" s="28"/>
      <c r="H12" s="12">
        <f t="shared" si="0"/>
        <v>760</v>
      </c>
      <c r="I12" s="12">
        <f t="shared" si="1"/>
        <v>38</v>
      </c>
      <c r="J12" s="12">
        <f t="shared" si="2"/>
        <v>798</v>
      </c>
      <c r="K12" s="13" t="s">
        <v>9</v>
      </c>
    </row>
    <row r="13" spans="1:14" x14ac:dyDescent="0.25">
      <c r="A13" s="9" t="s">
        <v>72</v>
      </c>
      <c r="B13" s="40" t="s">
        <v>61</v>
      </c>
      <c r="C13" s="11">
        <v>45300</v>
      </c>
      <c r="D13" s="38" t="s">
        <v>74</v>
      </c>
      <c r="E13" s="9" t="s">
        <v>73</v>
      </c>
      <c r="F13" s="28">
        <f>3.67*62.1</f>
        <v>227.90700000000001</v>
      </c>
      <c r="G13" s="28"/>
      <c r="H13" s="12">
        <f t="shared" si="0"/>
        <v>227.90700000000001</v>
      </c>
      <c r="I13" s="12">
        <f t="shared" si="1"/>
        <v>11.395350000000001</v>
      </c>
      <c r="J13" s="12">
        <f t="shared" si="2"/>
        <v>239.30235000000002</v>
      </c>
      <c r="K13" s="13" t="s">
        <v>9</v>
      </c>
    </row>
    <row r="14" spans="1:14" x14ac:dyDescent="0.25">
      <c r="A14" s="9" t="s">
        <v>75</v>
      </c>
      <c r="B14" s="40" t="s">
        <v>62</v>
      </c>
      <c r="C14" s="11">
        <v>45303</v>
      </c>
      <c r="D14" s="38" t="s">
        <v>76</v>
      </c>
      <c r="E14" s="9" t="s">
        <v>77</v>
      </c>
      <c r="F14" s="28">
        <v>475</v>
      </c>
      <c r="G14" s="28"/>
      <c r="H14" s="12">
        <f t="shared" si="0"/>
        <v>475</v>
      </c>
      <c r="I14" s="12">
        <f t="shared" si="1"/>
        <v>23.75</v>
      </c>
      <c r="J14" s="12">
        <f t="shared" si="2"/>
        <v>498.75</v>
      </c>
      <c r="K14" s="13" t="s">
        <v>78</v>
      </c>
    </row>
    <row r="15" spans="1:14" x14ac:dyDescent="0.25">
      <c r="A15" s="9" t="s">
        <v>10</v>
      </c>
      <c r="B15" s="40" t="s">
        <v>63</v>
      </c>
      <c r="C15" s="11">
        <v>45303</v>
      </c>
      <c r="D15" s="38" t="s">
        <v>79</v>
      </c>
      <c r="E15" s="9" t="s">
        <v>80</v>
      </c>
      <c r="F15" s="28">
        <v>440</v>
      </c>
      <c r="G15" s="28"/>
      <c r="H15" s="12">
        <f t="shared" si="0"/>
        <v>440</v>
      </c>
      <c r="I15" s="12">
        <f t="shared" si="1"/>
        <v>22</v>
      </c>
      <c r="J15" s="12">
        <f t="shared" si="2"/>
        <v>462</v>
      </c>
      <c r="K15" s="13" t="s">
        <v>9</v>
      </c>
    </row>
    <row r="16" spans="1:14" x14ac:dyDescent="0.25">
      <c r="A16" s="9" t="s">
        <v>81</v>
      </c>
      <c r="B16" s="40" t="s">
        <v>64</v>
      </c>
      <c r="C16" s="11">
        <v>45303</v>
      </c>
      <c r="D16" s="38" t="s">
        <v>82</v>
      </c>
      <c r="E16" s="9" t="s">
        <v>83</v>
      </c>
      <c r="F16" s="28">
        <v>1250</v>
      </c>
      <c r="G16" s="28"/>
      <c r="H16" s="12">
        <f t="shared" si="0"/>
        <v>1250</v>
      </c>
      <c r="I16" s="12">
        <f t="shared" si="1"/>
        <v>62.5</v>
      </c>
      <c r="J16" s="12">
        <f t="shared" si="2"/>
        <v>1312.5</v>
      </c>
      <c r="K16" s="13" t="s">
        <v>78</v>
      </c>
    </row>
    <row r="17" spans="1:11" x14ac:dyDescent="0.25">
      <c r="A17" s="9" t="s">
        <v>26</v>
      </c>
      <c r="B17" s="40" t="s">
        <v>65</v>
      </c>
      <c r="C17" s="11">
        <v>45303</v>
      </c>
      <c r="D17" s="38" t="s">
        <v>21</v>
      </c>
      <c r="E17" s="9" t="s">
        <v>85</v>
      </c>
      <c r="F17" s="28">
        <v>165</v>
      </c>
      <c r="G17" s="28"/>
      <c r="H17" s="12">
        <f t="shared" si="0"/>
        <v>165</v>
      </c>
      <c r="I17" s="12">
        <f t="shared" si="1"/>
        <v>8.25</v>
      </c>
      <c r="J17" s="12">
        <f t="shared" si="2"/>
        <v>173.25</v>
      </c>
      <c r="K17" s="13" t="s">
        <v>9</v>
      </c>
    </row>
    <row r="18" spans="1:11" x14ac:dyDescent="0.25">
      <c r="A18" s="9" t="s">
        <v>86</v>
      </c>
      <c r="B18" s="40" t="s">
        <v>66</v>
      </c>
      <c r="C18" s="11">
        <v>45304</v>
      </c>
      <c r="D18" s="38" t="s">
        <v>87</v>
      </c>
      <c r="E18" s="9" t="s">
        <v>88</v>
      </c>
      <c r="F18" s="28">
        <v>825</v>
      </c>
      <c r="G18" s="28"/>
      <c r="H18" s="12">
        <f t="shared" si="0"/>
        <v>825</v>
      </c>
      <c r="I18" s="12">
        <f t="shared" si="1"/>
        <v>41.25</v>
      </c>
      <c r="J18" s="12">
        <f t="shared" si="2"/>
        <v>866.25</v>
      </c>
      <c r="K18" s="13" t="s">
        <v>9</v>
      </c>
    </row>
    <row r="19" spans="1:11" x14ac:dyDescent="0.25">
      <c r="A19" s="9" t="s">
        <v>89</v>
      </c>
      <c r="B19" s="60" t="s">
        <v>67</v>
      </c>
      <c r="C19" s="11">
        <v>45316</v>
      </c>
      <c r="D19" s="38" t="s">
        <v>90</v>
      </c>
      <c r="E19" s="9" t="s">
        <v>91</v>
      </c>
      <c r="F19" s="28">
        <v>4252.5</v>
      </c>
      <c r="G19" s="28"/>
      <c r="H19" s="12">
        <f t="shared" si="0"/>
        <v>4252.5</v>
      </c>
      <c r="I19" s="12">
        <f t="shared" si="1"/>
        <v>212.625</v>
      </c>
      <c r="J19" s="12">
        <f t="shared" si="2"/>
        <v>4465.125</v>
      </c>
      <c r="K19" s="13" t="s">
        <v>78</v>
      </c>
    </row>
    <row r="20" spans="1:11" x14ac:dyDescent="0.25">
      <c r="A20" s="9" t="s">
        <v>92</v>
      </c>
      <c r="B20" s="40" t="s">
        <v>68</v>
      </c>
      <c r="C20" s="11">
        <v>45307</v>
      </c>
      <c r="D20" s="38" t="s">
        <v>74</v>
      </c>
      <c r="E20" s="9" t="s">
        <v>93</v>
      </c>
      <c r="F20" s="28">
        <v>1690</v>
      </c>
      <c r="G20" s="28"/>
      <c r="H20" s="12">
        <f t="shared" si="0"/>
        <v>1690</v>
      </c>
      <c r="I20" s="12">
        <f t="shared" si="1"/>
        <v>84.5</v>
      </c>
      <c r="J20" s="12">
        <f t="shared" si="2"/>
        <v>1774.5</v>
      </c>
      <c r="K20" s="13" t="s">
        <v>78</v>
      </c>
    </row>
    <row r="21" spans="1:11" x14ac:dyDescent="0.25">
      <c r="A21" s="9" t="s">
        <v>94</v>
      </c>
      <c r="B21" s="40" t="s">
        <v>69</v>
      </c>
      <c r="C21" s="11">
        <v>45306</v>
      </c>
      <c r="D21" s="38" t="s">
        <v>96</v>
      </c>
      <c r="E21" s="9" t="s">
        <v>95</v>
      </c>
      <c r="F21" s="28">
        <v>310</v>
      </c>
      <c r="G21" s="28"/>
      <c r="H21" s="12">
        <f t="shared" si="0"/>
        <v>310</v>
      </c>
      <c r="I21" s="12">
        <f t="shared" si="1"/>
        <v>15.5</v>
      </c>
      <c r="J21" s="12">
        <f t="shared" si="2"/>
        <v>325.5</v>
      </c>
      <c r="K21" s="13" t="s">
        <v>78</v>
      </c>
    </row>
    <row r="22" spans="1:11" x14ac:dyDescent="0.25">
      <c r="A22" s="9" t="s">
        <v>97</v>
      </c>
      <c r="B22" s="40" t="s">
        <v>70</v>
      </c>
      <c r="C22" s="11">
        <v>45307</v>
      </c>
      <c r="D22" s="38" t="s">
        <v>98</v>
      </c>
      <c r="E22" s="9" t="s">
        <v>99</v>
      </c>
      <c r="F22" s="28">
        <v>5975</v>
      </c>
      <c r="G22" s="28"/>
      <c r="H22" s="12">
        <f t="shared" si="0"/>
        <v>5975</v>
      </c>
      <c r="I22" s="12">
        <f t="shared" si="1"/>
        <v>298.75</v>
      </c>
      <c r="J22" s="12">
        <f t="shared" si="2"/>
        <v>6273.75</v>
      </c>
      <c r="K22" s="13" t="s">
        <v>78</v>
      </c>
    </row>
    <row r="23" spans="1:11" x14ac:dyDescent="0.25">
      <c r="A23" s="9" t="s">
        <v>100</v>
      </c>
      <c r="B23" s="40" t="s">
        <v>71</v>
      </c>
      <c r="C23" s="11">
        <v>45303</v>
      </c>
      <c r="D23" s="38" t="s">
        <v>74</v>
      </c>
      <c r="E23" s="9" t="s">
        <v>101</v>
      </c>
      <c r="F23" s="28">
        <v>120</v>
      </c>
      <c r="G23" s="28"/>
      <c r="H23" s="12">
        <f t="shared" si="0"/>
        <v>120</v>
      </c>
      <c r="I23" s="12">
        <f t="shared" si="1"/>
        <v>6</v>
      </c>
      <c r="J23" s="12">
        <f t="shared" si="2"/>
        <v>126</v>
      </c>
      <c r="K23" s="13" t="s">
        <v>9</v>
      </c>
    </row>
    <row r="24" spans="1:11" x14ac:dyDescent="0.25">
      <c r="A24" s="9" t="s">
        <v>45</v>
      </c>
      <c r="B24" s="40" t="s">
        <v>106</v>
      </c>
      <c r="C24" s="11">
        <v>45307</v>
      </c>
      <c r="D24" s="38" t="s">
        <v>46</v>
      </c>
      <c r="E24" s="9" t="s">
        <v>113</v>
      </c>
      <c r="F24" s="28">
        <v>200</v>
      </c>
      <c r="G24" s="28"/>
      <c r="H24" s="12">
        <f t="shared" si="0"/>
        <v>200</v>
      </c>
      <c r="I24" s="12">
        <f t="shared" si="1"/>
        <v>10</v>
      </c>
      <c r="J24" s="12">
        <f t="shared" si="2"/>
        <v>210</v>
      </c>
      <c r="K24" s="13" t="s">
        <v>78</v>
      </c>
    </row>
    <row r="25" spans="1:11" x14ac:dyDescent="0.25">
      <c r="A25" s="9" t="s">
        <v>119</v>
      </c>
      <c r="B25" s="60" t="s">
        <v>107</v>
      </c>
      <c r="C25" s="11">
        <v>45313</v>
      </c>
      <c r="D25" s="38" t="s">
        <v>74</v>
      </c>
      <c r="E25" s="9" t="s">
        <v>120</v>
      </c>
      <c r="F25" s="28">
        <v>7595.24</v>
      </c>
      <c r="G25" s="28"/>
      <c r="H25" s="12">
        <f t="shared" si="0"/>
        <v>7595.24</v>
      </c>
      <c r="I25" s="12">
        <f t="shared" si="1"/>
        <v>379.762</v>
      </c>
      <c r="J25" s="12">
        <f t="shared" si="2"/>
        <v>7975.0019999999995</v>
      </c>
      <c r="K25" s="13" t="s">
        <v>78</v>
      </c>
    </row>
    <row r="26" spans="1:11" x14ac:dyDescent="0.25">
      <c r="A26" s="9" t="s">
        <v>114</v>
      </c>
      <c r="B26" s="40" t="s">
        <v>108</v>
      </c>
      <c r="C26" s="11">
        <v>45321</v>
      </c>
      <c r="D26" s="38" t="s">
        <v>115</v>
      </c>
      <c r="E26" s="9" t="s">
        <v>116</v>
      </c>
      <c r="F26" s="28">
        <v>470</v>
      </c>
      <c r="G26" s="28"/>
      <c r="H26" s="12">
        <f t="shared" si="0"/>
        <v>470</v>
      </c>
      <c r="I26" s="12">
        <f t="shared" si="1"/>
        <v>23.5</v>
      </c>
      <c r="J26" s="12">
        <f t="shared" si="2"/>
        <v>493.5</v>
      </c>
      <c r="K26" s="13" t="s">
        <v>9</v>
      </c>
    </row>
    <row r="27" spans="1:11" x14ac:dyDescent="0.25">
      <c r="A27" s="9" t="s">
        <v>102</v>
      </c>
      <c r="B27" s="60" t="s">
        <v>109</v>
      </c>
      <c r="C27" s="11">
        <v>45325</v>
      </c>
      <c r="D27" s="38" t="s">
        <v>104</v>
      </c>
      <c r="E27" s="9" t="s">
        <v>117</v>
      </c>
      <c r="F27" s="28">
        <v>526.5</v>
      </c>
      <c r="G27" s="28"/>
      <c r="H27" s="12">
        <f t="shared" si="0"/>
        <v>526.5</v>
      </c>
      <c r="I27" s="12">
        <f t="shared" si="1"/>
        <v>26.325000000000003</v>
      </c>
      <c r="J27" s="12">
        <f t="shared" si="2"/>
        <v>552.82500000000005</v>
      </c>
      <c r="K27" s="13" t="s">
        <v>9</v>
      </c>
    </row>
    <row r="28" spans="1:11" x14ac:dyDescent="0.25">
      <c r="A28" s="9" t="s">
        <v>10</v>
      </c>
      <c r="B28" s="40" t="s">
        <v>110</v>
      </c>
      <c r="C28" s="11">
        <v>45308</v>
      </c>
      <c r="D28" s="38" t="s">
        <v>16</v>
      </c>
      <c r="E28" s="9" t="s">
        <v>121</v>
      </c>
      <c r="F28" s="28">
        <v>955</v>
      </c>
      <c r="G28" s="28"/>
      <c r="H28" s="12">
        <f t="shared" si="0"/>
        <v>955</v>
      </c>
      <c r="I28" s="12">
        <f t="shared" si="1"/>
        <v>47.75</v>
      </c>
      <c r="J28" s="12">
        <f t="shared" si="2"/>
        <v>1002.75</v>
      </c>
      <c r="K28" s="13" t="s">
        <v>9</v>
      </c>
    </row>
    <row r="29" spans="1:11" x14ac:dyDescent="0.25">
      <c r="A29" s="9" t="s">
        <v>122</v>
      </c>
      <c r="B29" s="40" t="s">
        <v>111</v>
      </c>
      <c r="C29" s="11">
        <v>45309</v>
      </c>
      <c r="D29" s="38" t="s">
        <v>74</v>
      </c>
      <c r="E29" s="9" t="s">
        <v>123</v>
      </c>
      <c r="F29" s="28">
        <v>350</v>
      </c>
      <c r="G29" s="28"/>
      <c r="H29" s="12">
        <f t="shared" si="0"/>
        <v>350</v>
      </c>
      <c r="I29" s="12">
        <f t="shared" si="1"/>
        <v>17.5</v>
      </c>
      <c r="J29" s="12">
        <f t="shared" si="2"/>
        <v>367.5</v>
      </c>
      <c r="K29" s="13" t="s">
        <v>9</v>
      </c>
    </row>
    <row r="30" spans="1:11" x14ac:dyDescent="0.25">
      <c r="A30" s="9" t="s">
        <v>10</v>
      </c>
      <c r="B30" s="40" t="s">
        <v>112</v>
      </c>
      <c r="C30" s="11">
        <v>45308</v>
      </c>
      <c r="D30" s="38" t="s">
        <v>79</v>
      </c>
      <c r="E30" s="9" t="s">
        <v>124</v>
      </c>
      <c r="F30" s="28">
        <v>435</v>
      </c>
      <c r="G30" s="28"/>
      <c r="H30" s="12">
        <f t="shared" si="0"/>
        <v>435</v>
      </c>
      <c r="I30" s="12">
        <f t="shared" si="1"/>
        <v>21.75</v>
      </c>
      <c r="J30" s="12">
        <f t="shared" si="2"/>
        <v>456.75</v>
      </c>
      <c r="K30" s="13" t="s">
        <v>9</v>
      </c>
    </row>
    <row r="31" spans="1:11" x14ac:dyDescent="0.25">
      <c r="A31" s="9" t="s">
        <v>43</v>
      </c>
      <c r="B31" s="40" t="s">
        <v>118</v>
      </c>
      <c r="C31" s="11">
        <v>45308</v>
      </c>
      <c r="D31" s="38" t="s">
        <v>126</v>
      </c>
      <c r="E31" s="9" t="s">
        <v>125</v>
      </c>
      <c r="F31" s="28">
        <v>78.75</v>
      </c>
      <c r="G31" s="28"/>
      <c r="H31" s="12">
        <f t="shared" si="0"/>
        <v>78.75</v>
      </c>
      <c r="I31" s="12">
        <f t="shared" si="1"/>
        <v>3.9375</v>
      </c>
      <c r="J31" s="12">
        <f t="shared" si="2"/>
        <v>82.6875</v>
      </c>
      <c r="K31" s="13" t="s">
        <v>9</v>
      </c>
    </row>
    <row r="32" spans="1:11" x14ac:dyDescent="0.25">
      <c r="A32" s="9" t="s">
        <v>29</v>
      </c>
      <c r="B32" s="40" t="s">
        <v>127</v>
      </c>
      <c r="C32" s="11">
        <v>45309</v>
      </c>
      <c r="D32" s="38" t="s">
        <v>128</v>
      </c>
      <c r="E32" s="9" t="s">
        <v>129</v>
      </c>
      <c r="F32" s="28">
        <v>424.95</v>
      </c>
      <c r="G32" s="28"/>
      <c r="H32" s="12">
        <f t="shared" si="0"/>
        <v>424.95</v>
      </c>
      <c r="I32" s="12">
        <f t="shared" si="1"/>
        <v>21.247500000000002</v>
      </c>
      <c r="J32" s="12">
        <f t="shared" si="2"/>
        <v>446.19749999999999</v>
      </c>
      <c r="K32" s="13" t="s">
        <v>9</v>
      </c>
    </row>
    <row r="33" spans="1:11" x14ac:dyDescent="0.25">
      <c r="A33" s="9" t="s">
        <v>114</v>
      </c>
      <c r="B33" s="40" t="s">
        <v>130</v>
      </c>
      <c r="C33" s="11">
        <v>45315</v>
      </c>
      <c r="D33" s="38" t="s">
        <v>115</v>
      </c>
      <c r="E33" s="9" t="s">
        <v>134</v>
      </c>
      <c r="F33" s="28">
        <v>4290</v>
      </c>
      <c r="G33" s="28"/>
      <c r="H33" s="12">
        <f t="shared" si="0"/>
        <v>4290</v>
      </c>
      <c r="I33" s="12">
        <f t="shared" si="1"/>
        <v>214.5</v>
      </c>
      <c r="J33" s="12">
        <f t="shared" si="2"/>
        <v>4504.5</v>
      </c>
      <c r="K33" s="13" t="s">
        <v>9</v>
      </c>
    </row>
    <row r="34" spans="1:11" x14ac:dyDescent="0.25">
      <c r="A34" s="9" t="s">
        <v>26</v>
      </c>
      <c r="B34" s="40" t="s">
        <v>131</v>
      </c>
      <c r="C34" s="11">
        <v>45314</v>
      </c>
      <c r="D34" s="38" t="s">
        <v>21</v>
      </c>
      <c r="E34" s="9" t="s">
        <v>135</v>
      </c>
      <c r="F34" s="28">
        <v>725</v>
      </c>
      <c r="G34" s="28"/>
      <c r="H34" s="12">
        <f t="shared" si="0"/>
        <v>725</v>
      </c>
      <c r="I34" s="12">
        <f t="shared" si="1"/>
        <v>36.25</v>
      </c>
      <c r="J34" s="12">
        <f t="shared" si="2"/>
        <v>761.25</v>
      </c>
      <c r="K34" s="13" t="s">
        <v>9</v>
      </c>
    </row>
    <row r="35" spans="1:11" x14ac:dyDescent="0.25">
      <c r="A35" s="9" t="s">
        <v>136</v>
      </c>
      <c r="B35" s="40" t="s">
        <v>132</v>
      </c>
      <c r="C35" s="11">
        <v>45314</v>
      </c>
      <c r="D35" s="38" t="s">
        <v>137</v>
      </c>
      <c r="E35" s="9" t="s">
        <v>138</v>
      </c>
      <c r="F35" s="28">
        <v>3150</v>
      </c>
      <c r="G35" s="28"/>
      <c r="H35" s="12">
        <f t="shared" si="0"/>
        <v>3150</v>
      </c>
      <c r="I35" s="12">
        <f t="shared" si="1"/>
        <v>157.5</v>
      </c>
      <c r="J35" s="12">
        <f t="shared" si="2"/>
        <v>3307.5</v>
      </c>
      <c r="K35" s="13" t="s">
        <v>78</v>
      </c>
    </row>
    <row r="36" spans="1:11" x14ac:dyDescent="0.25">
      <c r="A36" s="9" t="s">
        <v>139</v>
      </c>
      <c r="B36" s="40" t="s">
        <v>133</v>
      </c>
      <c r="C36" s="11">
        <v>45313</v>
      </c>
      <c r="D36" s="38" t="s">
        <v>140</v>
      </c>
      <c r="E36" s="9" t="s">
        <v>141</v>
      </c>
      <c r="F36" s="28">
        <v>380</v>
      </c>
      <c r="G36" s="28"/>
      <c r="H36" s="12">
        <f t="shared" si="0"/>
        <v>380</v>
      </c>
      <c r="I36" s="12">
        <f t="shared" si="1"/>
        <v>19</v>
      </c>
      <c r="J36" s="12">
        <f t="shared" si="2"/>
        <v>399</v>
      </c>
      <c r="K36" s="13" t="s">
        <v>78</v>
      </c>
    </row>
    <row r="37" spans="1:11" x14ac:dyDescent="0.25">
      <c r="A37" s="9" t="s">
        <v>147</v>
      </c>
      <c r="B37" s="40" t="s">
        <v>145</v>
      </c>
      <c r="C37" s="11">
        <v>45313</v>
      </c>
      <c r="D37" s="38" t="s">
        <v>74</v>
      </c>
      <c r="E37" s="9" t="s">
        <v>148</v>
      </c>
      <c r="F37" s="28">
        <v>1250</v>
      </c>
      <c r="G37" s="28"/>
      <c r="H37" s="12">
        <f t="shared" si="0"/>
        <v>1250</v>
      </c>
      <c r="I37" s="12">
        <f t="shared" si="1"/>
        <v>62.5</v>
      </c>
      <c r="J37" s="12">
        <f t="shared" si="2"/>
        <v>1312.5</v>
      </c>
      <c r="K37" s="13" t="s">
        <v>9</v>
      </c>
    </row>
    <row r="38" spans="1:11" x14ac:dyDescent="0.25">
      <c r="A38" s="9" t="s">
        <v>122</v>
      </c>
      <c r="B38" s="40" t="s">
        <v>146</v>
      </c>
      <c r="C38" s="11">
        <v>45311</v>
      </c>
      <c r="D38" s="38" t="s">
        <v>74</v>
      </c>
      <c r="E38" s="9" t="s">
        <v>166</v>
      </c>
      <c r="F38" s="28">
        <v>4125</v>
      </c>
      <c r="G38" s="28"/>
      <c r="H38" s="12">
        <f t="shared" si="0"/>
        <v>4125</v>
      </c>
      <c r="I38" s="12">
        <f t="shared" si="1"/>
        <v>206.25</v>
      </c>
      <c r="J38" s="12">
        <f t="shared" si="2"/>
        <v>4331.25</v>
      </c>
      <c r="K38" s="13" t="s">
        <v>9</v>
      </c>
    </row>
    <row r="39" spans="1:11" x14ac:dyDescent="0.25">
      <c r="A39" s="9" t="s">
        <v>161</v>
      </c>
      <c r="B39" s="40" t="s">
        <v>149</v>
      </c>
      <c r="C39" s="11">
        <v>45313</v>
      </c>
      <c r="D39" s="38" t="s">
        <v>74</v>
      </c>
      <c r="E39" s="9" t="s">
        <v>162</v>
      </c>
      <c r="F39" s="28">
        <v>995</v>
      </c>
      <c r="G39" s="28"/>
      <c r="H39" s="12">
        <f t="shared" si="0"/>
        <v>995</v>
      </c>
      <c r="I39" s="12">
        <f t="shared" si="1"/>
        <v>49.75</v>
      </c>
      <c r="J39" s="12">
        <f t="shared" si="2"/>
        <v>1044.75</v>
      </c>
      <c r="K39" s="13" t="s">
        <v>78</v>
      </c>
    </row>
    <row r="40" spans="1:11" x14ac:dyDescent="0.25">
      <c r="A40" s="9" t="s">
        <v>163</v>
      </c>
      <c r="B40" s="40" t="s">
        <v>150</v>
      </c>
      <c r="C40" s="11">
        <v>45313</v>
      </c>
      <c r="D40" s="38" t="s">
        <v>74</v>
      </c>
      <c r="E40" s="9" t="s">
        <v>164</v>
      </c>
      <c r="F40" s="28">
        <v>95</v>
      </c>
      <c r="G40" s="28"/>
      <c r="H40" s="12">
        <f t="shared" si="0"/>
        <v>95</v>
      </c>
      <c r="I40" s="12">
        <f t="shared" si="1"/>
        <v>4.75</v>
      </c>
      <c r="J40" s="12">
        <f t="shared" si="2"/>
        <v>99.75</v>
      </c>
      <c r="K40" s="13" t="s">
        <v>78</v>
      </c>
    </row>
    <row r="41" spans="1:11" x14ac:dyDescent="0.25">
      <c r="A41" s="9" t="s">
        <v>10</v>
      </c>
      <c r="B41" s="40" t="s">
        <v>151</v>
      </c>
      <c r="C41" s="11">
        <v>45315</v>
      </c>
      <c r="D41" s="38" t="s">
        <v>16</v>
      </c>
      <c r="E41" s="9" t="s">
        <v>165</v>
      </c>
      <c r="F41" s="28">
        <v>210</v>
      </c>
      <c r="G41" s="28"/>
      <c r="H41" s="12">
        <f t="shared" si="0"/>
        <v>210</v>
      </c>
      <c r="I41" s="12">
        <f t="shared" si="1"/>
        <v>10.5</v>
      </c>
      <c r="J41" s="12">
        <f t="shared" si="2"/>
        <v>220.5</v>
      </c>
      <c r="K41" s="13" t="s">
        <v>9</v>
      </c>
    </row>
    <row r="42" spans="1:11" x14ac:dyDescent="0.25">
      <c r="A42" s="9" t="s">
        <v>167</v>
      </c>
      <c r="B42" s="40" t="s">
        <v>152</v>
      </c>
      <c r="C42" s="11">
        <v>45315</v>
      </c>
      <c r="D42" s="38" t="s">
        <v>168</v>
      </c>
      <c r="E42" s="9" t="s">
        <v>73</v>
      </c>
      <c r="F42" s="28">
        <v>1106</v>
      </c>
      <c r="G42" s="28"/>
      <c r="H42" s="12">
        <f t="shared" si="0"/>
        <v>1106</v>
      </c>
      <c r="I42" s="12">
        <f t="shared" si="1"/>
        <v>55.300000000000004</v>
      </c>
      <c r="J42" s="12">
        <f t="shared" si="2"/>
        <v>1161.3</v>
      </c>
      <c r="K42" s="13" t="s">
        <v>169</v>
      </c>
    </row>
    <row r="43" spans="1:11" x14ac:dyDescent="0.25">
      <c r="A43" s="9" t="s">
        <v>10</v>
      </c>
      <c r="B43" s="40" t="s">
        <v>153</v>
      </c>
      <c r="C43" s="11">
        <v>45315</v>
      </c>
      <c r="D43" s="38" t="s">
        <v>16</v>
      </c>
      <c r="E43" s="9" t="s">
        <v>170</v>
      </c>
      <c r="F43" s="28">
        <v>435</v>
      </c>
      <c r="G43" s="28"/>
      <c r="H43" s="12">
        <f t="shared" si="0"/>
        <v>435</v>
      </c>
      <c r="I43" s="12">
        <f t="shared" si="1"/>
        <v>21.75</v>
      </c>
      <c r="J43" s="12">
        <f t="shared" si="2"/>
        <v>456.75</v>
      </c>
      <c r="K43" s="13" t="s">
        <v>9</v>
      </c>
    </row>
    <row r="44" spans="1:11" x14ac:dyDescent="0.25">
      <c r="A44" s="9" t="s">
        <v>10</v>
      </c>
      <c r="B44" s="40" t="s">
        <v>154</v>
      </c>
      <c r="C44" s="11">
        <v>45315</v>
      </c>
      <c r="D44" s="38" t="s">
        <v>16</v>
      </c>
      <c r="E44" s="9" t="s">
        <v>171</v>
      </c>
      <c r="F44" s="28">
        <v>5580</v>
      </c>
      <c r="G44" s="28"/>
      <c r="H44" s="12">
        <f t="shared" si="0"/>
        <v>5580</v>
      </c>
      <c r="I44" s="12">
        <f t="shared" si="1"/>
        <v>279</v>
      </c>
      <c r="J44" s="12">
        <f t="shared" si="2"/>
        <v>5859</v>
      </c>
      <c r="K44" s="13" t="s">
        <v>9</v>
      </c>
    </row>
    <row r="45" spans="1:11" x14ac:dyDescent="0.25">
      <c r="A45" s="9" t="s">
        <v>172</v>
      </c>
      <c r="B45" s="40" t="s">
        <v>155</v>
      </c>
      <c r="C45" s="11">
        <v>45316</v>
      </c>
      <c r="D45" s="38" t="s">
        <v>74</v>
      </c>
      <c r="E45" s="9" t="s">
        <v>173</v>
      </c>
      <c r="F45" s="28">
        <v>400</v>
      </c>
      <c r="G45" s="28"/>
      <c r="H45" s="12">
        <f t="shared" si="0"/>
        <v>400</v>
      </c>
      <c r="I45" s="12">
        <f t="shared" si="1"/>
        <v>20</v>
      </c>
      <c r="J45" s="12">
        <f t="shared" si="2"/>
        <v>420</v>
      </c>
      <c r="K45" s="13" t="s">
        <v>78</v>
      </c>
    </row>
    <row r="46" spans="1:11" x14ac:dyDescent="0.25">
      <c r="A46" s="9" t="s">
        <v>174</v>
      </c>
      <c r="B46" s="40" t="s">
        <v>156</v>
      </c>
      <c r="C46" s="11">
        <v>45320</v>
      </c>
      <c r="D46" s="38" t="s">
        <v>175</v>
      </c>
      <c r="E46" s="9" t="s">
        <v>176</v>
      </c>
      <c r="F46" s="28">
        <v>745</v>
      </c>
      <c r="G46" s="28"/>
      <c r="H46" s="12">
        <f t="shared" si="0"/>
        <v>745</v>
      </c>
      <c r="I46" s="12">
        <f t="shared" si="1"/>
        <v>37.25</v>
      </c>
      <c r="J46" s="12">
        <f t="shared" si="2"/>
        <v>782.25</v>
      </c>
      <c r="K46" s="13" t="s">
        <v>78</v>
      </c>
    </row>
    <row r="47" spans="1:11" x14ac:dyDescent="0.25">
      <c r="A47" s="9" t="s">
        <v>177</v>
      </c>
      <c r="B47" s="40" t="s">
        <v>157</v>
      </c>
      <c r="C47" s="11">
        <v>45320</v>
      </c>
      <c r="D47" s="38" t="s">
        <v>178</v>
      </c>
      <c r="E47" s="9" t="s">
        <v>179</v>
      </c>
      <c r="F47" s="28">
        <v>250</v>
      </c>
      <c r="G47" s="28"/>
      <c r="H47" s="12">
        <f t="shared" si="0"/>
        <v>250</v>
      </c>
      <c r="I47" s="12">
        <f t="shared" si="1"/>
        <v>12.5</v>
      </c>
      <c r="J47" s="12">
        <f t="shared" si="2"/>
        <v>262.5</v>
      </c>
      <c r="K47" s="13" t="s">
        <v>78</v>
      </c>
    </row>
    <row r="48" spans="1:11" x14ac:dyDescent="0.25">
      <c r="A48" s="9" t="s">
        <v>180</v>
      </c>
      <c r="B48" s="40" t="s">
        <v>158</v>
      </c>
      <c r="C48" s="11">
        <v>45320</v>
      </c>
      <c r="D48" s="38" t="s">
        <v>181</v>
      </c>
      <c r="E48" s="9" t="s">
        <v>179</v>
      </c>
      <c r="F48" s="28">
        <v>250</v>
      </c>
      <c r="G48" s="28"/>
      <c r="H48" s="12">
        <f t="shared" si="0"/>
        <v>250</v>
      </c>
      <c r="I48" s="12">
        <f t="shared" si="1"/>
        <v>12.5</v>
      </c>
      <c r="J48" s="12">
        <f t="shared" si="2"/>
        <v>262.5</v>
      </c>
      <c r="K48" s="13" t="s">
        <v>78</v>
      </c>
    </row>
    <row r="49" spans="1:11" x14ac:dyDescent="0.25">
      <c r="A49" s="9" t="s">
        <v>182</v>
      </c>
      <c r="B49" s="40" t="s">
        <v>159</v>
      </c>
      <c r="C49" s="11">
        <v>45320</v>
      </c>
      <c r="D49" s="38" t="s">
        <v>183</v>
      </c>
      <c r="E49" s="9" t="s">
        <v>179</v>
      </c>
      <c r="F49" s="28">
        <v>200</v>
      </c>
      <c r="G49" s="28"/>
      <c r="H49" s="12">
        <f t="shared" si="0"/>
        <v>200</v>
      </c>
      <c r="I49" s="12">
        <f t="shared" si="1"/>
        <v>10</v>
      </c>
      <c r="J49" s="12">
        <f t="shared" si="2"/>
        <v>210</v>
      </c>
      <c r="K49" s="13" t="s">
        <v>78</v>
      </c>
    </row>
    <row r="50" spans="1:11" x14ac:dyDescent="0.25">
      <c r="A50" s="9" t="s">
        <v>184</v>
      </c>
      <c r="B50" s="60" t="s">
        <v>160</v>
      </c>
      <c r="C50" s="11">
        <v>45317</v>
      </c>
      <c r="D50" s="38" t="s">
        <v>185</v>
      </c>
      <c r="E50" s="9" t="s">
        <v>186</v>
      </c>
      <c r="F50" s="28">
        <v>3950</v>
      </c>
      <c r="G50" s="28"/>
      <c r="H50" s="12">
        <f t="shared" si="0"/>
        <v>3950</v>
      </c>
      <c r="I50" s="12">
        <f t="shared" si="1"/>
        <v>197.5</v>
      </c>
      <c r="J50" s="12">
        <f t="shared" si="2"/>
        <v>4147.5</v>
      </c>
      <c r="K50" s="13" t="s">
        <v>9</v>
      </c>
    </row>
    <row r="51" spans="1:11" x14ac:dyDescent="0.25">
      <c r="A51" s="9" t="s">
        <v>102</v>
      </c>
      <c r="B51" s="60" t="s">
        <v>187</v>
      </c>
      <c r="C51" s="11">
        <v>45317</v>
      </c>
      <c r="D51" s="38" t="s">
        <v>104</v>
      </c>
      <c r="E51" s="9" t="s">
        <v>193</v>
      </c>
      <c r="F51" s="28">
        <v>28</v>
      </c>
      <c r="G51" s="28"/>
      <c r="H51" s="12">
        <f t="shared" si="0"/>
        <v>28</v>
      </c>
      <c r="I51" s="12">
        <f t="shared" si="1"/>
        <v>1.4000000000000001</v>
      </c>
      <c r="J51" s="12">
        <f t="shared" si="2"/>
        <v>29.4</v>
      </c>
      <c r="K51" s="13" t="s">
        <v>9</v>
      </c>
    </row>
    <row r="52" spans="1:11" x14ac:dyDescent="0.25">
      <c r="A52" s="9" t="s">
        <v>262</v>
      </c>
      <c r="B52" s="40" t="s">
        <v>188</v>
      </c>
      <c r="C52" s="11">
        <v>45321</v>
      </c>
      <c r="D52" s="38" t="s">
        <v>30</v>
      </c>
      <c r="E52" s="9" t="s">
        <v>194</v>
      </c>
      <c r="F52" s="28">
        <v>1780</v>
      </c>
      <c r="G52" s="28"/>
      <c r="H52" s="12">
        <f t="shared" si="0"/>
        <v>1780</v>
      </c>
      <c r="I52" s="12">
        <f t="shared" si="1"/>
        <v>89</v>
      </c>
      <c r="J52" s="12">
        <f t="shared" si="2"/>
        <v>1869</v>
      </c>
      <c r="K52" s="13" t="s">
        <v>9</v>
      </c>
    </row>
    <row r="53" spans="1:11" x14ac:dyDescent="0.25">
      <c r="A53" s="9" t="s">
        <v>195</v>
      </c>
      <c r="B53" s="40" t="s">
        <v>189</v>
      </c>
      <c r="C53" s="11">
        <v>45317</v>
      </c>
      <c r="D53" s="38" t="s">
        <v>74</v>
      </c>
      <c r="E53" s="9" t="s">
        <v>138</v>
      </c>
      <c r="F53" s="28">
        <v>4687.5</v>
      </c>
      <c r="G53" s="28"/>
      <c r="H53" s="12">
        <f t="shared" si="0"/>
        <v>4687.5</v>
      </c>
      <c r="I53" s="12">
        <f t="shared" si="1"/>
        <v>234.375</v>
      </c>
      <c r="J53" s="12">
        <f t="shared" si="2"/>
        <v>4921.875</v>
      </c>
      <c r="K53" s="13" t="s">
        <v>78</v>
      </c>
    </row>
    <row r="54" spans="1:11" x14ac:dyDescent="0.25">
      <c r="A54" s="9" t="s">
        <v>114</v>
      </c>
      <c r="B54" s="40" t="s">
        <v>190</v>
      </c>
      <c r="C54" s="11">
        <v>45317</v>
      </c>
      <c r="D54" s="38" t="s">
        <v>115</v>
      </c>
      <c r="E54" s="9" t="s">
        <v>196</v>
      </c>
      <c r="F54" s="28">
        <v>405</v>
      </c>
      <c r="G54" s="28"/>
      <c r="H54" s="12">
        <f t="shared" si="0"/>
        <v>405</v>
      </c>
      <c r="I54" s="12">
        <f t="shared" si="1"/>
        <v>20.25</v>
      </c>
      <c r="J54" s="12">
        <f t="shared" si="2"/>
        <v>425.25</v>
      </c>
      <c r="K54" s="13" t="s">
        <v>9</v>
      </c>
    </row>
    <row r="55" spans="1:11" x14ac:dyDescent="0.25">
      <c r="A55" s="9" t="s">
        <v>114</v>
      </c>
      <c r="B55" s="40" t="s">
        <v>191</v>
      </c>
      <c r="C55" s="11">
        <v>45317</v>
      </c>
      <c r="D55" s="38" t="s">
        <v>115</v>
      </c>
      <c r="E55" s="9" t="s">
        <v>197</v>
      </c>
      <c r="F55" s="28">
        <v>405</v>
      </c>
      <c r="G55" s="28"/>
      <c r="H55" s="12">
        <f t="shared" si="0"/>
        <v>405</v>
      </c>
      <c r="I55" s="12">
        <f t="shared" si="1"/>
        <v>20.25</v>
      </c>
      <c r="J55" s="12">
        <f t="shared" si="2"/>
        <v>425.25</v>
      </c>
      <c r="K55" s="13" t="s">
        <v>9</v>
      </c>
    </row>
    <row r="56" spans="1:11" x14ac:dyDescent="0.25">
      <c r="A56" s="9" t="s">
        <v>114</v>
      </c>
      <c r="B56" s="40" t="s">
        <v>192</v>
      </c>
      <c r="C56" s="11">
        <v>45317</v>
      </c>
      <c r="D56" s="38" t="s">
        <v>115</v>
      </c>
      <c r="E56" s="9" t="s">
        <v>198</v>
      </c>
      <c r="F56" s="28">
        <v>405</v>
      </c>
      <c r="G56" s="28"/>
      <c r="H56" s="12">
        <f t="shared" si="0"/>
        <v>405</v>
      </c>
      <c r="I56" s="12">
        <f t="shared" si="1"/>
        <v>20.25</v>
      </c>
      <c r="J56" s="12">
        <f t="shared" si="2"/>
        <v>425.25</v>
      </c>
      <c r="K56" s="13" t="s">
        <v>9</v>
      </c>
    </row>
    <row r="57" spans="1:11" x14ac:dyDescent="0.25">
      <c r="A57" s="9" t="s">
        <v>199</v>
      </c>
      <c r="B57" s="40" t="s">
        <v>200</v>
      </c>
      <c r="C57" s="11">
        <v>45321</v>
      </c>
      <c r="D57" s="38" t="s">
        <v>201</v>
      </c>
      <c r="E57" s="9" t="s">
        <v>202</v>
      </c>
      <c r="F57" s="28">
        <v>1125</v>
      </c>
      <c r="G57" s="28"/>
      <c r="H57" s="12">
        <f t="shared" si="0"/>
        <v>1125</v>
      </c>
      <c r="I57" s="12">
        <f t="shared" si="1"/>
        <v>56.25</v>
      </c>
      <c r="J57" s="12">
        <f t="shared" si="2"/>
        <v>1181.25</v>
      </c>
      <c r="K57" s="13" t="s">
        <v>78</v>
      </c>
    </row>
    <row r="58" spans="1:11" ht="30" x14ac:dyDescent="0.25">
      <c r="A58" s="50" t="s">
        <v>203</v>
      </c>
      <c r="B58" s="69" t="s">
        <v>204</v>
      </c>
      <c r="C58" s="56">
        <v>45320</v>
      </c>
      <c r="D58" s="65" t="s">
        <v>205</v>
      </c>
      <c r="E58" s="53" t="s">
        <v>270</v>
      </c>
      <c r="F58" s="66">
        <v>19067.5</v>
      </c>
      <c r="G58" s="66"/>
      <c r="H58" s="67">
        <f t="shared" si="0"/>
        <v>19067.5</v>
      </c>
      <c r="I58" s="67">
        <f t="shared" si="1"/>
        <v>953.375</v>
      </c>
      <c r="J58" s="67">
        <f t="shared" si="2"/>
        <v>20020.875</v>
      </c>
      <c r="K58" s="68" t="s">
        <v>78</v>
      </c>
    </row>
    <row r="59" spans="1:11" x14ac:dyDescent="0.25">
      <c r="A59" s="9" t="s">
        <v>221</v>
      </c>
      <c r="B59" s="40" t="s">
        <v>206</v>
      </c>
      <c r="C59" s="11">
        <v>45321</v>
      </c>
      <c r="D59" s="38" t="s">
        <v>222</v>
      </c>
      <c r="E59" s="9" t="s">
        <v>73</v>
      </c>
      <c r="F59" s="28">
        <v>1140</v>
      </c>
      <c r="G59" s="28"/>
      <c r="H59" s="12">
        <f t="shared" si="0"/>
        <v>1140</v>
      </c>
      <c r="I59" s="12">
        <f t="shared" si="1"/>
        <v>57</v>
      </c>
      <c r="J59" s="12">
        <f t="shared" si="2"/>
        <v>1197</v>
      </c>
      <c r="K59" s="13" t="s">
        <v>78</v>
      </c>
    </row>
    <row r="60" spans="1:11" ht="30" x14ac:dyDescent="0.25">
      <c r="A60" s="50" t="s">
        <v>119</v>
      </c>
      <c r="B60" s="51" t="s">
        <v>207</v>
      </c>
      <c r="C60" s="56">
        <v>45320</v>
      </c>
      <c r="D60" s="65" t="s">
        <v>74</v>
      </c>
      <c r="E60" s="53" t="s">
        <v>223</v>
      </c>
      <c r="F60" s="66">
        <v>7082.5</v>
      </c>
      <c r="G60" s="66"/>
      <c r="H60" s="67">
        <f t="shared" si="0"/>
        <v>7082.5</v>
      </c>
      <c r="I60" s="67">
        <f t="shared" si="1"/>
        <v>354.125</v>
      </c>
      <c r="J60" s="67">
        <f t="shared" si="2"/>
        <v>7436.625</v>
      </c>
      <c r="K60" s="68" t="s">
        <v>78</v>
      </c>
    </row>
    <row r="61" spans="1:11" x14ac:dyDescent="0.25">
      <c r="A61" s="9" t="s">
        <v>167</v>
      </c>
      <c r="B61" s="40" t="s">
        <v>208</v>
      </c>
      <c r="C61" s="56">
        <v>45321</v>
      </c>
      <c r="D61" s="38" t="s">
        <v>168</v>
      </c>
      <c r="E61" s="9" t="s">
        <v>224</v>
      </c>
      <c r="F61" s="28">
        <v>4675</v>
      </c>
      <c r="G61" s="28"/>
      <c r="H61" s="12">
        <f t="shared" si="0"/>
        <v>4675</v>
      </c>
      <c r="I61" s="12">
        <f t="shared" si="1"/>
        <v>233.75</v>
      </c>
      <c r="J61" s="12">
        <f t="shared" si="2"/>
        <v>4908.75</v>
      </c>
      <c r="K61" s="13" t="s">
        <v>169</v>
      </c>
    </row>
    <row r="62" spans="1:11" x14ac:dyDescent="0.25">
      <c r="A62" s="9" t="s">
        <v>29</v>
      </c>
      <c r="B62" s="40" t="s">
        <v>209</v>
      </c>
      <c r="C62" s="56">
        <v>45320</v>
      </c>
      <c r="D62" s="38" t="s">
        <v>128</v>
      </c>
      <c r="E62" s="9" t="s">
        <v>225</v>
      </c>
      <c r="F62" s="28">
        <v>440</v>
      </c>
      <c r="G62" s="28"/>
      <c r="H62" s="12">
        <f t="shared" si="0"/>
        <v>440</v>
      </c>
      <c r="I62" s="12">
        <f t="shared" si="1"/>
        <v>22</v>
      </c>
      <c r="J62" s="12">
        <f t="shared" si="2"/>
        <v>462</v>
      </c>
      <c r="K62" s="13" t="s">
        <v>9</v>
      </c>
    </row>
    <row r="63" spans="1:11" x14ac:dyDescent="0.25">
      <c r="A63" s="9" t="s">
        <v>10</v>
      </c>
      <c r="B63" s="40" t="s">
        <v>210</v>
      </c>
      <c r="C63" s="56">
        <v>45321</v>
      </c>
      <c r="D63" s="38" t="s">
        <v>16</v>
      </c>
      <c r="E63" s="9" t="s">
        <v>226</v>
      </c>
      <c r="F63" s="28">
        <v>475</v>
      </c>
      <c r="G63" s="28"/>
      <c r="H63" s="12">
        <f t="shared" si="0"/>
        <v>475</v>
      </c>
      <c r="I63" s="12">
        <f t="shared" si="1"/>
        <v>23.75</v>
      </c>
      <c r="J63" s="12">
        <f t="shared" si="2"/>
        <v>498.75</v>
      </c>
      <c r="K63" s="13" t="s">
        <v>9</v>
      </c>
    </row>
    <row r="64" spans="1:11" x14ac:dyDescent="0.25">
      <c r="A64" s="9" t="s">
        <v>10</v>
      </c>
      <c r="B64" s="40" t="s">
        <v>211</v>
      </c>
      <c r="C64" s="56">
        <v>45321</v>
      </c>
      <c r="D64" s="38" t="s">
        <v>16</v>
      </c>
      <c r="E64" s="9" t="s">
        <v>227</v>
      </c>
      <c r="F64" s="28">
        <v>280</v>
      </c>
      <c r="G64" s="28"/>
      <c r="H64" s="12">
        <f t="shared" si="0"/>
        <v>280</v>
      </c>
      <c r="I64" s="12">
        <f t="shared" si="1"/>
        <v>14</v>
      </c>
      <c r="J64" s="12">
        <f t="shared" si="2"/>
        <v>294</v>
      </c>
      <c r="K64" s="13" t="s">
        <v>9</v>
      </c>
    </row>
    <row r="65" spans="1:11" x14ac:dyDescent="0.25">
      <c r="A65" s="9" t="s">
        <v>49</v>
      </c>
      <c r="B65" s="40" t="s">
        <v>212</v>
      </c>
      <c r="C65" s="56">
        <v>45321</v>
      </c>
      <c r="D65" s="38" t="s">
        <v>50</v>
      </c>
      <c r="E65" s="9" t="s">
        <v>228</v>
      </c>
      <c r="F65" s="28">
        <v>4525</v>
      </c>
      <c r="G65" s="28"/>
      <c r="H65" s="12">
        <f t="shared" ref="H65:H124" si="3">F65-G65</f>
        <v>4525</v>
      </c>
      <c r="I65" s="12">
        <f t="shared" ref="I65:I124" si="4">F65*5%</f>
        <v>226.25</v>
      </c>
      <c r="J65" s="12">
        <f t="shared" ref="J65:J124" si="5">F65+I65</f>
        <v>4751.25</v>
      </c>
      <c r="K65" s="13" t="s">
        <v>9</v>
      </c>
    </row>
    <row r="66" spans="1:11" x14ac:dyDescent="0.25">
      <c r="A66" s="9" t="s">
        <v>229</v>
      </c>
      <c r="B66" s="40" t="s">
        <v>213</v>
      </c>
      <c r="C66" s="56">
        <v>45321</v>
      </c>
      <c r="D66" s="38" t="s">
        <v>74</v>
      </c>
      <c r="E66" s="9" t="s">
        <v>230</v>
      </c>
      <c r="F66" s="28">
        <v>525</v>
      </c>
      <c r="G66" s="28"/>
      <c r="H66" s="12">
        <f t="shared" si="3"/>
        <v>525</v>
      </c>
      <c r="I66" s="12">
        <f t="shared" si="4"/>
        <v>26.25</v>
      </c>
      <c r="J66" s="12">
        <f t="shared" si="5"/>
        <v>551.25</v>
      </c>
      <c r="K66" s="13" t="s">
        <v>9</v>
      </c>
    </row>
    <row r="67" spans="1:11" x14ac:dyDescent="0.25">
      <c r="A67" s="9" t="s">
        <v>231</v>
      </c>
      <c r="B67" s="40" t="s">
        <v>214</v>
      </c>
      <c r="C67" s="56">
        <v>45322</v>
      </c>
      <c r="D67" s="38" t="s">
        <v>232</v>
      </c>
      <c r="E67" s="9" t="s">
        <v>233</v>
      </c>
      <c r="F67" s="28">
        <v>300</v>
      </c>
      <c r="G67" s="28"/>
      <c r="H67" s="12">
        <f t="shared" si="3"/>
        <v>300</v>
      </c>
      <c r="I67" s="12">
        <f t="shared" si="4"/>
        <v>15</v>
      </c>
      <c r="J67" s="12">
        <f t="shared" si="5"/>
        <v>315</v>
      </c>
      <c r="K67" s="13" t="s">
        <v>169</v>
      </c>
    </row>
    <row r="68" spans="1:11" x14ac:dyDescent="0.25">
      <c r="A68" s="9" t="s">
        <v>29</v>
      </c>
      <c r="B68" s="40" t="s">
        <v>215</v>
      </c>
      <c r="C68" s="56">
        <v>45322</v>
      </c>
      <c r="D68" s="38" t="s">
        <v>28</v>
      </c>
      <c r="E68" s="9" t="s">
        <v>234</v>
      </c>
      <c r="F68" s="28">
        <v>9558.4</v>
      </c>
      <c r="G68" s="28"/>
      <c r="H68" s="12">
        <f t="shared" si="3"/>
        <v>9558.4</v>
      </c>
      <c r="I68" s="12">
        <f t="shared" si="4"/>
        <v>477.92</v>
      </c>
      <c r="J68" s="12">
        <f t="shared" si="5"/>
        <v>10036.32</v>
      </c>
      <c r="K68" s="13" t="s">
        <v>9</v>
      </c>
    </row>
    <row r="69" spans="1:11" x14ac:dyDescent="0.25">
      <c r="A69" s="9" t="s">
        <v>236</v>
      </c>
      <c r="B69" s="40" t="s">
        <v>216</v>
      </c>
      <c r="C69" s="56">
        <v>45322</v>
      </c>
      <c r="D69" s="38" t="s">
        <v>237</v>
      </c>
      <c r="E69" s="9" t="s">
        <v>235</v>
      </c>
      <c r="F69" s="28">
        <v>165</v>
      </c>
      <c r="G69" s="28"/>
      <c r="H69" s="12">
        <f t="shared" si="3"/>
        <v>165</v>
      </c>
      <c r="I69" s="12">
        <f t="shared" si="4"/>
        <v>8.25</v>
      </c>
      <c r="J69" s="12">
        <f t="shared" si="5"/>
        <v>173.25</v>
      </c>
      <c r="K69" s="13" t="s">
        <v>9</v>
      </c>
    </row>
    <row r="70" spans="1:11" x14ac:dyDescent="0.25">
      <c r="A70" s="9" t="s">
        <v>236</v>
      </c>
      <c r="B70" s="40" t="s">
        <v>217</v>
      </c>
      <c r="C70" s="56">
        <v>45322</v>
      </c>
      <c r="D70" s="38" t="s">
        <v>237</v>
      </c>
      <c r="E70" s="9" t="s">
        <v>235</v>
      </c>
      <c r="F70" s="28">
        <v>210</v>
      </c>
      <c r="G70" s="28"/>
      <c r="H70" s="12">
        <f t="shared" si="3"/>
        <v>210</v>
      </c>
      <c r="I70" s="12">
        <f t="shared" si="4"/>
        <v>10.5</v>
      </c>
      <c r="J70" s="12">
        <f t="shared" si="5"/>
        <v>220.5</v>
      </c>
      <c r="K70" s="13" t="s">
        <v>9</v>
      </c>
    </row>
    <row r="71" spans="1:11" x14ac:dyDescent="0.25">
      <c r="A71" s="9" t="s">
        <v>238</v>
      </c>
      <c r="B71" s="40" t="s">
        <v>218</v>
      </c>
      <c r="C71" s="56">
        <v>45322</v>
      </c>
      <c r="D71" s="38" t="s">
        <v>239</v>
      </c>
      <c r="E71" s="9" t="s">
        <v>240</v>
      </c>
      <c r="F71" s="28">
        <v>150</v>
      </c>
      <c r="G71" s="28"/>
      <c r="H71" s="12">
        <f t="shared" si="3"/>
        <v>150</v>
      </c>
      <c r="I71" s="12">
        <f t="shared" si="4"/>
        <v>7.5</v>
      </c>
      <c r="J71" s="12">
        <f t="shared" si="5"/>
        <v>157.5</v>
      </c>
      <c r="K71" s="13" t="s">
        <v>78</v>
      </c>
    </row>
    <row r="72" spans="1:11" x14ac:dyDescent="0.25">
      <c r="A72" s="9" t="s">
        <v>244</v>
      </c>
      <c r="B72" s="40" t="s">
        <v>220</v>
      </c>
      <c r="C72" s="56">
        <v>45322</v>
      </c>
      <c r="D72" s="38" t="s">
        <v>246</v>
      </c>
      <c r="E72" s="9" t="s">
        <v>245</v>
      </c>
      <c r="F72" s="28">
        <v>1250</v>
      </c>
      <c r="G72" s="28"/>
      <c r="H72" s="12">
        <f t="shared" si="3"/>
        <v>1250</v>
      </c>
      <c r="I72" s="12">
        <f t="shared" si="4"/>
        <v>62.5</v>
      </c>
      <c r="J72" s="12">
        <f t="shared" si="5"/>
        <v>1312.5</v>
      </c>
      <c r="K72" s="13" t="s">
        <v>9</v>
      </c>
    </row>
    <row r="73" spans="1:11" x14ac:dyDescent="0.25">
      <c r="A73" s="9" t="s">
        <v>203</v>
      </c>
      <c r="B73" s="40" t="s">
        <v>247</v>
      </c>
      <c r="C73" s="56">
        <v>45322</v>
      </c>
      <c r="D73" s="38" t="s">
        <v>251</v>
      </c>
      <c r="E73" s="9" t="s">
        <v>252</v>
      </c>
      <c r="F73" s="28">
        <v>126</v>
      </c>
      <c r="G73" s="28"/>
      <c r="H73" s="12">
        <f t="shared" si="3"/>
        <v>126</v>
      </c>
      <c r="I73" s="12">
        <f t="shared" si="4"/>
        <v>6.3000000000000007</v>
      </c>
      <c r="J73" s="12">
        <f t="shared" si="5"/>
        <v>132.30000000000001</v>
      </c>
      <c r="K73" s="13" t="s">
        <v>78</v>
      </c>
    </row>
    <row r="74" spans="1:11" ht="30" x14ac:dyDescent="0.25">
      <c r="A74" s="50" t="s">
        <v>253</v>
      </c>
      <c r="B74" s="51" t="s">
        <v>248</v>
      </c>
      <c r="C74" s="56">
        <v>45322</v>
      </c>
      <c r="D74" s="65" t="s">
        <v>254</v>
      </c>
      <c r="E74" s="53" t="s">
        <v>255</v>
      </c>
      <c r="F74" s="66">
        <v>1060</v>
      </c>
      <c r="G74" s="66"/>
      <c r="H74" s="67">
        <f t="shared" si="3"/>
        <v>1060</v>
      </c>
      <c r="I74" s="67">
        <f t="shared" si="4"/>
        <v>53</v>
      </c>
      <c r="J74" s="67">
        <f t="shared" si="5"/>
        <v>1113</v>
      </c>
      <c r="K74" s="68" t="s">
        <v>78</v>
      </c>
    </row>
    <row r="75" spans="1:11" x14ac:dyDescent="0.25">
      <c r="A75" s="9" t="s">
        <v>102</v>
      </c>
      <c r="B75" s="60" t="s">
        <v>249</v>
      </c>
      <c r="C75" s="56">
        <v>45322</v>
      </c>
      <c r="D75" s="38" t="s">
        <v>104</v>
      </c>
      <c r="E75" s="9" t="s">
        <v>256</v>
      </c>
      <c r="F75" s="28">
        <v>4785</v>
      </c>
      <c r="G75" s="28"/>
      <c r="H75" s="12">
        <f t="shared" si="3"/>
        <v>4785</v>
      </c>
      <c r="I75" s="12">
        <f t="shared" si="4"/>
        <v>239.25</v>
      </c>
      <c r="J75" s="12">
        <f t="shared" si="5"/>
        <v>5024.25</v>
      </c>
      <c r="K75" s="13" t="s">
        <v>9</v>
      </c>
    </row>
    <row r="76" spans="1:11" x14ac:dyDescent="0.25">
      <c r="A76" s="9" t="s">
        <v>257</v>
      </c>
      <c r="B76" s="60" t="s">
        <v>250</v>
      </c>
      <c r="C76" s="56">
        <v>45322</v>
      </c>
      <c r="D76" s="38" t="s">
        <v>258</v>
      </c>
      <c r="E76" s="9" t="s">
        <v>259</v>
      </c>
      <c r="F76" s="28">
        <v>14375</v>
      </c>
      <c r="G76" s="28"/>
      <c r="H76" s="12">
        <f t="shared" si="3"/>
        <v>14375</v>
      </c>
      <c r="I76" s="12">
        <f t="shared" si="4"/>
        <v>718.75</v>
      </c>
      <c r="J76" s="12">
        <f t="shared" si="5"/>
        <v>15093.75</v>
      </c>
      <c r="K76" s="13" t="s">
        <v>9</v>
      </c>
    </row>
    <row r="77" spans="1:11" x14ac:dyDescent="0.25">
      <c r="A77" s="9" t="s">
        <v>263</v>
      </c>
      <c r="B77" s="40" t="s">
        <v>260</v>
      </c>
      <c r="C77" s="56">
        <v>45324</v>
      </c>
      <c r="D77" s="38" t="s">
        <v>264</v>
      </c>
      <c r="E77" s="9" t="s">
        <v>265</v>
      </c>
      <c r="F77" s="28">
        <v>1575</v>
      </c>
      <c r="G77" s="28"/>
      <c r="H77" s="12">
        <f t="shared" si="3"/>
        <v>1575</v>
      </c>
      <c r="I77" s="12">
        <f t="shared" si="4"/>
        <v>78.75</v>
      </c>
      <c r="J77" s="12">
        <f t="shared" si="5"/>
        <v>1653.75</v>
      </c>
      <c r="K77" s="13" t="s">
        <v>78</v>
      </c>
    </row>
    <row r="78" spans="1:11" x14ac:dyDescent="0.25">
      <c r="A78" s="9" t="s">
        <v>266</v>
      </c>
      <c r="B78" s="40" t="s">
        <v>261</v>
      </c>
      <c r="C78" s="56">
        <v>45327</v>
      </c>
      <c r="D78" s="38" t="s">
        <v>267</v>
      </c>
      <c r="E78" s="9" t="s">
        <v>268</v>
      </c>
      <c r="F78" s="28">
        <v>1400</v>
      </c>
      <c r="G78" s="28"/>
      <c r="H78" s="12">
        <f t="shared" si="3"/>
        <v>1400</v>
      </c>
      <c r="I78" s="12">
        <f t="shared" si="4"/>
        <v>70</v>
      </c>
      <c r="J78" s="12">
        <f t="shared" si="5"/>
        <v>1470</v>
      </c>
      <c r="K78" s="13" t="s">
        <v>78</v>
      </c>
    </row>
    <row r="79" spans="1:11" x14ac:dyDescent="0.25">
      <c r="A79" s="9" t="s">
        <v>263</v>
      </c>
      <c r="B79" s="40" t="s">
        <v>271</v>
      </c>
      <c r="C79" s="56">
        <v>45327</v>
      </c>
      <c r="D79" s="38" t="s">
        <v>279</v>
      </c>
      <c r="E79" s="9" t="s">
        <v>280</v>
      </c>
      <c r="F79" s="28">
        <v>1575</v>
      </c>
      <c r="G79" s="28"/>
      <c r="H79" s="12">
        <f t="shared" si="3"/>
        <v>1575</v>
      </c>
      <c r="I79" s="12">
        <f t="shared" si="4"/>
        <v>78.75</v>
      </c>
      <c r="J79" s="12">
        <f t="shared" si="5"/>
        <v>1653.75</v>
      </c>
      <c r="K79" s="13" t="s">
        <v>78</v>
      </c>
    </row>
    <row r="80" spans="1:11" x14ac:dyDescent="0.25">
      <c r="A80" s="9" t="s">
        <v>276</v>
      </c>
      <c r="B80" s="40" t="s">
        <v>272</v>
      </c>
      <c r="C80" s="56">
        <v>45327</v>
      </c>
      <c r="D80" s="38" t="s">
        <v>277</v>
      </c>
      <c r="E80" s="9" t="s">
        <v>278</v>
      </c>
      <c r="F80" s="28">
        <v>275</v>
      </c>
      <c r="G80" s="28"/>
      <c r="H80" s="12">
        <f t="shared" si="3"/>
        <v>275</v>
      </c>
      <c r="I80" s="12">
        <f t="shared" si="4"/>
        <v>13.75</v>
      </c>
      <c r="J80" s="12">
        <f t="shared" si="5"/>
        <v>288.75</v>
      </c>
      <c r="K80" s="13" t="s">
        <v>9</v>
      </c>
    </row>
    <row r="81" spans="1:11" x14ac:dyDescent="0.25">
      <c r="A81" s="9" t="s">
        <v>281</v>
      </c>
      <c r="B81" s="40" t="s">
        <v>273</v>
      </c>
      <c r="C81" s="56">
        <v>45329</v>
      </c>
      <c r="D81" s="38" t="s">
        <v>282</v>
      </c>
      <c r="E81" s="9" t="s">
        <v>283</v>
      </c>
      <c r="F81" s="28">
        <v>10965</v>
      </c>
      <c r="G81" s="28"/>
      <c r="H81" s="12">
        <f t="shared" si="3"/>
        <v>10965</v>
      </c>
      <c r="I81" s="12">
        <f t="shared" si="4"/>
        <v>548.25</v>
      </c>
      <c r="J81" s="12">
        <f t="shared" si="5"/>
        <v>11513.25</v>
      </c>
      <c r="K81" s="13" t="s">
        <v>78</v>
      </c>
    </row>
    <row r="82" spans="1:11" x14ac:dyDescent="0.25">
      <c r="A82" s="9" t="s">
        <v>142</v>
      </c>
      <c r="B82" s="40" t="s">
        <v>274</v>
      </c>
      <c r="C82" s="56">
        <v>45328</v>
      </c>
      <c r="D82" s="38" t="s">
        <v>285</v>
      </c>
      <c r="E82" s="9" t="s">
        <v>284</v>
      </c>
      <c r="F82" s="28">
        <v>685</v>
      </c>
      <c r="G82" s="28"/>
      <c r="H82" s="12">
        <f t="shared" si="3"/>
        <v>685</v>
      </c>
      <c r="I82" s="12">
        <f t="shared" si="4"/>
        <v>34.25</v>
      </c>
      <c r="J82" s="12">
        <f t="shared" si="5"/>
        <v>719.25</v>
      </c>
      <c r="K82" s="13" t="s">
        <v>9</v>
      </c>
    </row>
    <row r="83" spans="1:11" x14ac:dyDescent="0.25">
      <c r="A83" s="9" t="s">
        <v>114</v>
      </c>
      <c r="B83" s="40" t="s">
        <v>275</v>
      </c>
      <c r="C83" s="56">
        <v>45328</v>
      </c>
      <c r="D83" s="38" t="s">
        <v>115</v>
      </c>
      <c r="E83" s="9" t="s">
        <v>286</v>
      </c>
      <c r="F83" s="28">
        <v>405</v>
      </c>
      <c r="G83" s="28"/>
      <c r="H83" s="12">
        <f t="shared" si="3"/>
        <v>405</v>
      </c>
      <c r="I83" s="12">
        <f t="shared" si="4"/>
        <v>20.25</v>
      </c>
      <c r="J83" s="12">
        <f t="shared" si="5"/>
        <v>425.25</v>
      </c>
      <c r="K83" s="13" t="s">
        <v>9</v>
      </c>
    </row>
    <row r="84" spans="1:11" x14ac:dyDescent="0.25">
      <c r="A84" s="9" t="s">
        <v>290</v>
      </c>
      <c r="B84" s="40" t="s">
        <v>287</v>
      </c>
      <c r="C84" s="56">
        <v>45331</v>
      </c>
      <c r="D84" s="38" t="s">
        <v>74</v>
      </c>
      <c r="E84" s="9" t="s">
        <v>291</v>
      </c>
      <c r="F84" s="28">
        <v>779</v>
      </c>
      <c r="G84" s="28"/>
      <c r="H84" s="12">
        <f t="shared" si="3"/>
        <v>779</v>
      </c>
      <c r="I84" s="12">
        <f t="shared" si="4"/>
        <v>38.950000000000003</v>
      </c>
      <c r="J84" s="12">
        <f t="shared" si="5"/>
        <v>817.95</v>
      </c>
      <c r="K84" s="13" t="s">
        <v>78</v>
      </c>
    </row>
    <row r="85" spans="1:11" x14ac:dyDescent="0.25">
      <c r="A85" s="9" t="s">
        <v>292</v>
      </c>
      <c r="B85" s="40" t="s">
        <v>288</v>
      </c>
      <c r="C85" s="56">
        <v>45330</v>
      </c>
      <c r="D85" s="38" t="s">
        <v>74</v>
      </c>
      <c r="E85" s="9" t="s">
        <v>293</v>
      </c>
      <c r="F85" s="28">
        <v>140</v>
      </c>
      <c r="G85" s="28"/>
      <c r="H85" s="12">
        <f t="shared" si="3"/>
        <v>140</v>
      </c>
      <c r="I85" s="12">
        <f t="shared" si="4"/>
        <v>7</v>
      </c>
      <c r="J85" s="12">
        <f t="shared" si="5"/>
        <v>147</v>
      </c>
      <c r="K85" s="13" t="s">
        <v>9</v>
      </c>
    </row>
    <row r="86" spans="1:11" x14ac:dyDescent="0.25">
      <c r="A86" s="9" t="s">
        <v>276</v>
      </c>
      <c r="B86" s="40" t="s">
        <v>289</v>
      </c>
      <c r="C86" s="56">
        <v>45334</v>
      </c>
      <c r="D86" s="38" t="s">
        <v>277</v>
      </c>
      <c r="E86" s="9" t="s">
        <v>294</v>
      </c>
      <c r="F86" s="28">
        <v>350</v>
      </c>
      <c r="G86" s="28"/>
      <c r="H86" s="12">
        <f t="shared" si="3"/>
        <v>350</v>
      </c>
      <c r="I86" s="12">
        <f t="shared" si="4"/>
        <v>17.5</v>
      </c>
      <c r="J86" s="12">
        <f t="shared" si="5"/>
        <v>367.5</v>
      </c>
      <c r="K86" s="13" t="s">
        <v>9</v>
      </c>
    </row>
    <row r="87" spans="1:11" x14ac:dyDescent="0.25">
      <c r="A87" s="9" t="s">
        <v>297</v>
      </c>
      <c r="B87" s="40" t="s">
        <v>295</v>
      </c>
      <c r="C87" s="56">
        <v>45334</v>
      </c>
      <c r="D87" s="71" t="s">
        <v>301</v>
      </c>
      <c r="E87" s="9" t="s">
        <v>298</v>
      </c>
      <c r="F87" s="28">
        <v>989</v>
      </c>
      <c r="G87" s="28"/>
      <c r="H87" s="12">
        <f t="shared" si="3"/>
        <v>989</v>
      </c>
      <c r="I87" s="12">
        <f t="shared" si="4"/>
        <v>49.45</v>
      </c>
      <c r="J87" s="12">
        <f t="shared" si="5"/>
        <v>1038.45</v>
      </c>
      <c r="K87" s="13" t="s">
        <v>78</v>
      </c>
    </row>
    <row r="88" spans="1:11" x14ac:dyDescent="0.25">
      <c r="A88" s="9" t="s">
        <v>299</v>
      </c>
      <c r="B88" s="40" t="s">
        <v>296</v>
      </c>
      <c r="C88" s="56">
        <v>45334</v>
      </c>
      <c r="D88" s="71" t="s">
        <v>302</v>
      </c>
      <c r="E88" s="9" t="s">
        <v>300</v>
      </c>
      <c r="F88" s="28">
        <v>1580</v>
      </c>
      <c r="G88" s="28"/>
      <c r="H88" s="12">
        <f t="shared" si="3"/>
        <v>1580</v>
      </c>
      <c r="I88" s="12">
        <f t="shared" si="4"/>
        <v>79</v>
      </c>
      <c r="J88" s="12">
        <f t="shared" si="5"/>
        <v>1659</v>
      </c>
      <c r="K88" s="13" t="s">
        <v>78</v>
      </c>
    </row>
    <row r="89" spans="1:11" x14ac:dyDescent="0.25">
      <c r="A89" s="9" t="s">
        <v>10</v>
      </c>
      <c r="B89" s="40" t="s">
        <v>303</v>
      </c>
      <c r="C89" s="56">
        <v>45335</v>
      </c>
      <c r="D89" s="71" t="s">
        <v>16</v>
      </c>
      <c r="E89" s="9" t="s">
        <v>305</v>
      </c>
      <c r="F89" s="28">
        <v>1125</v>
      </c>
      <c r="G89" s="28"/>
      <c r="H89" s="12">
        <f t="shared" si="3"/>
        <v>1125</v>
      </c>
      <c r="I89" s="12">
        <f t="shared" si="4"/>
        <v>56.25</v>
      </c>
      <c r="J89" s="12">
        <f t="shared" si="5"/>
        <v>1181.25</v>
      </c>
      <c r="K89" s="13" t="s">
        <v>9</v>
      </c>
    </row>
    <row r="90" spans="1:11" x14ac:dyDescent="0.25">
      <c r="A90" s="9" t="s">
        <v>100</v>
      </c>
      <c r="B90" s="40" t="s">
        <v>304</v>
      </c>
      <c r="C90" s="56">
        <v>45334</v>
      </c>
      <c r="D90" s="70" t="s">
        <v>74</v>
      </c>
      <c r="E90" s="9" t="s">
        <v>306</v>
      </c>
      <c r="F90" s="28">
        <v>190</v>
      </c>
      <c r="G90" s="28"/>
      <c r="H90" s="12">
        <f t="shared" si="3"/>
        <v>190</v>
      </c>
      <c r="I90" s="12">
        <f t="shared" si="4"/>
        <v>9.5</v>
      </c>
      <c r="J90" s="12">
        <f t="shared" si="5"/>
        <v>199.5</v>
      </c>
      <c r="K90" s="13" t="s">
        <v>9</v>
      </c>
    </row>
    <row r="91" spans="1:11" x14ac:dyDescent="0.25">
      <c r="A91" s="9" t="s">
        <v>114</v>
      </c>
      <c r="B91" s="40" t="s">
        <v>307</v>
      </c>
      <c r="C91" s="56">
        <v>45335</v>
      </c>
      <c r="D91" s="71" t="s">
        <v>115</v>
      </c>
      <c r="E91" s="9" t="s">
        <v>309</v>
      </c>
      <c r="F91" s="28">
        <v>390</v>
      </c>
      <c r="G91" s="28"/>
      <c r="H91" s="12">
        <f t="shared" si="3"/>
        <v>390</v>
      </c>
      <c r="I91" s="12">
        <f t="shared" si="4"/>
        <v>19.5</v>
      </c>
      <c r="J91" s="12">
        <f t="shared" si="5"/>
        <v>409.5</v>
      </c>
      <c r="K91" s="13" t="s">
        <v>9</v>
      </c>
    </row>
    <row r="92" spans="1:11" x14ac:dyDescent="0.25">
      <c r="A92" s="9" t="s">
        <v>114</v>
      </c>
      <c r="B92" s="40" t="s">
        <v>308</v>
      </c>
      <c r="C92" s="56">
        <v>45335</v>
      </c>
      <c r="D92" s="71" t="s">
        <v>115</v>
      </c>
      <c r="E92" s="9" t="s">
        <v>134</v>
      </c>
      <c r="F92" s="28">
        <v>1800</v>
      </c>
      <c r="G92" s="28"/>
      <c r="H92" s="12">
        <f t="shared" si="3"/>
        <v>1800</v>
      </c>
      <c r="I92" s="12">
        <f t="shared" si="4"/>
        <v>90</v>
      </c>
      <c r="J92" s="12">
        <f t="shared" si="5"/>
        <v>1890</v>
      </c>
      <c r="K92" s="13" t="s">
        <v>9</v>
      </c>
    </row>
    <row r="93" spans="1:11" x14ac:dyDescent="0.25">
      <c r="A93" s="9" t="s">
        <v>319</v>
      </c>
      <c r="B93" s="60" t="s">
        <v>310</v>
      </c>
      <c r="C93" s="56">
        <v>45332</v>
      </c>
      <c r="D93" s="72">
        <v>100060213400003</v>
      </c>
      <c r="E93" s="9" t="s">
        <v>320</v>
      </c>
      <c r="F93" s="28">
        <v>13000</v>
      </c>
      <c r="G93" s="28"/>
      <c r="H93" s="12">
        <f t="shared" si="3"/>
        <v>13000</v>
      </c>
      <c r="I93" s="12">
        <f t="shared" si="4"/>
        <v>650</v>
      </c>
      <c r="J93" s="12">
        <f t="shared" si="5"/>
        <v>13650</v>
      </c>
      <c r="K93" s="13" t="s">
        <v>9</v>
      </c>
    </row>
    <row r="94" spans="1:11" x14ac:dyDescent="0.25">
      <c r="A94" s="9" t="s">
        <v>321</v>
      </c>
      <c r="B94" s="40" t="s">
        <v>311</v>
      </c>
      <c r="C94" s="56">
        <v>45338</v>
      </c>
      <c r="D94" s="72" t="s">
        <v>74</v>
      </c>
      <c r="E94" s="9" t="s">
        <v>322</v>
      </c>
      <c r="F94" s="28">
        <v>525</v>
      </c>
      <c r="G94" s="28"/>
      <c r="H94" s="12">
        <f t="shared" si="3"/>
        <v>525</v>
      </c>
      <c r="I94" s="12">
        <f t="shared" si="4"/>
        <v>26.25</v>
      </c>
      <c r="J94" s="12">
        <f t="shared" si="5"/>
        <v>551.25</v>
      </c>
      <c r="K94" s="13" t="s">
        <v>9</v>
      </c>
    </row>
    <row r="95" spans="1:11" x14ac:dyDescent="0.25">
      <c r="A95" s="9" t="s">
        <v>10</v>
      </c>
      <c r="B95" s="60" t="s">
        <v>312</v>
      </c>
      <c r="C95" s="56">
        <v>45337</v>
      </c>
      <c r="D95" s="72">
        <v>100542487200003</v>
      </c>
      <c r="E95" s="9" t="s">
        <v>323</v>
      </c>
      <c r="F95" s="28">
        <v>595</v>
      </c>
      <c r="G95" s="28"/>
      <c r="H95" s="12">
        <f t="shared" si="3"/>
        <v>595</v>
      </c>
      <c r="I95" s="12">
        <f t="shared" si="4"/>
        <v>29.75</v>
      </c>
      <c r="J95" s="12">
        <f t="shared" si="5"/>
        <v>624.75</v>
      </c>
      <c r="K95" s="13" t="s">
        <v>9</v>
      </c>
    </row>
    <row r="96" spans="1:11" x14ac:dyDescent="0.25">
      <c r="A96" s="9" t="s">
        <v>10</v>
      </c>
      <c r="B96" s="40" t="s">
        <v>313</v>
      </c>
      <c r="C96" s="56">
        <v>45338</v>
      </c>
      <c r="D96" s="72">
        <v>100542487200003</v>
      </c>
      <c r="E96" s="9" t="s">
        <v>326</v>
      </c>
      <c r="F96" s="28">
        <v>145</v>
      </c>
      <c r="G96" s="28"/>
      <c r="H96" s="12">
        <f t="shared" si="3"/>
        <v>145</v>
      </c>
      <c r="I96" s="12">
        <f t="shared" si="4"/>
        <v>7.25</v>
      </c>
      <c r="J96" s="12">
        <f t="shared" si="5"/>
        <v>152.25</v>
      </c>
      <c r="K96" s="13" t="s">
        <v>9</v>
      </c>
    </row>
    <row r="97" spans="1:11" x14ac:dyDescent="0.25">
      <c r="A97" s="9" t="s">
        <v>75</v>
      </c>
      <c r="B97" s="40" t="s">
        <v>314</v>
      </c>
      <c r="C97" s="56">
        <v>45341</v>
      </c>
      <c r="D97" s="72">
        <v>100540543400003</v>
      </c>
      <c r="E97" s="9" t="s">
        <v>327</v>
      </c>
      <c r="F97" s="28">
        <v>860</v>
      </c>
      <c r="G97" s="28"/>
      <c r="H97" s="12">
        <f t="shared" si="3"/>
        <v>860</v>
      </c>
      <c r="I97" s="12">
        <f t="shared" si="4"/>
        <v>43</v>
      </c>
      <c r="J97" s="12">
        <f t="shared" si="5"/>
        <v>903</v>
      </c>
      <c r="K97" s="13" t="s">
        <v>78</v>
      </c>
    </row>
    <row r="98" spans="1:11" x14ac:dyDescent="0.25">
      <c r="A98" s="9" t="s">
        <v>10</v>
      </c>
      <c r="B98" s="40" t="s">
        <v>315</v>
      </c>
      <c r="C98" s="56">
        <v>45342</v>
      </c>
      <c r="D98" s="72">
        <v>100542487200003</v>
      </c>
      <c r="E98" s="9" t="s">
        <v>328</v>
      </c>
      <c r="F98" s="28">
        <v>625</v>
      </c>
      <c r="G98" s="28"/>
      <c r="H98" s="12">
        <f t="shared" si="3"/>
        <v>625</v>
      </c>
      <c r="I98" s="12">
        <f t="shared" si="4"/>
        <v>31.25</v>
      </c>
      <c r="J98" s="12">
        <f t="shared" si="5"/>
        <v>656.25</v>
      </c>
      <c r="K98" s="13" t="s">
        <v>9</v>
      </c>
    </row>
    <row r="99" spans="1:11" x14ac:dyDescent="0.25">
      <c r="A99" s="9" t="s">
        <v>345</v>
      </c>
      <c r="B99" s="40" t="s">
        <v>316</v>
      </c>
      <c r="C99" s="56">
        <v>45338</v>
      </c>
      <c r="D99" s="72">
        <v>100470289800003</v>
      </c>
      <c r="E99" s="9" t="s">
        <v>329</v>
      </c>
      <c r="F99" s="28">
        <v>8850</v>
      </c>
      <c r="G99" s="28"/>
      <c r="H99" s="12">
        <f t="shared" si="3"/>
        <v>8850</v>
      </c>
      <c r="I99" s="12">
        <f t="shared" si="4"/>
        <v>442.5</v>
      </c>
      <c r="J99" s="12">
        <f t="shared" si="5"/>
        <v>9292.5</v>
      </c>
      <c r="K99" s="13" t="s">
        <v>25</v>
      </c>
    </row>
    <row r="100" spans="1:11" x14ac:dyDescent="0.25">
      <c r="A100" s="9" t="s">
        <v>330</v>
      </c>
      <c r="B100" s="40" t="s">
        <v>317</v>
      </c>
      <c r="C100" s="56">
        <v>45338</v>
      </c>
      <c r="D100" s="72" t="s">
        <v>331</v>
      </c>
      <c r="E100" s="9" t="s">
        <v>332</v>
      </c>
      <c r="F100" s="28">
        <v>3335</v>
      </c>
      <c r="G100" s="28"/>
      <c r="H100" s="12">
        <f t="shared" si="3"/>
        <v>3335</v>
      </c>
      <c r="I100" s="12">
        <f t="shared" si="4"/>
        <v>166.75</v>
      </c>
      <c r="J100" s="12">
        <f t="shared" si="5"/>
        <v>3501.75</v>
      </c>
      <c r="K100" s="13" t="s">
        <v>78</v>
      </c>
    </row>
    <row r="101" spans="1:11" x14ac:dyDescent="0.25">
      <c r="A101" s="9" t="s">
        <v>324</v>
      </c>
      <c r="B101" s="40" t="s">
        <v>318</v>
      </c>
      <c r="C101" s="56">
        <v>45338</v>
      </c>
      <c r="D101" s="72" t="s">
        <v>74</v>
      </c>
      <c r="E101" s="9" t="s">
        <v>325</v>
      </c>
      <c r="F101" s="28">
        <v>1225</v>
      </c>
      <c r="G101" s="28"/>
      <c r="H101" s="12">
        <f t="shared" si="3"/>
        <v>1225</v>
      </c>
      <c r="I101" s="12">
        <f t="shared" si="4"/>
        <v>61.25</v>
      </c>
      <c r="J101" s="12">
        <f t="shared" si="5"/>
        <v>1286.25</v>
      </c>
      <c r="K101" s="13" t="s">
        <v>9</v>
      </c>
    </row>
    <row r="102" spans="1:11" x14ac:dyDescent="0.25">
      <c r="A102" s="9" t="s">
        <v>102</v>
      </c>
      <c r="B102" s="40" t="s">
        <v>333</v>
      </c>
      <c r="C102" s="56">
        <v>45341</v>
      </c>
      <c r="D102" s="72">
        <v>100593105800003</v>
      </c>
      <c r="E102" s="9" t="s">
        <v>340</v>
      </c>
      <c r="F102" s="28">
        <v>103245.5</v>
      </c>
      <c r="G102" s="28"/>
      <c r="H102" s="12">
        <f t="shared" si="3"/>
        <v>103245.5</v>
      </c>
      <c r="I102" s="12">
        <f t="shared" si="4"/>
        <v>5162.2750000000005</v>
      </c>
      <c r="J102" s="12">
        <f t="shared" si="5"/>
        <v>108407.77499999999</v>
      </c>
      <c r="K102" s="13" t="s">
        <v>9</v>
      </c>
    </row>
    <row r="103" spans="1:11" x14ac:dyDescent="0.25">
      <c r="A103" s="9" t="s">
        <v>102</v>
      </c>
      <c r="B103" s="40" t="s">
        <v>334</v>
      </c>
      <c r="C103" s="56">
        <v>45341</v>
      </c>
      <c r="D103" s="72">
        <v>100593105800003</v>
      </c>
      <c r="E103" s="9" t="s">
        <v>341</v>
      </c>
      <c r="F103" s="28">
        <v>51717.75</v>
      </c>
      <c r="G103" s="28"/>
      <c r="H103" s="12">
        <f t="shared" si="3"/>
        <v>51717.75</v>
      </c>
      <c r="I103" s="12">
        <f t="shared" si="4"/>
        <v>2585.8875000000003</v>
      </c>
      <c r="J103" s="12">
        <f t="shared" si="5"/>
        <v>54303.637499999997</v>
      </c>
      <c r="K103" s="13" t="s">
        <v>9</v>
      </c>
    </row>
    <row r="104" spans="1:11" x14ac:dyDescent="0.25">
      <c r="A104" s="9" t="s">
        <v>337</v>
      </c>
      <c r="B104" s="40" t="s">
        <v>335</v>
      </c>
      <c r="C104" s="56">
        <v>45343</v>
      </c>
      <c r="D104" s="72">
        <v>100323347300003</v>
      </c>
      <c r="E104" s="9" t="s">
        <v>338</v>
      </c>
      <c r="F104" s="28">
        <v>892.5</v>
      </c>
      <c r="G104" s="28"/>
      <c r="H104" s="12">
        <f t="shared" si="3"/>
        <v>892.5</v>
      </c>
      <c r="I104" s="12">
        <f t="shared" si="4"/>
        <v>44.625</v>
      </c>
      <c r="J104" s="12">
        <f t="shared" si="5"/>
        <v>937.125</v>
      </c>
      <c r="K104" s="13" t="s">
        <v>78</v>
      </c>
    </row>
    <row r="105" spans="1:11" x14ac:dyDescent="0.25">
      <c r="A105" s="9" t="s">
        <v>10</v>
      </c>
      <c r="B105" s="40" t="s">
        <v>336</v>
      </c>
      <c r="C105" s="56">
        <v>45343</v>
      </c>
      <c r="D105" s="72">
        <v>100542487200003</v>
      </c>
      <c r="E105" s="9" t="s">
        <v>339</v>
      </c>
      <c r="F105" s="28">
        <v>190</v>
      </c>
      <c r="G105" s="28"/>
      <c r="H105" s="12">
        <f t="shared" si="3"/>
        <v>190</v>
      </c>
      <c r="I105" s="12">
        <f t="shared" si="4"/>
        <v>9.5</v>
      </c>
      <c r="J105" s="12">
        <f t="shared" si="5"/>
        <v>199.5</v>
      </c>
      <c r="K105" s="13" t="s">
        <v>9</v>
      </c>
    </row>
    <row r="106" spans="1:11" x14ac:dyDescent="0.25">
      <c r="A106" s="9" t="s">
        <v>10</v>
      </c>
      <c r="B106" s="40" t="s">
        <v>342</v>
      </c>
      <c r="C106" s="56">
        <v>45342</v>
      </c>
      <c r="D106" s="72">
        <v>100542487200003</v>
      </c>
      <c r="E106" s="9" t="s">
        <v>344</v>
      </c>
      <c r="F106" s="28">
        <v>585</v>
      </c>
      <c r="G106" s="28"/>
      <c r="H106" s="12">
        <f t="shared" si="3"/>
        <v>585</v>
      </c>
      <c r="I106" s="12">
        <f t="shared" si="4"/>
        <v>29.25</v>
      </c>
      <c r="J106" s="12">
        <f t="shared" si="5"/>
        <v>614.25</v>
      </c>
      <c r="K106" s="13" t="s">
        <v>9</v>
      </c>
    </row>
    <row r="107" spans="1:11" x14ac:dyDescent="0.25">
      <c r="A107" s="9" t="s">
        <v>346</v>
      </c>
      <c r="B107" s="60" t="s">
        <v>343</v>
      </c>
      <c r="C107" s="56">
        <v>45343</v>
      </c>
      <c r="D107" s="72">
        <v>100359923800003</v>
      </c>
      <c r="E107" s="9" t="s">
        <v>91</v>
      </c>
      <c r="F107" s="28">
        <v>1920</v>
      </c>
      <c r="G107" s="28"/>
      <c r="H107" s="12">
        <f t="shared" si="3"/>
        <v>1920</v>
      </c>
      <c r="I107" s="12">
        <f t="shared" si="4"/>
        <v>96</v>
      </c>
      <c r="J107" s="12">
        <f t="shared" si="5"/>
        <v>2016</v>
      </c>
      <c r="K107" s="13" t="s">
        <v>78</v>
      </c>
    </row>
    <row r="108" spans="1:11" x14ac:dyDescent="0.25">
      <c r="A108" s="9" t="s">
        <v>357</v>
      </c>
      <c r="B108" s="40" t="s">
        <v>347</v>
      </c>
      <c r="C108" s="56">
        <v>45344</v>
      </c>
      <c r="D108" s="72">
        <v>100484375900003</v>
      </c>
      <c r="E108" s="9" t="s">
        <v>358</v>
      </c>
      <c r="F108" s="28">
        <v>420</v>
      </c>
      <c r="G108" s="28"/>
      <c r="H108" s="12">
        <f t="shared" si="3"/>
        <v>420</v>
      </c>
      <c r="I108" s="12">
        <f t="shared" si="4"/>
        <v>21</v>
      </c>
      <c r="J108" s="12">
        <f t="shared" si="5"/>
        <v>441</v>
      </c>
      <c r="K108" s="13" t="s">
        <v>9</v>
      </c>
    </row>
    <row r="109" spans="1:11" x14ac:dyDescent="0.25">
      <c r="A109" s="9" t="s">
        <v>10</v>
      </c>
      <c r="B109" s="40" t="s">
        <v>348</v>
      </c>
      <c r="C109" s="56">
        <v>45344</v>
      </c>
      <c r="D109" s="72">
        <v>100542487200003</v>
      </c>
      <c r="E109" s="9" t="s">
        <v>359</v>
      </c>
      <c r="F109" s="28">
        <v>6250</v>
      </c>
      <c r="G109" s="28"/>
      <c r="H109" s="12">
        <f t="shared" si="3"/>
        <v>6250</v>
      </c>
      <c r="I109" s="12">
        <f t="shared" si="4"/>
        <v>312.5</v>
      </c>
      <c r="J109" s="12">
        <f t="shared" si="5"/>
        <v>6562.5</v>
      </c>
      <c r="K109" s="13" t="s">
        <v>9</v>
      </c>
    </row>
    <row r="110" spans="1:11" x14ac:dyDescent="0.25">
      <c r="A110" s="9" t="s">
        <v>10</v>
      </c>
      <c r="B110" s="40" t="s">
        <v>349</v>
      </c>
      <c r="C110" s="56">
        <v>45345</v>
      </c>
      <c r="D110" s="72">
        <v>100542487200003</v>
      </c>
      <c r="E110" s="9" t="s">
        <v>361</v>
      </c>
      <c r="F110" s="28">
        <v>390</v>
      </c>
      <c r="G110" s="28"/>
      <c r="H110" s="12">
        <f t="shared" si="3"/>
        <v>390</v>
      </c>
      <c r="I110" s="12">
        <f t="shared" si="4"/>
        <v>19.5</v>
      </c>
      <c r="J110" s="12">
        <f t="shared" si="5"/>
        <v>409.5</v>
      </c>
      <c r="K110" s="13" t="s">
        <v>9</v>
      </c>
    </row>
    <row r="111" spans="1:11" x14ac:dyDescent="0.25">
      <c r="A111" s="9" t="s">
        <v>10</v>
      </c>
      <c r="B111" s="40" t="s">
        <v>350</v>
      </c>
      <c r="C111" s="56">
        <v>45345</v>
      </c>
      <c r="D111" s="72">
        <v>100542487200003</v>
      </c>
      <c r="E111" s="9" t="s">
        <v>362</v>
      </c>
      <c r="F111" s="28">
        <v>4220.5</v>
      </c>
      <c r="G111" s="28"/>
      <c r="H111" s="12">
        <f t="shared" si="3"/>
        <v>4220.5</v>
      </c>
      <c r="I111" s="12">
        <f t="shared" si="4"/>
        <v>211.02500000000001</v>
      </c>
      <c r="J111" s="12">
        <f t="shared" si="5"/>
        <v>4431.5249999999996</v>
      </c>
      <c r="K111" s="13" t="s">
        <v>9</v>
      </c>
    </row>
    <row r="112" spans="1:11" x14ac:dyDescent="0.25">
      <c r="A112" s="9" t="s">
        <v>114</v>
      </c>
      <c r="B112" s="60" t="s">
        <v>351</v>
      </c>
      <c r="C112" s="56">
        <v>45345</v>
      </c>
      <c r="D112" s="72">
        <v>100235699400003</v>
      </c>
      <c r="E112" s="9" t="s">
        <v>363</v>
      </c>
      <c r="F112" s="28">
        <v>405</v>
      </c>
      <c r="G112" s="28"/>
      <c r="H112" s="12">
        <f t="shared" si="3"/>
        <v>405</v>
      </c>
      <c r="I112" s="12">
        <f t="shared" si="4"/>
        <v>20.25</v>
      </c>
      <c r="J112" s="12">
        <f t="shared" si="5"/>
        <v>425.25</v>
      </c>
      <c r="K112" s="13" t="s">
        <v>9</v>
      </c>
    </row>
    <row r="113" spans="1:11" x14ac:dyDescent="0.25">
      <c r="A113" s="9" t="s">
        <v>199</v>
      </c>
      <c r="B113" s="40" t="s">
        <v>352</v>
      </c>
      <c r="C113" s="56">
        <v>45348</v>
      </c>
      <c r="D113" s="72">
        <v>100349055200003</v>
      </c>
      <c r="E113" s="9" t="s">
        <v>364</v>
      </c>
      <c r="F113" s="28">
        <v>225</v>
      </c>
      <c r="G113" s="28"/>
      <c r="H113" s="12">
        <f t="shared" si="3"/>
        <v>225</v>
      </c>
      <c r="I113" s="12">
        <f t="shared" si="4"/>
        <v>11.25</v>
      </c>
      <c r="J113" s="12">
        <f t="shared" si="5"/>
        <v>236.25</v>
      </c>
      <c r="K113" s="13" t="s">
        <v>78</v>
      </c>
    </row>
    <row r="114" spans="1:11" ht="30" x14ac:dyDescent="0.25">
      <c r="A114" s="50" t="s">
        <v>365</v>
      </c>
      <c r="B114" s="51" t="s">
        <v>353</v>
      </c>
      <c r="C114" s="56">
        <v>45345</v>
      </c>
      <c r="D114" s="74">
        <v>103215109200003</v>
      </c>
      <c r="E114" s="53" t="s">
        <v>366</v>
      </c>
      <c r="F114" s="66">
        <v>2715</v>
      </c>
      <c r="G114" s="66"/>
      <c r="H114" s="67">
        <f t="shared" si="3"/>
        <v>2715</v>
      </c>
      <c r="I114" s="67">
        <f t="shared" si="4"/>
        <v>135.75</v>
      </c>
      <c r="J114" s="67">
        <f t="shared" si="5"/>
        <v>2850.75</v>
      </c>
      <c r="K114" s="68" t="s">
        <v>9</v>
      </c>
    </row>
    <row r="115" spans="1:11" x14ac:dyDescent="0.25">
      <c r="A115" s="9" t="s">
        <v>142</v>
      </c>
      <c r="B115" s="40" t="s">
        <v>354</v>
      </c>
      <c r="C115" s="56">
        <v>45350</v>
      </c>
      <c r="D115" s="72">
        <v>100377505100003</v>
      </c>
      <c r="E115" s="9" t="s">
        <v>283</v>
      </c>
      <c r="F115" s="28">
        <v>3150</v>
      </c>
      <c r="G115" s="28"/>
      <c r="H115" s="12">
        <f t="shared" si="3"/>
        <v>3150</v>
      </c>
      <c r="I115" s="12">
        <f t="shared" si="4"/>
        <v>157.5</v>
      </c>
      <c r="J115" s="12">
        <f t="shared" si="5"/>
        <v>3307.5</v>
      </c>
      <c r="K115" s="13" t="s">
        <v>9</v>
      </c>
    </row>
    <row r="116" spans="1:11" x14ac:dyDescent="0.25">
      <c r="A116" s="9" t="s">
        <v>102</v>
      </c>
      <c r="B116" s="73" t="s">
        <v>356</v>
      </c>
      <c r="C116" s="56">
        <v>45345</v>
      </c>
      <c r="D116" s="72">
        <v>100593105800003</v>
      </c>
      <c r="E116" s="9" t="s">
        <v>368</v>
      </c>
      <c r="F116" s="28">
        <v>7142.1</v>
      </c>
      <c r="G116" s="28"/>
      <c r="H116" s="12">
        <f t="shared" si="3"/>
        <v>7142.1</v>
      </c>
      <c r="I116" s="12">
        <f t="shared" si="4"/>
        <v>357.10500000000002</v>
      </c>
      <c r="J116" s="12">
        <f t="shared" si="5"/>
        <v>7499.2049999999999</v>
      </c>
      <c r="K116" s="13" t="s">
        <v>9</v>
      </c>
    </row>
    <row r="117" spans="1:11" x14ac:dyDescent="0.25">
      <c r="A117" s="9" t="s">
        <v>102</v>
      </c>
      <c r="B117" s="73" t="s">
        <v>360</v>
      </c>
      <c r="C117" s="56">
        <v>45345</v>
      </c>
      <c r="D117" s="72">
        <v>100593105800003</v>
      </c>
      <c r="E117" s="9" t="s">
        <v>117</v>
      </c>
      <c r="F117" s="28">
        <v>1419</v>
      </c>
      <c r="G117" s="28"/>
      <c r="H117" s="12">
        <f t="shared" si="3"/>
        <v>1419</v>
      </c>
      <c r="I117" s="12">
        <f t="shared" si="4"/>
        <v>70.95</v>
      </c>
      <c r="J117" s="12">
        <f t="shared" si="5"/>
        <v>1489.95</v>
      </c>
      <c r="K117" s="13" t="s">
        <v>9</v>
      </c>
    </row>
    <row r="118" spans="1:11" x14ac:dyDescent="0.25">
      <c r="A118" s="9" t="s">
        <v>102</v>
      </c>
      <c r="B118" s="60" t="s">
        <v>369</v>
      </c>
      <c r="C118" s="56">
        <v>45345</v>
      </c>
      <c r="D118" s="72">
        <v>100593105800003</v>
      </c>
      <c r="E118" s="9" t="s">
        <v>371</v>
      </c>
      <c r="F118" s="28">
        <v>960</v>
      </c>
      <c r="G118" s="28"/>
      <c r="H118" s="12">
        <f t="shared" si="3"/>
        <v>960</v>
      </c>
      <c r="I118" s="12">
        <f t="shared" si="4"/>
        <v>48</v>
      </c>
      <c r="J118" s="12">
        <f t="shared" si="5"/>
        <v>1008</v>
      </c>
      <c r="K118" s="13" t="s">
        <v>9</v>
      </c>
    </row>
    <row r="119" spans="1:11" x14ac:dyDescent="0.25">
      <c r="A119" s="9" t="s">
        <v>386</v>
      </c>
      <c r="B119" s="40" t="s">
        <v>374</v>
      </c>
      <c r="C119" s="56">
        <v>45351</v>
      </c>
      <c r="D119" s="72">
        <v>100246622300003</v>
      </c>
      <c r="E119" s="9" t="s">
        <v>387</v>
      </c>
      <c r="F119" s="28">
        <v>3490</v>
      </c>
      <c r="G119" s="28"/>
      <c r="H119" s="12">
        <f t="shared" si="3"/>
        <v>3490</v>
      </c>
      <c r="I119" s="12">
        <v>174</v>
      </c>
      <c r="J119" s="12">
        <f t="shared" si="5"/>
        <v>3664</v>
      </c>
      <c r="K119" s="13" t="s">
        <v>9</v>
      </c>
    </row>
    <row r="120" spans="1:11" x14ac:dyDescent="0.25">
      <c r="A120" s="9" t="s">
        <v>86</v>
      </c>
      <c r="B120" s="40" t="s">
        <v>376</v>
      </c>
      <c r="C120" s="56">
        <v>45351</v>
      </c>
      <c r="D120" s="72">
        <v>100482284500003</v>
      </c>
      <c r="E120" s="9" t="s">
        <v>95</v>
      </c>
      <c r="F120" s="28">
        <v>310</v>
      </c>
      <c r="G120" s="28"/>
      <c r="H120" s="12">
        <f t="shared" si="3"/>
        <v>310</v>
      </c>
      <c r="I120" s="12">
        <f t="shared" si="4"/>
        <v>15.5</v>
      </c>
      <c r="J120" s="12">
        <f t="shared" si="5"/>
        <v>325.5</v>
      </c>
      <c r="K120" s="13" t="s">
        <v>9</v>
      </c>
    </row>
    <row r="121" spans="1:11" x14ac:dyDescent="0.25">
      <c r="A121" s="9" t="s">
        <v>379</v>
      </c>
      <c r="B121" s="60" t="s">
        <v>377</v>
      </c>
      <c r="C121" s="56">
        <v>45349</v>
      </c>
      <c r="D121" s="72">
        <v>100247605700003</v>
      </c>
      <c r="E121" s="9" t="s">
        <v>385</v>
      </c>
      <c r="F121" s="28">
        <v>6775</v>
      </c>
      <c r="G121" s="28"/>
      <c r="H121" s="12">
        <f t="shared" si="3"/>
        <v>6775</v>
      </c>
      <c r="I121" s="12">
        <f t="shared" si="4"/>
        <v>338.75</v>
      </c>
      <c r="J121" s="12">
        <f t="shared" si="5"/>
        <v>7113.75</v>
      </c>
      <c r="K121" s="13" t="s">
        <v>9</v>
      </c>
    </row>
    <row r="122" spans="1:11" x14ac:dyDescent="0.25">
      <c r="A122" s="9" t="s">
        <v>238</v>
      </c>
      <c r="B122" s="60" t="s">
        <v>378</v>
      </c>
      <c r="C122" s="56">
        <v>45349</v>
      </c>
      <c r="D122" s="72">
        <v>100435244700003</v>
      </c>
      <c r="E122" s="9" t="s">
        <v>388</v>
      </c>
      <c r="F122" s="28">
        <v>915</v>
      </c>
      <c r="G122" s="28"/>
      <c r="H122" s="12">
        <f t="shared" si="3"/>
        <v>915</v>
      </c>
      <c r="I122" s="12">
        <f t="shared" si="4"/>
        <v>45.75</v>
      </c>
      <c r="J122" s="12">
        <f t="shared" si="5"/>
        <v>960.75</v>
      </c>
      <c r="K122" s="13" t="s">
        <v>78</v>
      </c>
    </row>
    <row r="123" spans="1:11" x14ac:dyDescent="0.25">
      <c r="A123" s="9" t="s">
        <v>450</v>
      </c>
      <c r="B123" s="60" t="s">
        <v>381</v>
      </c>
      <c r="C123" s="56">
        <v>45349</v>
      </c>
      <c r="D123" s="72" t="s">
        <v>74</v>
      </c>
      <c r="E123" s="9" t="s">
        <v>389</v>
      </c>
      <c r="F123" s="28">
        <v>1925</v>
      </c>
      <c r="G123" s="28"/>
      <c r="H123" s="12">
        <f t="shared" si="3"/>
        <v>1925</v>
      </c>
      <c r="I123" s="12">
        <f t="shared" si="4"/>
        <v>96.25</v>
      </c>
      <c r="J123" s="12">
        <f t="shared" si="5"/>
        <v>2021.25</v>
      </c>
      <c r="K123" s="13" t="s">
        <v>9</v>
      </c>
    </row>
    <row r="124" spans="1:11" x14ac:dyDescent="0.25">
      <c r="A124" s="9" t="s">
        <v>177</v>
      </c>
      <c r="B124" s="60" t="s">
        <v>382</v>
      </c>
      <c r="C124" s="56">
        <v>45350</v>
      </c>
      <c r="D124" s="72">
        <v>104020641700003</v>
      </c>
      <c r="E124" s="9" t="s">
        <v>408</v>
      </c>
      <c r="F124" s="28">
        <v>2362.38</v>
      </c>
      <c r="G124" s="28"/>
      <c r="H124" s="12">
        <f t="shared" si="3"/>
        <v>2362.38</v>
      </c>
      <c r="I124" s="12">
        <f t="shared" si="4"/>
        <v>118.11900000000001</v>
      </c>
      <c r="J124" s="12">
        <f t="shared" si="5"/>
        <v>2480.4990000000003</v>
      </c>
      <c r="K124" s="13" t="s">
        <v>9</v>
      </c>
    </row>
    <row r="125" spans="1:11" x14ac:dyDescent="0.25">
      <c r="A125" s="9" t="s">
        <v>409</v>
      </c>
      <c r="B125" s="60" t="s">
        <v>383</v>
      </c>
      <c r="C125" s="56">
        <v>45350</v>
      </c>
      <c r="D125" s="72">
        <v>100566746200003</v>
      </c>
      <c r="E125" s="9" t="s">
        <v>408</v>
      </c>
      <c r="F125" s="28">
        <v>2362.38</v>
      </c>
      <c r="G125" s="28"/>
      <c r="H125" s="12">
        <f t="shared" ref="H125:H188" si="6">F125-G125</f>
        <v>2362.38</v>
      </c>
      <c r="I125" s="12">
        <f t="shared" ref="I125:I188" si="7">F125*5%</f>
        <v>118.11900000000001</v>
      </c>
      <c r="J125" s="12">
        <f t="shared" ref="J125:J188" si="8">F125+I125</f>
        <v>2480.4990000000003</v>
      </c>
      <c r="K125" s="13" t="s">
        <v>9</v>
      </c>
    </row>
    <row r="126" spans="1:11" x14ac:dyDescent="0.25">
      <c r="A126" s="9" t="s">
        <v>174</v>
      </c>
      <c r="B126" s="60" t="s">
        <v>384</v>
      </c>
      <c r="C126" s="56">
        <v>45350</v>
      </c>
      <c r="D126" s="72">
        <v>100494671900003</v>
      </c>
      <c r="E126" s="9" t="s">
        <v>408</v>
      </c>
      <c r="F126" s="28">
        <v>2362.38</v>
      </c>
      <c r="G126" s="28"/>
      <c r="H126" s="12">
        <f t="shared" si="6"/>
        <v>2362.38</v>
      </c>
      <c r="I126" s="12">
        <f t="shared" si="7"/>
        <v>118.11900000000001</v>
      </c>
      <c r="J126" s="12">
        <f t="shared" si="8"/>
        <v>2480.4990000000003</v>
      </c>
      <c r="K126" s="13" t="s">
        <v>9</v>
      </c>
    </row>
    <row r="127" spans="1:11" x14ac:dyDescent="0.25">
      <c r="A127" s="9" t="s">
        <v>394</v>
      </c>
      <c r="B127" s="40" t="s">
        <v>390</v>
      </c>
      <c r="C127" s="56">
        <v>45350</v>
      </c>
      <c r="D127" s="72">
        <v>104061117800003</v>
      </c>
      <c r="E127" s="9" t="s">
        <v>395</v>
      </c>
      <c r="F127" s="28">
        <v>47.62</v>
      </c>
      <c r="G127" s="28"/>
      <c r="H127" s="12">
        <f t="shared" si="6"/>
        <v>47.62</v>
      </c>
      <c r="I127" s="12">
        <f t="shared" si="7"/>
        <v>2.3809999999999998</v>
      </c>
      <c r="J127" s="12">
        <f t="shared" si="8"/>
        <v>50.000999999999998</v>
      </c>
      <c r="K127" s="13" t="s">
        <v>9</v>
      </c>
    </row>
    <row r="128" spans="1:11" x14ac:dyDescent="0.25">
      <c r="A128" s="9" t="s">
        <v>43</v>
      </c>
      <c r="B128" s="40" t="s">
        <v>391</v>
      </c>
      <c r="C128" s="56">
        <v>45351</v>
      </c>
      <c r="D128" s="72">
        <v>104166051300003</v>
      </c>
      <c r="E128" s="9" t="s">
        <v>396</v>
      </c>
      <c r="F128" s="28">
        <v>1248</v>
      </c>
      <c r="G128" s="28"/>
      <c r="H128" s="12">
        <f t="shared" si="6"/>
        <v>1248</v>
      </c>
      <c r="I128" s="12">
        <f t="shared" si="7"/>
        <v>62.400000000000006</v>
      </c>
      <c r="J128" s="12">
        <f t="shared" si="8"/>
        <v>1310.4000000000001</v>
      </c>
      <c r="K128" s="13" t="s">
        <v>9</v>
      </c>
    </row>
    <row r="129" spans="1:11" x14ac:dyDescent="0.25">
      <c r="A129" s="9" t="s">
        <v>236</v>
      </c>
      <c r="B129" s="40" t="s">
        <v>392</v>
      </c>
      <c r="C129" s="56">
        <v>45351</v>
      </c>
      <c r="D129" s="72">
        <v>100048520900003</v>
      </c>
      <c r="E129" s="9" t="s">
        <v>400</v>
      </c>
      <c r="F129" s="28">
        <v>90</v>
      </c>
      <c r="G129" s="28"/>
      <c r="H129" s="12">
        <f t="shared" si="6"/>
        <v>90</v>
      </c>
      <c r="I129" s="12">
        <f t="shared" si="7"/>
        <v>4.5</v>
      </c>
      <c r="J129" s="12">
        <f t="shared" si="8"/>
        <v>94.5</v>
      </c>
      <c r="K129" s="13" t="s">
        <v>9</v>
      </c>
    </row>
    <row r="130" spans="1:11" x14ac:dyDescent="0.25">
      <c r="A130" s="9" t="s">
        <v>236</v>
      </c>
      <c r="B130" s="40" t="s">
        <v>393</v>
      </c>
      <c r="C130" s="56">
        <v>45351</v>
      </c>
      <c r="D130" s="72">
        <v>100048520900003</v>
      </c>
      <c r="E130" s="9" t="s">
        <v>400</v>
      </c>
      <c r="F130" s="28">
        <v>105</v>
      </c>
      <c r="G130" s="28"/>
      <c r="H130" s="12">
        <f t="shared" si="6"/>
        <v>105</v>
      </c>
      <c r="I130" s="12">
        <f t="shared" si="7"/>
        <v>5.25</v>
      </c>
      <c r="J130" s="12">
        <f t="shared" si="8"/>
        <v>110.25</v>
      </c>
      <c r="K130" s="13" t="s">
        <v>9</v>
      </c>
    </row>
    <row r="131" spans="1:11" x14ac:dyDescent="0.25">
      <c r="A131" s="9" t="s">
        <v>398</v>
      </c>
      <c r="B131" s="40" t="s">
        <v>397</v>
      </c>
      <c r="C131" s="56">
        <v>45352</v>
      </c>
      <c r="D131" s="72">
        <v>100282822400003</v>
      </c>
      <c r="E131" s="9" t="s">
        <v>399</v>
      </c>
      <c r="F131" s="28">
        <v>485</v>
      </c>
      <c r="G131" s="28"/>
      <c r="H131" s="12">
        <f t="shared" si="6"/>
        <v>485</v>
      </c>
      <c r="I131" s="12">
        <f t="shared" si="7"/>
        <v>24.25</v>
      </c>
      <c r="J131" s="12">
        <f t="shared" si="8"/>
        <v>509.25</v>
      </c>
      <c r="K131" s="13" t="s">
        <v>9</v>
      </c>
    </row>
    <row r="132" spans="1:11" x14ac:dyDescent="0.25">
      <c r="A132" s="9" t="s">
        <v>10</v>
      </c>
      <c r="B132" s="40" t="s">
        <v>402</v>
      </c>
      <c r="C132" s="56">
        <v>45351</v>
      </c>
      <c r="D132" s="72">
        <v>100542487200003</v>
      </c>
      <c r="E132" s="9" t="s">
        <v>405</v>
      </c>
      <c r="F132" s="28">
        <v>1890</v>
      </c>
      <c r="G132" s="28"/>
      <c r="H132" s="12">
        <f t="shared" si="6"/>
        <v>1890</v>
      </c>
      <c r="I132" s="12">
        <f t="shared" si="7"/>
        <v>94.5</v>
      </c>
      <c r="J132" s="12">
        <f t="shared" si="8"/>
        <v>1984.5</v>
      </c>
      <c r="K132" s="13" t="s">
        <v>9</v>
      </c>
    </row>
    <row r="133" spans="1:11" x14ac:dyDescent="0.25">
      <c r="A133" s="9" t="s">
        <v>75</v>
      </c>
      <c r="B133" s="40" t="s">
        <v>403</v>
      </c>
      <c r="C133" s="56">
        <v>45351</v>
      </c>
      <c r="D133" s="72">
        <v>100540543400003</v>
      </c>
      <c r="E133" s="9" t="s">
        <v>406</v>
      </c>
      <c r="F133" s="28">
        <v>487.5</v>
      </c>
      <c r="G133" s="28"/>
      <c r="H133" s="12">
        <f t="shared" si="6"/>
        <v>487.5</v>
      </c>
      <c r="I133" s="12">
        <f t="shared" si="7"/>
        <v>24.375</v>
      </c>
      <c r="J133" s="12">
        <f t="shared" si="8"/>
        <v>511.875</v>
      </c>
      <c r="K133" s="13" t="s">
        <v>78</v>
      </c>
    </row>
    <row r="134" spans="1:11" x14ac:dyDescent="0.25">
      <c r="A134" s="9" t="s">
        <v>43</v>
      </c>
      <c r="B134" s="40" t="s">
        <v>404</v>
      </c>
      <c r="C134" s="56">
        <v>45351</v>
      </c>
      <c r="D134" s="72">
        <v>104166051300003</v>
      </c>
      <c r="E134" s="9" t="s">
        <v>407</v>
      </c>
      <c r="F134" s="28">
        <v>1162.5</v>
      </c>
      <c r="G134" s="28"/>
      <c r="H134" s="12">
        <f t="shared" si="6"/>
        <v>1162.5</v>
      </c>
      <c r="I134" s="12">
        <f t="shared" si="7"/>
        <v>58.125</v>
      </c>
      <c r="J134" s="12">
        <f t="shared" si="8"/>
        <v>1220.625</v>
      </c>
      <c r="K134" s="13" t="s">
        <v>9</v>
      </c>
    </row>
    <row r="135" spans="1:11" x14ac:dyDescent="0.25">
      <c r="A135" s="9" t="s">
        <v>177</v>
      </c>
      <c r="B135" s="40" t="s">
        <v>410</v>
      </c>
      <c r="C135" s="56">
        <v>45350</v>
      </c>
      <c r="D135" s="72">
        <v>104020641700003</v>
      </c>
      <c r="E135" s="9" t="s">
        <v>413</v>
      </c>
      <c r="F135" s="28">
        <v>787.62</v>
      </c>
      <c r="G135" s="28"/>
      <c r="H135" s="12">
        <f t="shared" si="6"/>
        <v>787.62</v>
      </c>
      <c r="I135" s="12">
        <f t="shared" si="7"/>
        <v>39.381</v>
      </c>
      <c r="J135" s="12">
        <f t="shared" si="8"/>
        <v>827.00099999999998</v>
      </c>
      <c r="K135" s="13" t="s">
        <v>25</v>
      </c>
    </row>
    <row r="136" spans="1:11" x14ac:dyDescent="0.25">
      <c r="A136" s="9" t="s">
        <v>409</v>
      </c>
      <c r="B136" s="40" t="s">
        <v>411</v>
      </c>
      <c r="C136" s="56">
        <v>45350</v>
      </c>
      <c r="D136" s="72">
        <v>100566746200003</v>
      </c>
      <c r="E136" s="9" t="s">
        <v>413</v>
      </c>
      <c r="F136" s="28">
        <v>787.62</v>
      </c>
      <c r="G136" s="28"/>
      <c r="H136" s="12">
        <f t="shared" si="6"/>
        <v>787.62</v>
      </c>
      <c r="I136" s="12">
        <f t="shared" si="7"/>
        <v>39.381</v>
      </c>
      <c r="J136" s="12">
        <f t="shared" si="8"/>
        <v>827.00099999999998</v>
      </c>
      <c r="K136" s="13" t="s">
        <v>25</v>
      </c>
    </row>
    <row r="137" spans="1:11" x14ac:dyDescent="0.25">
      <c r="A137" s="9" t="s">
        <v>174</v>
      </c>
      <c r="B137" s="40" t="s">
        <v>412</v>
      </c>
      <c r="C137" s="56">
        <v>45350</v>
      </c>
      <c r="D137" s="72">
        <v>100494671900003</v>
      </c>
      <c r="E137" s="9" t="s">
        <v>413</v>
      </c>
      <c r="F137" s="28">
        <v>787.62</v>
      </c>
      <c r="G137" s="28"/>
      <c r="H137" s="12">
        <f t="shared" si="6"/>
        <v>787.62</v>
      </c>
      <c r="I137" s="12">
        <f t="shared" si="7"/>
        <v>39.381</v>
      </c>
      <c r="J137" s="12">
        <f t="shared" si="8"/>
        <v>827.00099999999998</v>
      </c>
      <c r="K137" s="13" t="s">
        <v>25</v>
      </c>
    </row>
    <row r="138" spans="1:11" x14ac:dyDescent="0.25">
      <c r="A138" s="9" t="s">
        <v>10</v>
      </c>
      <c r="B138" s="40" t="s">
        <v>414</v>
      </c>
      <c r="C138" s="56">
        <v>45352</v>
      </c>
      <c r="D138" s="71" t="s">
        <v>16</v>
      </c>
      <c r="E138" s="9" t="s">
        <v>417</v>
      </c>
      <c r="F138" s="28">
        <v>450</v>
      </c>
      <c r="G138" s="28"/>
      <c r="H138" s="12">
        <f t="shared" si="6"/>
        <v>450</v>
      </c>
      <c r="I138" s="12">
        <f t="shared" si="7"/>
        <v>22.5</v>
      </c>
      <c r="J138" s="12">
        <f t="shared" si="8"/>
        <v>472.5</v>
      </c>
      <c r="K138" s="13" t="s">
        <v>9</v>
      </c>
    </row>
    <row r="139" spans="1:11" x14ac:dyDescent="0.25">
      <c r="A139" s="9" t="s">
        <v>29</v>
      </c>
      <c r="B139" s="40" t="s">
        <v>415</v>
      </c>
      <c r="C139" s="56">
        <v>45355</v>
      </c>
      <c r="D139" s="71" t="s">
        <v>128</v>
      </c>
      <c r="E139" s="9" t="s">
        <v>225</v>
      </c>
      <c r="F139" s="28">
        <v>275</v>
      </c>
      <c r="G139" s="28"/>
      <c r="H139" s="12">
        <f t="shared" si="6"/>
        <v>275</v>
      </c>
      <c r="I139" s="12">
        <f t="shared" si="7"/>
        <v>13.75</v>
      </c>
      <c r="J139" s="12">
        <f t="shared" si="8"/>
        <v>288.75</v>
      </c>
      <c r="K139" s="13" t="s">
        <v>9</v>
      </c>
    </row>
    <row r="140" spans="1:11" x14ac:dyDescent="0.25">
      <c r="A140" s="9" t="s">
        <v>398</v>
      </c>
      <c r="B140" s="40" t="s">
        <v>416</v>
      </c>
      <c r="C140" s="56">
        <v>45355</v>
      </c>
      <c r="D140" s="71" t="s">
        <v>418</v>
      </c>
      <c r="E140" s="9" t="s">
        <v>419</v>
      </c>
      <c r="F140" s="28">
        <v>505</v>
      </c>
      <c r="G140" s="28"/>
      <c r="H140" s="12">
        <f t="shared" si="6"/>
        <v>505</v>
      </c>
      <c r="I140" s="12">
        <f t="shared" si="7"/>
        <v>25.25</v>
      </c>
      <c r="J140" s="12">
        <f t="shared" si="8"/>
        <v>530.25</v>
      </c>
      <c r="K140" s="13" t="s">
        <v>9</v>
      </c>
    </row>
    <row r="141" spans="1:11" x14ac:dyDescent="0.25">
      <c r="A141" s="9" t="s">
        <v>10</v>
      </c>
      <c r="B141" s="40" t="s">
        <v>420</v>
      </c>
      <c r="C141" s="56">
        <v>45355</v>
      </c>
      <c r="D141" s="71" t="s">
        <v>16</v>
      </c>
      <c r="E141" s="9" t="s">
        <v>423</v>
      </c>
      <c r="F141" s="28">
        <v>220</v>
      </c>
      <c r="G141" s="28"/>
      <c r="H141" s="12">
        <f t="shared" si="6"/>
        <v>220</v>
      </c>
      <c r="I141" s="12">
        <f t="shared" si="7"/>
        <v>11</v>
      </c>
      <c r="J141" s="12">
        <f t="shared" si="8"/>
        <v>231</v>
      </c>
      <c r="K141" s="13" t="s">
        <v>9</v>
      </c>
    </row>
    <row r="142" spans="1:11" x14ac:dyDescent="0.25">
      <c r="A142" s="9" t="s">
        <v>114</v>
      </c>
      <c r="B142" s="40" t="s">
        <v>421</v>
      </c>
      <c r="C142" s="56">
        <v>45356</v>
      </c>
      <c r="D142" s="71" t="s">
        <v>115</v>
      </c>
      <c r="E142" s="9" t="s">
        <v>429</v>
      </c>
      <c r="F142" s="28">
        <v>405</v>
      </c>
      <c r="G142" s="28"/>
      <c r="H142" s="12">
        <f t="shared" si="6"/>
        <v>405</v>
      </c>
      <c r="I142" s="12">
        <f t="shared" si="7"/>
        <v>20.25</v>
      </c>
      <c r="J142" s="12">
        <f t="shared" si="8"/>
        <v>425.25</v>
      </c>
      <c r="K142" s="13" t="s">
        <v>9</v>
      </c>
    </row>
    <row r="143" spans="1:11" x14ac:dyDescent="0.25">
      <c r="A143" s="9" t="s">
        <v>122</v>
      </c>
      <c r="B143" s="40" t="s">
        <v>422</v>
      </c>
      <c r="C143" s="56">
        <v>45353</v>
      </c>
      <c r="D143" s="70" t="s">
        <v>74</v>
      </c>
      <c r="E143" s="9" t="s">
        <v>424</v>
      </c>
      <c r="F143" s="28">
        <v>18930</v>
      </c>
      <c r="G143" s="28"/>
      <c r="H143" s="12">
        <f t="shared" si="6"/>
        <v>18930</v>
      </c>
      <c r="I143" s="12">
        <f t="shared" si="7"/>
        <v>946.5</v>
      </c>
      <c r="J143" s="12">
        <f t="shared" si="8"/>
        <v>19876.5</v>
      </c>
      <c r="K143" s="13" t="s">
        <v>9</v>
      </c>
    </row>
    <row r="144" spans="1:11" x14ac:dyDescent="0.25">
      <c r="A144" s="9" t="s">
        <v>122</v>
      </c>
      <c r="B144" s="40" t="s">
        <v>425</v>
      </c>
      <c r="C144" s="56">
        <v>45355</v>
      </c>
      <c r="D144" s="70" t="s">
        <v>74</v>
      </c>
      <c r="E144" s="9" t="s">
        <v>426</v>
      </c>
      <c r="F144" s="28">
        <v>2585</v>
      </c>
      <c r="G144" s="28"/>
      <c r="H144" s="12">
        <f t="shared" si="6"/>
        <v>2585</v>
      </c>
      <c r="I144" s="12">
        <f t="shared" si="7"/>
        <v>129.25</v>
      </c>
      <c r="J144" s="12">
        <f t="shared" si="8"/>
        <v>2714.25</v>
      </c>
      <c r="K144" s="13" t="s">
        <v>9</v>
      </c>
    </row>
    <row r="145" spans="1:11" x14ac:dyDescent="0.25">
      <c r="A145" s="9" t="s">
        <v>299</v>
      </c>
      <c r="B145" s="40" t="s">
        <v>427</v>
      </c>
      <c r="C145" s="56">
        <v>45358</v>
      </c>
      <c r="D145" s="71" t="s">
        <v>302</v>
      </c>
      <c r="E145" s="9" t="s">
        <v>428</v>
      </c>
      <c r="F145" s="28">
        <v>1130</v>
      </c>
      <c r="G145" s="28"/>
      <c r="H145" s="12">
        <f t="shared" si="6"/>
        <v>1130</v>
      </c>
      <c r="I145" s="12">
        <f t="shared" si="7"/>
        <v>56.5</v>
      </c>
      <c r="J145" s="12">
        <f t="shared" si="8"/>
        <v>1186.5</v>
      </c>
      <c r="K145" s="13" t="s">
        <v>78</v>
      </c>
    </row>
    <row r="146" spans="1:11" x14ac:dyDescent="0.25">
      <c r="A146" s="9" t="s">
        <v>114</v>
      </c>
      <c r="B146" s="40" t="s">
        <v>430</v>
      </c>
      <c r="C146" s="56">
        <v>45356</v>
      </c>
      <c r="D146" s="71" t="s">
        <v>115</v>
      </c>
      <c r="E146" s="9" t="s">
        <v>431</v>
      </c>
      <c r="F146" s="28">
        <v>405</v>
      </c>
      <c r="G146" s="28"/>
      <c r="H146" s="12">
        <f t="shared" si="6"/>
        <v>405</v>
      </c>
      <c r="I146" s="12">
        <f t="shared" si="7"/>
        <v>20.25</v>
      </c>
      <c r="J146" s="12">
        <f t="shared" si="8"/>
        <v>425.25</v>
      </c>
      <c r="K146" s="13" t="s">
        <v>9</v>
      </c>
    </row>
    <row r="147" spans="1:11" x14ac:dyDescent="0.25">
      <c r="A147" s="9" t="s">
        <v>10</v>
      </c>
      <c r="B147" s="40" t="s">
        <v>432</v>
      </c>
      <c r="C147" s="56">
        <v>45357</v>
      </c>
      <c r="D147" s="71" t="s">
        <v>16</v>
      </c>
      <c r="E147" s="9" t="s">
        <v>433</v>
      </c>
      <c r="F147" s="28">
        <v>840</v>
      </c>
      <c r="G147" s="28"/>
      <c r="H147" s="12">
        <f t="shared" si="6"/>
        <v>840</v>
      </c>
      <c r="I147" s="12">
        <f t="shared" si="7"/>
        <v>42</v>
      </c>
      <c r="J147" s="12">
        <f t="shared" si="8"/>
        <v>882</v>
      </c>
      <c r="K147" s="13" t="s">
        <v>9</v>
      </c>
    </row>
    <row r="148" spans="1:11" x14ac:dyDescent="0.25">
      <c r="A148" s="9" t="s">
        <v>22</v>
      </c>
      <c r="B148" s="40" t="s">
        <v>434</v>
      </c>
      <c r="C148" s="56">
        <v>45360</v>
      </c>
      <c r="D148" s="71" t="s">
        <v>23</v>
      </c>
      <c r="E148" s="9" t="s">
        <v>435</v>
      </c>
      <c r="F148" s="28">
        <v>540</v>
      </c>
      <c r="G148" s="28"/>
      <c r="H148" s="12">
        <f t="shared" si="6"/>
        <v>540</v>
      </c>
      <c r="I148" s="12">
        <f t="shared" si="7"/>
        <v>27</v>
      </c>
      <c r="J148" s="12">
        <f t="shared" si="8"/>
        <v>567</v>
      </c>
      <c r="K148" s="13" t="s">
        <v>9</v>
      </c>
    </row>
    <row r="149" spans="1:11" x14ac:dyDescent="0.25">
      <c r="A149" s="9" t="s">
        <v>436</v>
      </c>
      <c r="B149" s="40" t="s">
        <v>437</v>
      </c>
      <c r="C149" s="56">
        <v>45360</v>
      </c>
      <c r="D149" s="71" t="s">
        <v>440</v>
      </c>
      <c r="E149" s="9" t="s">
        <v>441</v>
      </c>
      <c r="F149" s="28">
        <v>925</v>
      </c>
      <c r="G149" s="28"/>
      <c r="H149" s="12">
        <f t="shared" si="6"/>
        <v>925</v>
      </c>
      <c r="I149" s="12">
        <f t="shared" si="7"/>
        <v>46.25</v>
      </c>
      <c r="J149" s="12">
        <f t="shared" si="8"/>
        <v>971.25</v>
      </c>
      <c r="K149" s="13" t="s">
        <v>9</v>
      </c>
    </row>
    <row r="150" spans="1:11" x14ac:dyDescent="0.25">
      <c r="A150" s="9" t="s">
        <v>10</v>
      </c>
      <c r="B150" s="40" t="s">
        <v>438</v>
      </c>
      <c r="C150" s="56">
        <v>45360</v>
      </c>
      <c r="D150" s="71" t="s">
        <v>16</v>
      </c>
      <c r="E150" s="9" t="s">
        <v>442</v>
      </c>
      <c r="F150" s="28">
        <v>450</v>
      </c>
      <c r="G150" s="28"/>
      <c r="H150" s="12">
        <f t="shared" si="6"/>
        <v>450</v>
      </c>
      <c r="I150" s="12">
        <f t="shared" si="7"/>
        <v>22.5</v>
      </c>
      <c r="J150" s="12">
        <f t="shared" si="8"/>
        <v>472.5</v>
      </c>
      <c r="K150" s="13" t="s">
        <v>9</v>
      </c>
    </row>
    <row r="151" spans="1:11" x14ac:dyDescent="0.25">
      <c r="A151" s="9" t="s">
        <v>443</v>
      </c>
      <c r="B151" s="40" t="s">
        <v>439</v>
      </c>
      <c r="C151" s="56">
        <v>45362</v>
      </c>
      <c r="D151" s="70" t="s">
        <v>74</v>
      </c>
      <c r="E151" s="9" t="s">
        <v>135</v>
      </c>
      <c r="F151" s="28">
        <v>210</v>
      </c>
      <c r="G151" s="28"/>
      <c r="H151" s="12">
        <f t="shared" si="6"/>
        <v>210</v>
      </c>
      <c r="I151" s="12">
        <f t="shared" si="7"/>
        <v>10.5</v>
      </c>
      <c r="J151" s="12">
        <f t="shared" si="8"/>
        <v>220.5</v>
      </c>
      <c r="K151" s="13" t="s">
        <v>9</v>
      </c>
    </row>
    <row r="152" spans="1:11" x14ac:dyDescent="0.25">
      <c r="A152" s="9" t="s">
        <v>321</v>
      </c>
      <c r="B152" s="40" t="s">
        <v>444</v>
      </c>
      <c r="C152" s="56">
        <v>45359</v>
      </c>
      <c r="D152" s="70" t="s">
        <v>74</v>
      </c>
      <c r="E152" s="9" t="s">
        <v>225</v>
      </c>
      <c r="F152" s="28">
        <v>550</v>
      </c>
      <c r="G152" s="28"/>
      <c r="H152" s="12">
        <f t="shared" si="6"/>
        <v>550</v>
      </c>
      <c r="I152" s="12">
        <f t="shared" si="7"/>
        <v>27.5</v>
      </c>
      <c r="J152" s="12">
        <f t="shared" si="8"/>
        <v>577.5</v>
      </c>
      <c r="K152" s="13" t="s">
        <v>9</v>
      </c>
    </row>
    <row r="153" spans="1:11" x14ac:dyDescent="0.25">
      <c r="A153" s="9" t="s">
        <v>122</v>
      </c>
      <c r="B153" s="40" t="s">
        <v>445</v>
      </c>
      <c r="C153" s="56">
        <v>45362</v>
      </c>
      <c r="D153" s="70" t="s">
        <v>74</v>
      </c>
      <c r="E153" s="9" t="s">
        <v>449</v>
      </c>
      <c r="F153" s="28">
        <v>662.5</v>
      </c>
      <c r="G153" s="28"/>
      <c r="H153" s="12">
        <f t="shared" si="6"/>
        <v>662.5</v>
      </c>
      <c r="I153" s="12">
        <f t="shared" si="7"/>
        <v>33.125</v>
      </c>
      <c r="J153" s="12">
        <f t="shared" si="8"/>
        <v>695.625</v>
      </c>
      <c r="K153" s="13" t="s">
        <v>9</v>
      </c>
    </row>
    <row r="154" spans="1:11" x14ac:dyDescent="0.25">
      <c r="A154" s="9" t="s">
        <v>357</v>
      </c>
      <c r="B154" s="40" t="s">
        <v>446</v>
      </c>
      <c r="C154" s="56">
        <v>45360</v>
      </c>
      <c r="D154" s="71" t="s">
        <v>447</v>
      </c>
      <c r="E154" s="9" t="s">
        <v>448</v>
      </c>
      <c r="F154" s="28">
        <v>185</v>
      </c>
      <c r="G154" s="28"/>
      <c r="H154" s="12">
        <f t="shared" si="6"/>
        <v>185</v>
      </c>
      <c r="I154" s="12">
        <f t="shared" si="7"/>
        <v>9.25</v>
      </c>
      <c r="J154" s="12">
        <f t="shared" si="8"/>
        <v>194.25</v>
      </c>
      <c r="K154" s="13" t="s">
        <v>9</v>
      </c>
    </row>
    <row r="155" spans="1:11" x14ac:dyDescent="0.25">
      <c r="A155" s="9" t="s">
        <v>398</v>
      </c>
      <c r="B155" s="73" t="s">
        <v>451</v>
      </c>
      <c r="C155" s="56">
        <v>45362</v>
      </c>
      <c r="D155" s="71" t="s">
        <v>418</v>
      </c>
      <c r="E155" s="9" t="s">
        <v>452</v>
      </c>
      <c r="F155" s="28">
        <v>135</v>
      </c>
      <c r="G155" s="28"/>
      <c r="H155" s="12">
        <f t="shared" si="6"/>
        <v>135</v>
      </c>
      <c r="I155" s="12">
        <f t="shared" si="7"/>
        <v>6.75</v>
      </c>
      <c r="J155" s="12">
        <f t="shared" si="8"/>
        <v>141.75</v>
      </c>
      <c r="K155" s="13" t="s">
        <v>9</v>
      </c>
    </row>
    <row r="156" spans="1:11" x14ac:dyDescent="0.25">
      <c r="A156" s="9" t="s">
        <v>10</v>
      </c>
      <c r="B156" s="10" t="s">
        <v>453</v>
      </c>
      <c r="C156" s="11" t="s">
        <v>454</v>
      </c>
      <c r="D156" s="70"/>
      <c r="E156" s="9" t="s">
        <v>455</v>
      </c>
      <c r="F156" s="28">
        <v>3703.5</v>
      </c>
      <c r="G156" s="28"/>
      <c r="H156" s="12">
        <f t="shared" si="6"/>
        <v>3703.5</v>
      </c>
      <c r="I156" s="12">
        <f t="shared" si="7"/>
        <v>185.17500000000001</v>
      </c>
      <c r="J156" s="12">
        <f t="shared" si="8"/>
        <v>3888.6750000000002</v>
      </c>
      <c r="K156" s="13" t="s">
        <v>9</v>
      </c>
    </row>
    <row r="157" spans="1:11" x14ac:dyDescent="0.25">
      <c r="A157" s="9" t="s">
        <v>10</v>
      </c>
      <c r="B157" s="10" t="s">
        <v>456</v>
      </c>
      <c r="C157" s="11">
        <v>45364</v>
      </c>
      <c r="D157" s="70"/>
      <c r="E157" s="9" t="s">
        <v>457</v>
      </c>
      <c r="F157" s="28">
        <v>3360</v>
      </c>
      <c r="G157" s="28"/>
      <c r="H157" s="12">
        <f t="shared" si="6"/>
        <v>3360</v>
      </c>
      <c r="I157" s="12">
        <f t="shared" si="7"/>
        <v>168</v>
      </c>
      <c r="J157" s="12">
        <f t="shared" si="8"/>
        <v>3528</v>
      </c>
      <c r="K157" s="13" t="s">
        <v>9</v>
      </c>
    </row>
    <row r="158" spans="1:11" x14ac:dyDescent="0.25">
      <c r="A158" s="9" t="s">
        <v>10</v>
      </c>
      <c r="B158" s="10" t="s">
        <v>458</v>
      </c>
      <c r="C158" s="11">
        <v>45364</v>
      </c>
      <c r="D158" s="70"/>
      <c r="E158" s="9" t="s">
        <v>459</v>
      </c>
      <c r="F158" s="28">
        <v>475</v>
      </c>
      <c r="G158" s="28"/>
      <c r="H158" s="12">
        <f t="shared" si="6"/>
        <v>475</v>
      </c>
      <c r="I158" s="12">
        <f t="shared" si="7"/>
        <v>23.75</v>
      </c>
      <c r="J158" s="12">
        <f t="shared" si="8"/>
        <v>498.75</v>
      </c>
      <c r="K158" s="13" t="s">
        <v>9</v>
      </c>
    </row>
    <row r="159" spans="1:11" x14ac:dyDescent="0.25">
      <c r="A159" s="9" t="s">
        <v>460</v>
      </c>
      <c r="B159" s="10" t="s">
        <v>461</v>
      </c>
      <c r="C159" s="11">
        <v>45364</v>
      </c>
      <c r="D159" s="70"/>
      <c r="E159" s="9" t="s">
        <v>462</v>
      </c>
      <c r="F159" s="28">
        <v>750</v>
      </c>
      <c r="G159" s="28"/>
      <c r="H159" s="12">
        <f t="shared" si="6"/>
        <v>750</v>
      </c>
      <c r="I159" s="12">
        <f t="shared" si="7"/>
        <v>37.5</v>
      </c>
      <c r="J159" s="12">
        <f t="shared" si="8"/>
        <v>787.5</v>
      </c>
      <c r="K159" s="13" t="s">
        <v>78</v>
      </c>
    </row>
    <row r="160" spans="1:11" x14ac:dyDescent="0.25">
      <c r="A160" s="9" t="s">
        <v>114</v>
      </c>
      <c r="B160" s="10" t="s">
        <v>463</v>
      </c>
      <c r="C160" s="11">
        <v>45365</v>
      </c>
      <c r="D160" s="70"/>
      <c r="E160" s="9" t="s">
        <v>467</v>
      </c>
      <c r="F160" s="28">
        <v>405</v>
      </c>
      <c r="G160" s="28"/>
      <c r="H160" s="12">
        <f t="shared" si="6"/>
        <v>405</v>
      </c>
      <c r="I160" s="12">
        <f t="shared" si="7"/>
        <v>20.25</v>
      </c>
      <c r="J160" s="12">
        <f t="shared" si="8"/>
        <v>425.25</v>
      </c>
      <c r="K160" s="13" t="s">
        <v>9</v>
      </c>
    </row>
    <row r="161" spans="1:11" x14ac:dyDescent="0.25">
      <c r="A161" s="9" t="s">
        <v>10</v>
      </c>
      <c r="B161" s="10" t="s">
        <v>464</v>
      </c>
      <c r="C161" s="11">
        <v>45366</v>
      </c>
      <c r="D161" s="70"/>
      <c r="E161" s="9" t="s">
        <v>470</v>
      </c>
      <c r="F161" s="28">
        <v>3600</v>
      </c>
      <c r="G161" s="28"/>
      <c r="H161" s="12">
        <f t="shared" si="6"/>
        <v>3600</v>
      </c>
      <c r="I161" s="12">
        <f t="shared" si="7"/>
        <v>180</v>
      </c>
      <c r="J161" s="12">
        <f t="shared" si="8"/>
        <v>3780</v>
      </c>
      <c r="K161" s="13" t="s">
        <v>9</v>
      </c>
    </row>
    <row r="162" spans="1:11" x14ac:dyDescent="0.25">
      <c r="A162" s="9" t="s">
        <v>10</v>
      </c>
      <c r="B162" s="10" t="s">
        <v>465</v>
      </c>
      <c r="C162" s="11">
        <v>45366</v>
      </c>
      <c r="D162" s="70"/>
      <c r="E162" s="9" t="s">
        <v>469</v>
      </c>
      <c r="F162" s="28">
        <v>2242.5</v>
      </c>
      <c r="G162" s="28"/>
      <c r="H162" s="12">
        <f t="shared" si="6"/>
        <v>2242.5</v>
      </c>
      <c r="I162" s="12">
        <f t="shared" si="7"/>
        <v>112.125</v>
      </c>
      <c r="J162" s="12">
        <f t="shared" si="8"/>
        <v>2354.625</v>
      </c>
      <c r="K162" s="13" t="s">
        <v>9</v>
      </c>
    </row>
    <row r="163" spans="1:11" x14ac:dyDescent="0.25">
      <c r="A163" s="9" t="s">
        <v>29</v>
      </c>
      <c r="B163" s="10" t="s">
        <v>466</v>
      </c>
      <c r="C163" s="11">
        <v>45366</v>
      </c>
      <c r="D163" s="70"/>
      <c r="E163" s="9" t="s">
        <v>468</v>
      </c>
      <c r="F163" s="28">
        <v>275</v>
      </c>
      <c r="G163" s="28"/>
      <c r="H163" s="12">
        <f t="shared" si="6"/>
        <v>275</v>
      </c>
      <c r="I163" s="12">
        <f t="shared" si="7"/>
        <v>13.75</v>
      </c>
      <c r="J163" s="12">
        <f t="shared" si="8"/>
        <v>288.75</v>
      </c>
      <c r="K163" s="13" t="s">
        <v>9</v>
      </c>
    </row>
    <row r="164" spans="1:11" x14ac:dyDescent="0.25">
      <c r="A164" s="9" t="s">
        <v>482</v>
      </c>
      <c r="B164" s="10" t="s">
        <v>471</v>
      </c>
      <c r="C164" s="11">
        <v>45369</v>
      </c>
      <c r="D164" s="70"/>
      <c r="E164" s="9" t="s">
        <v>483</v>
      </c>
      <c r="F164" s="28">
        <v>5350</v>
      </c>
      <c r="G164" s="28"/>
      <c r="H164" s="12">
        <f t="shared" si="6"/>
        <v>5350</v>
      </c>
      <c r="I164" s="12">
        <f t="shared" si="7"/>
        <v>267.5</v>
      </c>
      <c r="J164" s="12">
        <f t="shared" si="8"/>
        <v>5617.5</v>
      </c>
      <c r="K164" s="13" t="s">
        <v>9</v>
      </c>
    </row>
    <row r="165" spans="1:11" x14ac:dyDescent="0.25">
      <c r="A165" s="9" t="s">
        <v>10</v>
      </c>
      <c r="B165" s="10" t="s">
        <v>472</v>
      </c>
      <c r="C165" s="11">
        <v>45370</v>
      </c>
      <c r="D165" s="70"/>
      <c r="E165" s="9" t="s">
        <v>484</v>
      </c>
      <c r="F165" s="28">
        <v>290</v>
      </c>
      <c r="G165" s="28"/>
      <c r="H165" s="12">
        <f t="shared" si="6"/>
        <v>290</v>
      </c>
      <c r="I165" s="12">
        <f t="shared" si="7"/>
        <v>14.5</v>
      </c>
      <c r="J165" s="12">
        <f t="shared" si="8"/>
        <v>304.5</v>
      </c>
      <c r="K165" s="13" t="s">
        <v>9</v>
      </c>
    </row>
    <row r="166" spans="1:11" x14ac:dyDescent="0.25">
      <c r="A166" s="9" t="s">
        <v>443</v>
      </c>
      <c r="B166" s="10" t="s">
        <v>473</v>
      </c>
      <c r="C166" s="11">
        <v>45371</v>
      </c>
      <c r="D166" s="70"/>
      <c r="E166" s="9" t="s">
        <v>485</v>
      </c>
      <c r="F166" s="28">
        <v>195</v>
      </c>
      <c r="G166" s="28"/>
      <c r="H166" s="12">
        <f t="shared" si="6"/>
        <v>195</v>
      </c>
      <c r="I166" s="12">
        <f t="shared" si="7"/>
        <v>9.75</v>
      </c>
      <c r="J166" s="12">
        <f t="shared" si="8"/>
        <v>204.75</v>
      </c>
      <c r="K166" s="13" t="s">
        <v>9</v>
      </c>
    </row>
    <row r="167" spans="1:11" x14ac:dyDescent="0.25">
      <c r="A167" s="9" t="s">
        <v>486</v>
      </c>
      <c r="B167" s="10" t="s">
        <v>474</v>
      </c>
      <c r="C167" s="11">
        <v>45377</v>
      </c>
      <c r="D167" s="70"/>
      <c r="E167" s="9" t="s">
        <v>487</v>
      </c>
      <c r="F167" s="28">
        <v>1725</v>
      </c>
      <c r="G167" s="28"/>
      <c r="H167" s="12">
        <f t="shared" si="6"/>
        <v>1725</v>
      </c>
      <c r="I167" s="12">
        <f t="shared" si="7"/>
        <v>86.25</v>
      </c>
      <c r="J167" s="12">
        <f t="shared" si="8"/>
        <v>1811.25</v>
      </c>
      <c r="K167" s="13" t="s">
        <v>78</v>
      </c>
    </row>
    <row r="168" spans="1:11" x14ac:dyDescent="0.25">
      <c r="A168" s="9" t="s">
        <v>488</v>
      </c>
      <c r="B168" s="10" t="s">
        <v>475</v>
      </c>
      <c r="C168" s="11">
        <v>45371</v>
      </c>
      <c r="D168" s="70"/>
      <c r="E168" s="9" t="s">
        <v>489</v>
      </c>
      <c r="F168" s="28">
        <v>1925</v>
      </c>
      <c r="G168" s="28"/>
      <c r="H168" s="12">
        <f t="shared" si="6"/>
        <v>1925</v>
      </c>
      <c r="I168" s="12">
        <f t="shared" si="7"/>
        <v>96.25</v>
      </c>
      <c r="J168" s="12">
        <f t="shared" si="8"/>
        <v>2021.25</v>
      </c>
      <c r="K168" s="13" t="s">
        <v>9</v>
      </c>
    </row>
    <row r="169" spans="1:11" x14ac:dyDescent="0.25">
      <c r="A169" s="9" t="s">
        <v>490</v>
      </c>
      <c r="B169" s="10" t="s">
        <v>476</v>
      </c>
      <c r="C169" s="11">
        <v>45372</v>
      </c>
      <c r="D169" s="70"/>
      <c r="E169" s="9" t="s">
        <v>491</v>
      </c>
      <c r="F169" s="28">
        <v>275</v>
      </c>
      <c r="G169" s="28"/>
      <c r="H169" s="12">
        <f t="shared" si="6"/>
        <v>275</v>
      </c>
      <c r="I169" s="12">
        <f t="shared" si="7"/>
        <v>13.75</v>
      </c>
      <c r="J169" s="12">
        <f t="shared" si="8"/>
        <v>288.75</v>
      </c>
      <c r="K169" s="13" t="s">
        <v>9</v>
      </c>
    </row>
    <row r="170" spans="1:11" x14ac:dyDescent="0.25">
      <c r="A170" s="9" t="s">
        <v>492</v>
      </c>
      <c r="B170" s="10" t="s">
        <v>477</v>
      </c>
      <c r="C170" s="11">
        <v>45372</v>
      </c>
      <c r="D170" s="70"/>
      <c r="E170" s="9" t="s">
        <v>493</v>
      </c>
      <c r="F170" s="28">
        <v>10260</v>
      </c>
      <c r="G170" s="28"/>
      <c r="H170" s="12">
        <f t="shared" si="6"/>
        <v>10260</v>
      </c>
      <c r="I170" s="12">
        <f t="shared" si="7"/>
        <v>513</v>
      </c>
      <c r="J170" s="12">
        <f t="shared" si="8"/>
        <v>10773</v>
      </c>
      <c r="K170" s="13" t="s">
        <v>9</v>
      </c>
    </row>
    <row r="171" spans="1:11" x14ac:dyDescent="0.25">
      <c r="A171" s="9" t="s">
        <v>494</v>
      </c>
      <c r="B171" s="10" t="s">
        <v>478</v>
      </c>
      <c r="C171" s="11">
        <v>45374</v>
      </c>
      <c r="D171" s="70"/>
      <c r="E171" s="9" t="s">
        <v>77</v>
      </c>
      <c r="F171" s="28">
        <v>285</v>
      </c>
      <c r="G171" s="28"/>
      <c r="H171" s="12">
        <f t="shared" si="6"/>
        <v>285</v>
      </c>
      <c r="I171" s="12">
        <f t="shared" si="7"/>
        <v>14.25</v>
      </c>
      <c r="J171" s="12">
        <f t="shared" si="8"/>
        <v>299.25</v>
      </c>
      <c r="K171" s="13" t="s">
        <v>9</v>
      </c>
    </row>
    <row r="172" spans="1:11" x14ac:dyDescent="0.25">
      <c r="A172" s="9" t="s">
        <v>81</v>
      </c>
      <c r="B172" s="10" t="s">
        <v>479</v>
      </c>
      <c r="C172" s="11">
        <v>45376</v>
      </c>
      <c r="D172" s="70"/>
      <c r="E172" s="9" t="s">
        <v>495</v>
      </c>
      <c r="F172" s="28">
        <v>1250</v>
      </c>
      <c r="G172" s="28"/>
      <c r="H172" s="12">
        <f t="shared" si="6"/>
        <v>1250</v>
      </c>
      <c r="I172" s="12">
        <f t="shared" si="7"/>
        <v>62.5</v>
      </c>
      <c r="J172" s="12">
        <f t="shared" si="8"/>
        <v>1312.5</v>
      </c>
      <c r="K172" s="13" t="s">
        <v>78</v>
      </c>
    </row>
    <row r="173" spans="1:11" x14ac:dyDescent="0.25">
      <c r="A173" s="9" t="s">
        <v>482</v>
      </c>
      <c r="B173" s="10" t="s">
        <v>480</v>
      </c>
      <c r="C173" s="11">
        <v>45374</v>
      </c>
      <c r="D173" s="70"/>
      <c r="E173" s="9" t="s">
        <v>483</v>
      </c>
      <c r="F173" s="28">
        <v>1275</v>
      </c>
      <c r="G173" s="28"/>
      <c r="H173" s="12">
        <f t="shared" si="6"/>
        <v>1275</v>
      </c>
      <c r="I173" s="12">
        <f t="shared" si="7"/>
        <v>63.75</v>
      </c>
      <c r="J173" s="12">
        <f t="shared" si="8"/>
        <v>1338.75</v>
      </c>
      <c r="K173" s="13" t="s">
        <v>9</v>
      </c>
    </row>
    <row r="174" spans="1:11" x14ac:dyDescent="0.25">
      <c r="A174" s="9" t="s">
        <v>492</v>
      </c>
      <c r="B174" s="10" t="s">
        <v>481</v>
      </c>
      <c r="C174" s="11">
        <v>45377</v>
      </c>
      <c r="D174" s="70"/>
      <c r="E174" s="9" t="s">
        <v>496</v>
      </c>
      <c r="F174" s="28">
        <v>185</v>
      </c>
      <c r="G174" s="28"/>
      <c r="H174" s="12">
        <f t="shared" si="6"/>
        <v>185</v>
      </c>
      <c r="I174" s="12">
        <f t="shared" si="7"/>
        <v>9.25</v>
      </c>
      <c r="J174" s="12">
        <f t="shared" si="8"/>
        <v>194.25</v>
      </c>
      <c r="K174" s="13" t="s">
        <v>9</v>
      </c>
    </row>
    <row r="175" spans="1:11" x14ac:dyDescent="0.25">
      <c r="A175" s="9" t="s">
        <v>10</v>
      </c>
      <c r="B175" s="10" t="s">
        <v>500</v>
      </c>
      <c r="C175" s="11">
        <v>45378</v>
      </c>
      <c r="D175" s="70"/>
      <c r="E175" s="9" t="s">
        <v>508</v>
      </c>
      <c r="F175" s="87">
        <v>145</v>
      </c>
      <c r="G175" s="28"/>
      <c r="H175" s="12">
        <f t="shared" si="6"/>
        <v>145</v>
      </c>
      <c r="I175" s="12">
        <f t="shared" si="7"/>
        <v>7.25</v>
      </c>
      <c r="J175" s="12">
        <f t="shared" si="8"/>
        <v>152.25</v>
      </c>
      <c r="K175" s="13" t="s">
        <v>9</v>
      </c>
    </row>
    <row r="176" spans="1:11" x14ac:dyDescent="0.25">
      <c r="A176" s="9" t="s">
        <v>10</v>
      </c>
      <c r="B176" s="10" t="s">
        <v>501</v>
      </c>
      <c r="C176" s="11">
        <v>45378</v>
      </c>
      <c r="D176" s="70"/>
      <c r="E176" s="9" t="s">
        <v>509</v>
      </c>
      <c r="F176" s="28">
        <v>450</v>
      </c>
      <c r="G176" s="28"/>
      <c r="H176" s="12">
        <f t="shared" si="6"/>
        <v>450</v>
      </c>
      <c r="I176" s="12">
        <f t="shared" si="7"/>
        <v>22.5</v>
      </c>
      <c r="J176" s="12">
        <f t="shared" si="8"/>
        <v>472.5</v>
      </c>
      <c r="K176" s="13" t="s">
        <v>9</v>
      </c>
    </row>
    <row r="177" spans="1:11" x14ac:dyDescent="0.25">
      <c r="A177" s="9" t="s">
        <v>10</v>
      </c>
      <c r="B177" s="10" t="s">
        <v>502</v>
      </c>
      <c r="C177" s="11">
        <v>45378</v>
      </c>
      <c r="D177" s="70"/>
      <c r="E177" s="9" t="s">
        <v>510</v>
      </c>
      <c r="F177" s="28">
        <f>210*3</f>
        <v>630</v>
      </c>
      <c r="G177" s="28"/>
      <c r="H177" s="12">
        <f t="shared" si="6"/>
        <v>630</v>
      </c>
      <c r="I177" s="12">
        <f t="shared" si="7"/>
        <v>31.5</v>
      </c>
      <c r="J177" s="12">
        <f t="shared" si="8"/>
        <v>661.5</v>
      </c>
      <c r="K177" s="13" t="s">
        <v>9</v>
      </c>
    </row>
    <row r="178" spans="1:11" x14ac:dyDescent="0.25">
      <c r="A178" s="9" t="s">
        <v>512</v>
      </c>
      <c r="B178" s="10" t="s">
        <v>503</v>
      </c>
      <c r="C178" s="11">
        <v>45377</v>
      </c>
      <c r="D178" s="70"/>
      <c r="E178" s="9" t="s">
        <v>511</v>
      </c>
      <c r="F178" s="28">
        <v>435</v>
      </c>
      <c r="G178" s="28"/>
      <c r="H178" s="12">
        <f t="shared" si="6"/>
        <v>435</v>
      </c>
      <c r="I178" s="12">
        <f t="shared" si="7"/>
        <v>21.75</v>
      </c>
      <c r="J178" s="12">
        <f t="shared" si="8"/>
        <v>456.75</v>
      </c>
      <c r="K178" s="13" t="s">
        <v>9</v>
      </c>
    </row>
    <row r="179" spans="1:11" x14ac:dyDescent="0.25">
      <c r="A179" s="9" t="s">
        <v>114</v>
      </c>
      <c r="B179" s="10" t="s">
        <v>504</v>
      </c>
      <c r="C179" s="11">
        <v>45378</v>
      </c>
      <c r="D179" s="70"/>
      <c r="E179" s="9" t="s">
        <v>514</v>
      </c>
      <c r="F179" s="28">
        <f>1190+425</f>
        <v>1615</v>
      </c>
      <c r="G179" s="28"/>
      <c r="H179" s="12">
        <f t="shared" si="6"/>
        <v>1615</v>
      </c>
      <c r="I179" s="12">
        <f t="shared" si="7"/>
        <v>80.75</v>
      </c>
      <c r="J179" s="12">
        <f t="shared" si="8"/>
        <v>1695.75</v>
      </c>
      <c r="K179" s="13" t="s">
        <v>9</v>
      </c>
    </row>
    <row r="180" spans="1:11" x14ac:dyDescent="0.25">
      <c r="A180" s="9" t="s">
        <v>515</v>
      </c>
      <c r="B180" s="10" t="s">
        <v>505</v>
      </c>
      <c r="C180" s="11">
        <v>45378</v>
      </c>
      <c r="D180" s="70"/>
      <c r="E180" s="9" t="s">
        <v>516</v>
      </c>
      <c r="F180" s="28">
        <f>3950+2970</f>
        <v>6920</v>
      </c>
      <c r="G180" s="28"/>
      <c r="H180" s="12">
        <f t="shared" si="6"/>
        <v>6920</v>
      </c>
      <c r="I180" s="12">
        <f t="shared" si="7"/>
        <v>346</v>
      </c>
      <c r="J180" s="12">
        <f t="shared" si="8"/>
        <v>7266</v>
      </c>
      <c r="K180" s="13" t="s">
        <v>78</v>
      </c>
    </row>
    <row r="181" spans="1:11" x14ac:dyDescent="0.25">
      <c r="A181" s="9" t="s">
        <v>81</v>
      </c>
      <c r="B181" s="10" t="s">
        <v>506</v>
      </c>
      <c r="C181" s="11">
        <v>45379</v>
      </c>
      <c r="D181" s="70"/>
      <c r="E181" s="9" t="s">
        <v>517</v>
      </c>
      <c r="F181" s="28">
        <v>350</v>
      </c>
      <c r="G181" s="28"/>
      <c r="H181" s="12">
        <f t="shared" si="6"/>
        <v>350</v>
      </c>
      <c r="I181" s="12">
        <f t="shared" si="7"/>
        <v>17.5</v>
      </c>
      <c r="J181" s="12">
        <f t="shared" si="8"/>
        <v>367.5</v>
      </c>
      <c r="K181" s="13" t="s">
        <v>78</v>
      </c>
    </row>
    <row r="182" spans="1:11" x14ac:dyDescent="0.25">
      <c r="A182" s="9" t="s">
        <v>513</v>
      </c>
      <c r="B182" s="10" t="s">
        <v>507</v>
      </c>
      <c r="C182" s="11">
        <v>45379</v>
      </c>
      <c r="D182" s="70"/>
      <c r="E182" s="9" t="s">
        <v>518</v>
      </c>
      <c r="F182" s="28">
        <f>1440</f>
        <v>1440</v>
      </c>
      <c r="G182" s="28"/>
      <c r="H182" s="12">
        <f t="shared" si="6"/>
        <v>1440</v>
      </c>
      <c r="I182" s="12">
        <f t="shared" si="7"/>
        <v>72</v>
      </c>
      <c r="J182" s="12">
        <f t="shared" si="8"/>
        <v>1512</v>
      </c>
      <c r="K182" s="13" t="s">
        <v>78</v>
      </c>
    </row>
    <row r="183" spans="1:11" x14ac:dyDescent="0.25">
      <c r="A183" s="9" t="s">
        <v>81</v>
      </c>
      <c r="B183" s="10" t="s">
        <v>519</v>
      </c>
      <c r="C183" s="11">
        <v>45379</v>
      </c>
      <c r="D183" s="70"/>
      <c r="E183" s="9" t="s">
        <v>523</v>
      </c>
      <c r="F183" s="28">
        <f>1100+6775</f>
        <v>7875</v>
      </c>
      <c r="G183" s="28"/>
      <c r="H183" s="12">
        <f t="shared" si="6"/>
        <v>7875</v>
      </c>
      <c r="I183" s="12">
        <f t="shared" si="7"/>
        <v>393.75</v>
      </c>
      <c r="J183" s="12">
        <f t="shared" si="8"/>
        <v>8268.75</v>
      </c>
      <c r="K183" s="13" t="s">
        <v>78</v>
      </c>
    </row>
    <row r="184" spans="1:11" x14ac:dyDescent="0.25">
      <c r="A184" s="9" t="s">
        <v>524</v>
      </c>
      <c r="B184" s="10" t="s">
        <v>520</v>
      </c>
      <c r="C184" s="11">
        <v>45381</v>
      </c>
      <c r="D184" s="70"/>
      <c r="E184" s="9" t="s">
        <v>525</v>
      </c>
      <c r="F184" s="28">
        <v>2300</v>
      </c>
      <c r="G184" s="28"/>
      <c r="H184" s="12">
        <f t="shared" si="6"/>
        <v>2300</v>
      </c>
      <c r="I184" s="12">
        <f t="shared" si="7"/>
        <v>115</v>
      </c>
      <c r="J184" s="12">
        <f t="shared" si="8"/>
        <v>2415</v>
      </c>
      <c r="K184" s="13" t="s">
        <v>9</v>
      </c>
    </row>
    <row r="185" spans="1:11" x14ac:dyDescent="0.25">
      <c r="A185" s="9" t="s">
        <v>43</v>
      </c>
      <c r="B185" s="10" t="s">
        <v>521</v>
      </c>
      <c r="C185" s="11">
        <v>45381</v>
      </c>
      <c r="D185" s="70"/>
      <c r="E185" s="9" t="s">
        <v>526</v>
      </c>
      <c r="F185" s="28">
        <v>792.5</v>
      </c>
      <c r="G185" s="28"/>
      <c r="H185" s="12">
        <f t="shared" si="6"/>
        <v>792.5</v>
      </c>
      <c r="I185" s="12">
        <f t="shared" si="7"/>
        <v>39.625</v>
      </c>
      <c r="J185" s="12">
        <f t="shared" si="8"/>
        <v>832.125</v>
      </c>
      <c r="K185" s="13" t="s">
        <v>9</v>
      </c>
    </row>
    <row r="186" spans="1:11" x14ac:dyDescent="0.25">
      <c r="A186" s="9" t="s">
        <v>10</v>
      </c>
      <c r="B186" s="10" t="s">
        <v>522</v>
      </c>
      <c r="C186" s="11">
        <v>45381</v>
      </c>
      <c r="D186" s="70"/>
      <c r="E186" s="9" t="s">
        <v>527</v>
      </c>
      <c r="F186" s="28">
        <f>1575</f>
        <v>1575</v>
      </c>
      <c r="G186" s="28"/>
      <c r="H186" s="12">
        <f t="shared" si="6"/>
        <v>1575</v>
      </c>
      <c r="I186" s="12">
        <f t="shared" si="7"/>
        <v>78.75</v>
      </c>
      <c r="J186" s="12">
        <f t="shared" si="8"/>
        <v>1653.75</v>
      </c>
      <c r="K186" s="13" t="s">
        <v>9</v>
      </c>
    </row>
    <row r="187" spans="1:11" x14ac:dyDescent="0.25">
      <c r="A187" s="9" t="s">
        <v>102</v>
      </c>
      <c r="B187" s="10" t="s">
        <v>528</v>
      </c>
      <c r="C187" s="11">
        <v>45381</v>
      </c>
      <c r="D187" s="70"/>
      <c r="E187" s="9" t="s">
        <v>532</v>
      </c>
      <c r="F187" s="28">
        <f>585</f>
        <v>585</v>
      </c>
      <c r="G187" s="28"/>
      <c r="H187" s="12">
        <f t="shared" si="6"/>
        <v>585</v>
      </c>
      <c r="I187" s="12">
        <f t="shared" si="7"/>
        <v>29.25</v>
      </c>
      <c r="J187" s="12">
        <f t="shared" si="8"/>
        <v>614.25</v>
      </c>
      <c r="K187" s="13" t="s">
        <v>9</v>
      </c>
    </row>
    <row r="188" spans="1:11" x14ac:dyDescent="0.25">
      <c r="A188" s="9" t="s">
        <v>236</v>
      </c>
      <c r="B188" s="10" t="s">
        <v>529</v>
      </c>
      <c r="C188" s="11">
        <v>45381</v>
      </c>
      <c r="D188" s="70"/>
      <c r="E188" s="9" t="s">
        <v>533</v>
      </c>
      <c r="F188" s="28">
        <v>60</v>
      </c>
      <c r="G188" s="28"/>
      <c r="H188" s="12">
        <f t="shared" si="6"/>
        <v>60</v>
      </c>
      <c r="I188" s="12">
        <f t="shared" si="7"/>
        <v>3</v>
      </c>
      <c r="J188" s="12">
        <f t="shared" si="8"/>
        <v>63</v>
      </c>
      <c r="K188" s="13" t="s">
        <v>9</v>
      </c>
    </row>
    <row r="189" spans="1:11" x14ac:dyDescent="0.25">
      <c r="A189" s="9" t="s">
        <v>236</v>
      </c>
      <c r="B189" s="10" t="s">
        <v>530</v>
      </c>
      <c r="C189" s="11">
        <v>45381</v>
      </c>
      <c r="D189" s="70"/>
      <c r="E189" s="9" t="s">
        <v>534</v>
      </c>
      <c r="F189" s="28">
        <v>94.5</v>
      </c>
      <c r="G189" s="28"/>
      <c r="H189" s="12">
        <f t="shared" ref="H189:H190" si="9">F189-G189</f>
        <v>94.5</v>
      </c>
      <c r="I189" s="12">
        <f t="shared" ref="I189:I190" si="10">F189*5%</f>
        <v>4.7250000000000005</v>
      </c>
      <c r="J189" s="12">
        <f t="shared" ref="J189:J190" si="11">F189+I189</f>
        <v>99.224999999999994</v>
      </c>
      <c r="K189" s="13" t="s">
        <v>9</v>
      </c>
    </row>
    <row r="190" spans="1:11" x14ac:dyDescent="0.25">
      <c r="A190" s="9" t="s">
        <v>535</v>
      </c>
      <c r="B190" s="10" t="s">
        <v>531</v>
      </c>
      <c r="C190" s="11">
        <v>45381</v>
      </c>
      <c r="D190" s="70"/>
      <c r="E190" s="9" t="s">
        <v>536</v>
      </c>
      <c r="F190" s="28">
        <f>30240</f>
        <v>30240</v>
      </c>
      <c r="G190" s="28"/>
      <c r="H190" s="12">
        <f t="shared" si="9"/>
        <v>30240</v>
      </c>
      <c r="I190" s="12">
        <f t="shared" si="10"/>
        <v>1512</v>
      </c>
      <c r="J190" s="12">
        <f t="shared" si="11"/>
        <v>31752</v>
      </c>
      <c r="K190" s="13" t="s">
        <v>78</v>
      </c>
    </row>
  </sheetData>
  <autoFilter ref="A1:O190" xr:uid="{48587071-5ABD-4A98-8031-74A0C22411B3}"/>
  <conditionalFormatting sqref="A1 A11:A1048576">
    <cfRule type="duplicateValues" dxfId="70" priority="13"/>
  </conditionalFormatting>
  <conditionalFormatting sqref="A1 D1 D11:D1048576 A11:A1048576">
    <cfRule type="duplicateValues" dxfId="69" priority="14"/>
  </conditionalFormatting>
  <conditionalFormatting sqref="A2 D2">
    <cfRule type="duplicateValues" dxfId="68" priority="6"/>
  </conditionalFormatting>
  <conditionalFormatting sqref="A2">
    <cfRule type="duplicateValues" dxfId="67" priority="10"/>
  </conditionalFormatting>
  <conditionalFormatting sqref="A3:A4 D3:D4">
    <cfRule type="duplicateValues" dxfId="66" priority="9"/>
  </conditionalFormatting>
  <conditionalFormatting sqref="A3:A4">
    <cfRule type="duplicateValues" dxfId="65" priority="7"/>
  </conditionalFormatting>
  <conditionalFormatting sqref="A9">
    <cfRule type="duplicateValues" dxfId="64" priority="1"/>
    <cfRule type="duplicateValues" dxfId="63" priority="2"/>
  </conditionalFormatting>
  <conditionalFormatting sqref="D1 D11:D1048576">
    <cfRule type="duplicateValues" dxfId="62" priority="12"/>
  </conditionalFormatting>
  <conditionalFormatting sqref="D1:D1048576 A1:A1048576">
    <cfRule type="duplicateValues" dxfId="61" priority="11"/>
  </conditionalFormatting>
  <conditionalFormatting sqref="D2">
    <cfRule type="duplicateValues" dxfId="60" priority="3"/>
    <cfRule type="duplicateValues" dxfId="59" priority="4"/>
    <cfRule type="duplicateValues" dxfId="58" priority="5"/>
  </conditionalFormatting>
  <conditionalFormatting sqref="D3:D4">
    <cfRule type="duplicateValues" dxfId="57" priority="8"/>
  </conditionalFormatting>
  <dataValidations count="2">
    <dataValidation type="list" allowBlank="1" showInputMessage="1" showErrorMessage="1" sqref="K154:K1048576 K1" xr:uid="{70F71B39-CD65-4D1E-8F63-D6DA72C9E83D}">
      <formula1>"DM, MARINELLE, REENA,GLEN, PROFORMA"</formula1>
    </dataValidation>
    <dataValidation type="list" allowBlank="1" showInputMessage="1" showErrorMessage="1" sqref="K2:K153" xr:uid="{E8ADC752-A988-4FBC-B508-4507D0B160FE}">
      <formula1>"DM, MARINELLE, REENA,GLEN, PROFORMA,MELVIN"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ACE5-96E0-4A67-AC18-BEC7568F8077}">
  <dimension ref="B3:F98"/>
  <sheetViews>
    <sheetView topLeftCell="A73" zoomScaleNormal="100" workbookViewId="0">
      <selection activeCell="K87" sqref="K87"/>
    </sheetView>
  </sheetViews>
  <sheetFormatPr defaultRowHeight="15" x14ac:dyDescent="0.25"/>
  <cols>
    <col min="2" max="2" width="47.85546875" customWidth="1"/>
    <col min="3" max="3" width="13.85546875" customWidth="1"/>
    <col min="4" max="4" width="14.140625" customWidth="1"/>
    <col min="5" max="5" width="12.85546875" customWidth="1"/>
    <col min="6" max="6" width="18" customWidth="1"/>
  </cols>
  <sheetData>
    <row r="3" spans="2:6" x14ac:dyDescent="0.25">
      <c r="C3" s="81" t="s">
        <v>60</v>
      </c>
      <c r="D3" s="81"/>
      <c r="E3" s="81"/>
      <c r="F3" s="81"/>
    </row>
    <row r="4" spans="2:6" x14ac:dyDescent="0.25">
      <c r="B4" t="s">
        <v>17</v>
      </c>
      <c r="C4" s="79" t="s">
        <v>18</v>
      </c>
      <c r="D4" s="79" t="s">
        <v>269</v>
      </c>
      <c r="E4" s="79" t="s">
        <v>401</v>
      </c>
      <c r="F4" s="79" t="s">
        <v>13</v>
      </c>
    </row>
    <row r="5" spans="2:6" x14ac:dyDescent="0.25">
      <c r="B5" t="s">
        <v>394</v>
      </c>
      <c r="C5" s="26"/>
      <c r="D5" s="26">
        <v>47.62</v>
      </c>
      <c r="E5" s="26"/>
      <c r="F5" s="26">
        <f>SUM(C5:E5)</f>
        <v>47.62</v>
      </c>
    </row>
    <row r="6" spans="2:6" x14ac:dyDescent="0.25">
      <c r="B6" t="s">
        <v>409</v>
      </c>
      <c r="C6" s="26"/>
      <c r="D6" s="26">
        <v>3150</v>
      </c>
      <c r="E6" s="26"/>
      <c r="F6" s="26">
        <f t="shared" ref="F6:F69" si="0">SUM(C6:E6)</f>
        <v>3150</v>
      </c>
    </row>
    <row r="7" spans="2:6" x14ac:dyDescent="0.25">
      <c r="B7" t="s">
        <v>386</v>
      </c>
      <c r="C7" s="26"/>
      <c r="D7" s="26">
        <v>3490</v>
      </c>
      <c r="E7" s="26"/>
      <c r="F7" s="26">
        <f t="shared" si="0"/>
        <v>3490</v>
      </c>
    </row>
    <row r="8" spans="2:6" x14ac:dyDescent="0.25">
      <c r="B8" t="s">
        <v>281</v>
      </c>
      <c r="C8" s="26"/>
      <c r="D8" s="26">
        <v>10965</v>
      </c>
      <c r="E8" s="26"/>
      <c r="F8" s="26">
        <f t="shared" si="0"/>
        <v>10965</v>
      </c>
    </row>
    <row r="9" spans="2:6" x14ac:dyDescent="0.25">
      <c r="B9" t="s">
        <v>365</v>
      </c>
      <c r="C9" s="26"/>
      <c r="D9" s="26">
        <v>2715</v>
      </c>
      <c r="E9" s="26"/>
      <c r="F9" s="26">
        <f t="shared" si="0"/>
        <v>2715</v>
      </c>
    </row>
    <row r="10" spans="2:6" x14ac:dyDescent="0.25">
      <c r="B10" t="s">
        <v>161</v>
      </c>
      <c r="C10" s="26">
        <v>995</v>
      </c>
      <c r="D10" s="26"/>
      <c r="E10" s="26"/>
      <c r="F10" s="26">
        <f t="shared" si="0"/>
        <v>995</v>
      </c>
    </row>
    <row r="11" spans="2:6" x14ac:dyDescent="0.25">
      <c r="B11" t="s">
        <v>299</v>
      </c>
      <c r="C11" s="26"/>
      <c r="D11" s="26">
        <v>1580</v>
      </c>
      <c r="E11" s="26">
        <v>1130</v>
      </c>
      <c r="F11" s="26">
        <f t="shared" si="0"/>
        <v>2710</v>
      </c>
    </row>
    <row r="12" spans="2:6" x14ac:dyDescent="0.25">
      <c r="B12" t="s">
        <v>177</v>
      </c>
      <c r="C12" s="26">
        <v>250</v>
      </c>
      <c r="D12" s="26">
        <v>3150</v>
      </c>
      <c r="E12" s="26"/>
      <c r="F12" s="26">
        <f t="shared" si="0"/>
        <v>3400</v>
      </c>
    </row>
    <row r="13" spans="2:6" x14ac:dyDescent="0.25">
      <c r="B13" t="s">
        <v>45</v>
      </c>
      <c r="C13" s="26">
        <v>6050</v>
      </c>
      <c r="D13" s="26"/>
      <c r="E13" s="26"/>
      <c r="F13" s="26">
        <f t="shared" si="0"/>
        <v>6050</v>
      </c>
    </row>
    <row r="14" spans="2:6" x14ac:dyDescent="0.25">
      <c r="B14" t="s">
        <v>43</v>
      </c>
      <c r="C14" s="26">
        <v>553.75</v>
      </c>
      <c r="D14" s="26">
        <v>2410.5</v>
      </c>
      <c r="E14" s="26">
        <f>+'REA Adv - Invoices'!G191</f>
        <v>792.5</v>
      </c>
      <c r="F14" s="26">
        <f t="shared" si="0"/>
        <v>3756.75</v>
      </c>
    </row>
    <row r="15" spans="2:6" x14ac:dyDescent="0.25">
      <c r="B15" t="s">
        <v>174</v>
      </c>
      <c r="C15" s="26">
        <v>745</v>
      </c>
      <c r="D15" s="26">
        <v>3150</v>
      </c>
      <c r="E15" s="26"/>
      <c r="F15" s="26">
        <f t="shared" si="0"/>
        <v>3895</v>
      </c>
    </row>
    <row r="16" spans="2:6" x14ac:dyDescent="0.25">
      <c r="B16" t="s">
        <v>180</v>
      </c>
      <c r="C16" s="26">
        <v>250</v>
      </c>
      <c r="D16" s="26"/>
      <c r="E16" s="26"/>
      <c r="F16" s="26">
        <f t="shared" si="0"/>
        <v>250</v>
      </c>
    </row>
    <row r="17" spans="2:6" x14ac:dyDescent="0.25">
      <c r="B17" t="s">
        <v>86</v>
      </c>
      <c r="C17" s="26">
        <v>825</v>
      </c>
      <c r="D17" s="26">
        <v>310</v>
      </c>
      <c r="E17" s="26"/>
      <c r="F17" s="26">
        <f t="shared" si="0"/>
        <v>1135</v>
      </c>
    </row>
    <row r="18" spans="2:6" x14ac:dyDescent="0.25">
      <c r="B18" t="s">
        <v>498</v>
      </c>
      <c r="C18" s="26"/>
      <c r="D18" s="26"/>
      <c r="E18" s="26">
        <v>1725</v>
      </c>
      <c r="F18" s="26">
        <f t="shared" si="0"/>
        <v>1725</v>
      </c>
    </row>
    <row r="19" spans="2:6" x14ac:dyDescent="0.25">
      <c r="B19" t="s">
        <v>147</v>
      </c>
      <c r="C19" s="26">
        <v>1250</v>
      </c>
      <c r="D19" s="26"/>
      <c r="E19" s="26"/>
      <c r="F19" s="26">
        <f t="shared" si="0"/>
        <v>1250</v>
      </c>
    </row>
    <row r="20" spans="2:6" x14ac:dyDescent="0.25">
      <c r="B20" t="s">
        <v>257</v>
      </c>
      <c r="C20" s="26">
        <v>14375</v>
      </c>
      <c r="D20" s="26"/>
      <c r="E20" s="26"/>
      <c r="F20" s="26">
        <f t="shared" si="0"/>
        <v>14375</v>
      </c>
    </row>
    <row r="21" spans="2:6" x14ac:dyDescent="0.25">
      <c r="B21" t="s">
        <v>499</v>
      </c>
      <c r="C21" s="26"/>
      <c r="D21" s="26"/>
      <c r="E21" s="26">
        <f>1925+'REA Adv - Invoices'!G184+'REA Adv - Invoices'!G190</f>
        <v>4660</v>
      </c>
      <c r="F21" s="26">
        <f t="shared" si="0"/>
        <v>4660</v>
      </c>
    </row>
    <row r="22" spans="2:6" x14ac:dyDescent="0.25">
      <c r="B22" t="s">
        <v>136</v>
      </c>
      <c r="C22" s="26">
        <v>3150</v>
      </c>
      <c r="D22" s="26"/>
      <c r="E22" s="26"/>
      <c r="F22" s="26">
        <f t="shared" si="0"/>
        <v>3150</v>
      </c>
    </row>
    <row r="23" spans="2:6" x14ac:dyDescent="0.25">
      <c r="B23" t="s">
        <v>241</v>
      </c>
      <c r="C23" s="26">
        <v>0</v>
      </c>
      <c r="D23" s="26"/>
      <c r="E23" s="26"/>
      <c r="F23" s="26">
        <f t="shared" si="0"/>
        <v>0</v>
      </c>
    </row>
    <row r="24" spans="2:6" x14ac:dyDescent="0.25">
      <c r="B24" t="s">
        <v>142</v>
      </c>
      <c r="C24" s="26"/>
      <c r="D24" s="26">
        <v>3835</v>
      </c>
      <c r="E24" s="26"/>
      <c r="F24" s="26">
        <f t="shared" si="0"/>
        <v>3835</v>
      </c>
    </row>
    <row r="25" spans="2:6" x14ac:dyDescent="0.25">
      <c r="B25" t="s">
        <v>346</v>
      </c>
      <c r="C25" s="26"/>
      <c r="D25" s="26">
        <v>1920</v>
      </c>
      <c r="E25" s="26"/>
      <c r="F25" s="26">
        <f t="shared" si="0"/>
        <v>1920</v>
      </c>
    </row>
    <row r="26" spans="2:6" x14ac:dyDescent="0.25">
      <c r="B26" t="s">
        <v>538</v>
      </c>
      <c r="C26" s="26"/>
      <c r="D26" s="26"/>
      <c r="E26" s="26">
        <f>+'REA Adv - Invoices'!G186</f>
        <v>6920</v>
      </c>
      <c r="F26" s="26">
        <f t="shared" si="0"/>
        <v>6920</v>
      </c>
    </row>
    <row r="27" spans="2:6" x14ac:dyDescent="0.25">
      <c r="B27" t="s">
        <v>203</v>
      </c>
      <c r="C27" s="26">
        <v>19193.5</v>
      </c>
      <c r="D27" s="26"/>
      <c r="E27" s="26"/>
      <c r="F27" s="26">
        <f t="shared" si="0"/>
        <v>19193.5</v>
      </c>
    </row>
    <row r="28" spans="2:6" x14ac:dyDescent="0.25">
      <c r="B28" t="s">
        <v>337</v>
      </c>
      <c r="C28" s="26"/>
      <c r="D28" s="26">
        <v>892.5</v>
      </c>
      <c r="E28" s="26"/>
      <c r="F28" s="26">
        <f t="shared" si="0"/>
        <v>892.5</v>
      </c>
    </row>
    <row r="29" spans="2:6" x14ac:dyDescent="0.25">
      <c r="B29" t="s">
        <v>231</v>
      </c>
      <c r="C29" s="26">
        <v>300</v>
      </c>
      <c r="D29" s="26"/>
      <c r="E29" s="26"/>
      <c r="F29" s="26">
        <f t="shared" si="0"/>
        <v>300</v>
      </c>
    </row>
    <row r="30" spans="2:6" x14ac:dyDescent="0.25">
      <c r="B30" t="s">
        <v>266</v>
      </c>
      <c r="C30" s="26"/>
      <c r="D30" s="26">
        <v>1400</v>
      </c>
      <c r="E30" s="26"/>
      <c r="F30" s="26">
        <f t="shared" si="0"/>
        <v>1400</v>
      </c>
    </row>
    <row r="31" spans="2:6" x14ac:dyDescent="0.25">
      <c r="B31" t="s">
        <v>26</v>
      </c>
      <c r="C31" s="26">
        <v>1315</v>
      </c>
      <c r="D31" s="26"/>
      <c r="E31" s="26"/>
      <c r="F31" s="26">
        <f t="shared" si="0"/>
        <v>1315</v>
      </c>
    </row>
    <row r="32" spans="2:6" x14ac:dyDescent="0.25">
      <c r="B32" t="s">
        <v>163</v>
      </c>
      <c r="C32" s="26">
        <v>95</v>
      </c>
      <c r="D32" s="26"/>
      <c r="E32" s="26"/>
      <c r="F32" s="26">
        <f t="shared" si="0"/>
        <v>95</v>
      </c>
    </row>
    <row r="33" spans="2:6" x14ac:dyDescent="0.25">
      <c r="B33" t="s">
        <v>92</v>
      </c>
      <c r="C33" s="26">
        <v>1690</v>
      </c>
      <c r="D33" s="26"/>
      <c r="E33" s="26"/>
      <c r="F33" s="26">
        <f t="shared" si="0"/>
        <v>1690</v>
      </c>
    </row>
    <row r="34" spans="2:6" x14ac:dyDescent="0.25">
      <c r="B34" t="s">
        <v>100</v>
      </c>
      <c r="C34" s="26">
        <v>120</v>
      </c>
      <c r="D34" s="26">
        <v>190</v>
      </c>
      <c r="E34" s="26"/>
      <c r="F34" s="26">
        <f t="shared" si="0"/>
        <v>310</v>
      </c>
    </row>
    <row r="35" spans="2:6" x14ac:dyDescent="0.25">
      <c r="B35" t="s">
        <v>345</v>
      </c>
      <c r="C35" s="26"/>
      <c r="D35" s="26">
        <v>8850</v>
      </c>
      <c r="E35" s="26"/>
      <c r="F35" s="26">
        <f t="shared" si="0"/>
        <v>8850</v>
      </c>
    </row>
    <row r="36" spans="2:6" x14ac:dyDescent="0.25">
      <c r="B36" t="s">
        <v>436</v>
      </c>
      <c r="C36" s="26"/>
      <c r="D36" s="26"/>
      <c r="E36" s="26">
        <v>925</v>
      </c>
      <c r="F36" s="26">
        <f t="shared" si="0"/>
        <v>925</v>
      </c>
    </row>
    <row r="37" spans="2:6" x14ac:dyDescent="0.25">
      <c r="B37" t="s">
        <v>497</v>
      </c>
      <c r="C37" s="26"/>
      <c r="D37" s="26"/>
      <c r="E37" s="26">
        <v>285</v>
      </c>
      <c r="F37" s="26">
        <f t="shared" si="0"/>
        <v>285</v>
      </c>
    </row>
    <row r="38" spans="2:6" x14ac:dyDescent="0.25">
      <c r="B38" t="s">
        <v>48</v>
      </c>
      <c r="C38" s="26">
        <v>8360</v>
      </c>
      <c r="D38" s="26"/>
      <c r="E38" s="26"/>
      <c r="F38" s="26">
        <f t="shared" si="0"/>
        <v>8360</v>
      </c>
    </row>
    <row r="39" spans="2:6" x14ac:dyDescent="0.25">
      <c r="B39" t="s">
        <v>324</v>
      </c>
      <c r="C39" s="26"/>
      <c r="D39" s="26">
        <v>1225</v>
      </c>
      <c r="E39" s="26"/>
      <c r="F39" s="26">
        <f t="shared" si="0"/>
        <v>1225</v>
      </c>
    </row>
    <row r="40" spans="2:6" x14ac:dyDescent="0.25">
      <c r="B40" t="s">
        <v>122</v>
      </c>
      <c r="C40" s="26">
        <v>4475</v>
      </c>
      <c r="D40" s="26"/>
      <c r="E40" s="26">
        <v>22177.5</v>
      </c>
      <c r="F40" s="26">
        <f t="shared" si="0"/>
        <v>26652.5</v>
      </c>
    </row>
    <row r="41" spans="2:6" x14ac:dyDescent="0.25">
      <c r="B41" t="s">
        <v>540</v>
      </c>
      <c r="C41" s="26"/>
      <c r="D41" s="26"/>
      <c r="E41" s="26">
        <f>+'REA Adv - Invoices'!G196</f>
        <v>2358.75</v>
      </c>
      <c r="F41" s="26">
        <f t="shared" si="0"/>
        <v>2358.75</v>
      </c>
    </row>
    <row r="42" spans="2:6" x14ac:dyDescent="0.25">
      <c r="B42" t="s">
        <v>253</v>
      </c>
      <c r="C42" s="26">
        <v>1060</v>
      </c>
      <c r="D42" s="26"/>
      <c r="E42" s="26"/>
      <c r="F42" s="26">
        <f t="shared" si="0"/>
        <v>1060</v>
      </c>
    </row>
    <row r="43" spans="2:6" x14ac:dyDescent="0.25">
      <c r="B43" t="s">
        <v>199</v>
      </c>
      <c r="C43" s="26">
        <v>1125</v>
      </c>
      <c r="D43" s="26">
        <v>225</v>
      </c>
      <c r="E43" s="26"/>
      <c r="F43" s="26">
        <f t="shared" si="0"/>
        <v>1350</v>
      </c>
    </row>
    <row r="44" spans="2:6" x14ac:dyDescent="0.25">
      <c r="B44" t="s">
        <v>102</v>
      </c>
      <c r="C44" s="26">
        <v>4813</v>
      </c>
      <c r="D44" s="26">
        <v>165010.85</v>
      </c>
      <c r="E44" s="26">
        <f>+'REA Adv - Invoices'!G193</f>
        <v>585</v>
      </c>
      <c r="F44" s="26">
        <f t="shared" si="0"/>
        <v>170408.85</v>
      </c>
    </row>
    <row r="45" spans="2:6" x14ac:dyDescent="0.25">
      <c r="B45" t="s">
        <v>72</v>
      </c>
      <c r="C45" s="26">
        <v>227.90700000000001</v>
      </c>
      <c r="D45" s="26"/>
      <c r="E45" s="26"/>
      <c r="F45" s="26">
        <f t="shared" si="0"/>
        <v>227.90700000000001</v>
      </c>
    </row>
    <row r="46" spans="2:6" x14ac:dyDescent="0.25">
      <c r="B46" t="s">
        <v>357</v>
      </c>
      <c r="C46" s="26"/>
      <c r="D46" s="26">
        <v>420</v>
      </c>
      <c r="E46" s="26">
        <v>185</v>
      </c>
      <c r="F46" s="26">
        <f t="shared" si="0"/>
        <v>605</v>
      </c>
    </row>
    <row r="47" spans="2:6" x14ac:dyDescent="0.25">
      <c r="B47" t="s">
        <v>94</v>
      </c>
      <c r="C47" s="26">
        <v>310</v>
      </c>
      <c r="D47" s="26"/>
      <c r="E47" s="26"/>
      <c r="F47" s="26">
        <f t="shared" si="0"/>
        <v>310</v>
      </c>
    </row>
    <row r="48" spans="2:6" x14ac:dyDescent="0.25">
      <c r="B48" t="s">
        <v>290</v>
      </c>
      <c r="C48" s="26"/>
      <c r="D48" s="26">
        <v>779</v>
      </c>
      <c r="E48" s="26"/>
      <c r="F48" s="26">
        <f t="shared" si="0"/>
        <v>779</v>
      </c>
    </row>
    <row r="49" spans="2:6" x14ac:dyDescent="0.25">
      <c r="B49" t="s">
        <v>97</v>
      </c>
      <c r="C49" s="26">
        <v>5975</v>
      </c>
      <c r="D49" s="26"/>
      <c r="E49" s="26"/>
      <c r="F49" s="26">
        <f t="shared" si="0"/>
        <v>5975</v>
      </c>
    </row>
    <row r="50" spans="2:6" x14ac:dyDescent="0.25">
      <c r="B50" t="s">
        <v>319</v>
      </c>
      <c r="C50" s="26"/>
      <c r="D50" s="26">
        <v>13000</v>
      </c>
      <c r="E50" s="26"/>
      <c r="F50" s="26">
        <f t="shared" si="0"/>
        <v>13000</v>
      </c>
    </row>
    <row r="51" spans="2:6" x14ac:dyDescent="0.25">
      <c r="B51" t="s">
        <v>292</v>
      </c>
      <c r="C51" s="26"/>
      <c r="D51" s="26">
        <v>140</v>
      </c>
      <c r="E51" s="26"/>
      <c r="F51" s="26">
        <f t="shared" si="0"/>
        <v>140</v>
      </c>
    </row>
    <row r="52" spans="2:6" x14ac:dyDescent="0.25">
      <c r="B52" t="s">
        <v>182</v>
      </c>
      <c r="C52" s="26">
        <v>200</v>
      </c>
      <c r="D52" s="26"/>
      <c r="E52" s="26"/>
      <c r="F52" s="26">
        <f t="shared" si="0"/>
        <v>200</v>
      </c>
    </row>
    <row r="53" spans="2:6" x14ac:dyDescent="0.25">
      <c r="B53" t="s">
        <v>379</v>
      </c>
      <c r="C53" s="26"/>
      <c r="D53" s="26">
        <v>6775</v>
      </c>
      <c r="E53" s="26"/>
      <c r="F53" s="26">
        <f t="shared" si="0"/>
        <v>6775</v>
      </c>
    </row>
    <row r="54" spans="2:6" x14ac:dyDescent="0.25">
      <c r="B54" t="s">
        <v>81</v>
      </c>
      <c r="C54" s="26">
        <v>1250</v>
      </c>
      <c r="D54" s="26"/>
      <c r="E54" s="26">
        <f>1250+'REA Adv - Invoices'!G187+'REA Adv - Invoices'!G189</f>
        <v>9475</v>
      </c>
      <c r="F54" s="26">
        <f t="shared" si="0"/>
        <v>10725</v>
      </c>
    </row>
    <row r="55" spans="2:6" x14ac:dyDescent="0.25">
      <c r="B55" t="s">
        <v>89</v>
      </c>
      <c r="C55" s="26">
        <v>4252.5</v>
      </c>
      <c r="D55" s="26"/>
      <c r="E55" s="26"/>
      <c r="F55" s="26">
        <f t="shared" si="0"/>
        <v>4252.5</v>
      </c>
    </row>
    <row r="56" spans="2:6" x14ac:dyDescent="0.25">
      <c r="B56" t="s">
        <v>75</v>
      </c>
      <c r="C56" s="26">
        <v>475</v>
      </c>
      <c r="D56" s="26">
        <v>1347.5</v>
      </c>
      <c r="E56" s="26"/>
      <c r="F56" s="26">
        <f t="shared" si="0"/>
        <v>1822.5</v>
      </c>
    </row>
    <row r="57" spans="2:6" x14ac:dyDescent="0.25">
      <c r="B57" t="s">
        <v>539</v>
      </c>
      <c r="C57" s="26"/>
      <c r="D57" s="26"/>
      <c r="E57" s="26">
        <f>+'REA Adv - Invoices'!G188</f>
        <v>1440</v>
      </c>
      <c r="F57" s="26">
        <f t="shared" si="0"/>
        <v>1440</v>
      </c>
    </row>
    <row r="58" spans="2:6" x14ac:dyDescent="0.25">
      <c r="B58" t="s">
        <v>56</v>
      </c>
      <c r="C58" s="26">
        <v>530</v>
      </c>
      <c r="D58" s="26"/>
      <c r="E58" s="26"/>
      <c r="F58" s="26">
        <f t="shared" si="0"/>
        <v>530</v>
      </c>
    </row>
    <row r="59" spans="2:6" x14ac:dyDescent="0.25">
      <c r="B59" t="s">
        <v>263</v>
      </c>
      <c r="C59" s="26"/>
      <c r="D59" s="26">
        <v>3150</v>
      </c>
      <c r="E59" s="26"/>
      <c r="F59" s="26">
        <f t="shared" si="0"/>
        <v>3150</v>
      </c>
    </row>
    <row r="60" spans="2:6" x14ac:dyDescent="0.25">
      <c r="B60" t="s">
        <v>172</v>
      </c>
      <c r="C60" s="26">
        <v>400</v>
      </c>
      <c r="D60" s="26"/>
      <c r="E60" s="26"/>
      <c r="F60" s="26">
        <f t="shared" si="0"/>
        <v>400</v>
      </c>
    </row>
    <row r="61" spans="2:6" x14ac:dyDescent="0.25">
      <c r="B61" t="s">
        <v>195</v>
      </c>
      <c r="C61" s="26">
        <v>4687.5</v>
      </c>
      <c r="D61" s="26"/>
      <c r="E61" s="26"/>
      <c r="F61" s="26">
        <f t="shared" si="0"/>
        <v>4687.5</v>
      </c>
    </row>
    <row r="62" spans="2:6" x14ac:dyDescent="0.25">
      <c r="B62" t="s">
        <v>460</v>
      </c>
      <c r="C62" s="26"/>
      <c r="D62" s="26"/>
      <c r="E62" s="26">
        <f>+'REA Adv - Invoices'!G165</f>
        <v>750</v>
      </c>
      <c r="F62" s="26">
        <f t="shared" si="0"/>
        <v>750</v>
      </c>
    </row>
    <row r="63" spans="2:6" x14ac:dyDescent="0.25">
      <c r="B63" t="s">
        <v>29</v>
      </c>
      <c r="C63" s="26">
        <v>10803.35</v>
      </c>
      <c r="D63" s="26"/>
      <c r="E63" s="26">
        <f>275+'REA Adv - Invoices'!G169+10720</f>
        <v>11270</v>
      </c>
      <c r="F63" s="26">
        <f t="shared" si="0"/>
        <v>22073.35</v>
      </c>
    </row>
    <row r="64" spans="2:6" x14ac:dyDescent="0.25">
      <c r="B64" t="s">
        <v>398</v>
      </c>
      <c r="C64" s="26"/>
      <c r="D64" s="26"/>
      <c r="E64" s="26">
        <v>1125</v>
      </c>
      <c r="F64" s="26">
        <f t="shared" si="0"/>
        <v>1125</v>
      </c>
    </row>
    <row r="65" spans="2:6" x14ac:dyDescent="0.25">
      <c r="B65" t="s">
        <v>321</v>
      </c>
      <c r="C65" s="26"/>
      <c r="D65" s="26">
        <v>525</v>
      </c>
      <c r="E65" s="26">
        <v>550</v>
      </c>
      <c r="F65" s="26">
        <f t="shared" si="0"/>
        <v>1075</v>
      </c>
    </row>
    <row r="66" spans="2:6" x14ac:dyDescent="0.25">
      <c r="B66" t="s">
        <v>229</v>
      </c>
      <c r="C66" s="26">
        <v>525</v>
      </c>
      <c r="D66" s="26"/>
      <c r="E66" s="26"/>
      <c r="F66" s="26">
        <f t="shared" si="0"/>
        <v>525</v>
      </c>
    </row>
    <row r="67" spans="2:6" x14ac:dyDescent="0.25">
      <c r="B67" t="s">
        <v>482</v>
      </c>
      <c r="C67" s="26"/>
      <c r="D67" s="26"/>
      <c r="E67" s="26">
        <v>6625</v>
      </c>
      <c r="F67" s="26">
        <f t="shared" si="0"/>
        <v>6625</v>
      </c>
    </row>
    <row r="68" spans="2:6" x14ac:dyDescent="0.25">
      <c r="B68" t="s">
        <v>167</v>
      </c>
      <c r="C68" s="26">
        <v>5781</v>
      </c>
      <c r="D68" s="26"/>
      <c r="E68" s="26"/>
      <c r="F68" s="26">
        <f t="shared" si="0"/>
        <v>5781</v>
      </c>
    </row>
    <row r="69" spans="2:6" x14ac:dyDescent="0.25">
      <c r="B69" t="s">
        <v>119</v>
      </c>
      <c r="C69" s="26">
        <v>14677.74</v>
      </c>
      <c r="D69" s="26"/>
      <c r="E69" s="26"/>
      <c r="F69" s="26">
        <f t="shared" si="0"/>
        <v>14677.74</v>
      </c>
    </row>
    <row r="70" spans="2:6" x14ac:dyDescent="0.25">
      <c r="B70" t="s">
        <v>139</v>
      </c>
      <c r="C70" s="26">
        <v>380</v>
      </c>
      <c r="D70" s="26"/>
      <c r="E70" s="26"/>
      <c r="F70" s="26">
        <f t="shared" ref="F70:F85" si="1">SUM(C70:E70)</f>
        <v>380</v>
      </c>
    </row>
    <row r="71" spans="2:6" x14ac:dyDescent="0.25">
      <c r="B71" t="s">
        <v>184</v>
      </c>
      <c r="C71" s="26">
        <v>3950</v>
      </c>
      <c r="D71" s="26"/>
      <c r="E71" s="26"/>
      <c r="F71" s="26">
        <f t="shared" si="1"/>
        <v>3950</v>
      </c>
    </row>
    <row r="72" spans="2:6" x14ac:dyDescent="0.25">
      <c r="B72" t="s">
        <v>238</v>
      </c>
      <c r="C72" s="26">
        <v>150</v>
      </c>
      <c r="D72" s="26">
        <v>915</v>
      </c>
      <c r="E72" s="26"/>
      <c r="F72" s="26">
        <f t="shared" si="1"/>
        <v>1065</v>
      </c>
    </row>
    <row r="73" spans="2:6" x14ac:dyDescent="0.25">
      <c r="B73" t="s">
        <v>276</v>
      </c>
      <c r="C73" s="26"/>
      <c r="D73" s="26">
        <v>625</v>
      </c>
      <c r="E73" s="26"/>
      <c r="F73" s="26">
        <f t="shared" si="1"/>
        <v>625</v>
      </c>
    </row>
    <row r="74" spans="2:6" x14ac:dyDescent="0.25">
      <c r="B74" t="s">
        <v>244</v>
      </c>
      <c r="C74" s="26">
        <v>1250</v>
      </c>
      <c r="D74" s="26"/>
      <c r="E74" s="26"/>
      <c r="F74" s="26">
        <f t="shared" si="1"/>
        <v>1250</v>
      </c>
    </row>
    <row r="75" spans="2:6" x14ac:dyDescent="0.25">
      <c r="B75" t="s">
        <v>10</v>
      </c>
      <c r="C75" s="26">
        <v>9650.49</v>
      </c>
      <c r="D75" s="26">
        <v>16015.5</v>
      </c>
      <c r="E75" s="26">
        <f>1960+'REA Adv - Invoices'!G162+'REA Adv - Invoices'!G163+'REA Adv - Invoices'!G164+'REA Adv - Invoices'!G167+'REA Adv - Invoices'!G168+290+'REA Adv - Invoices'!G181+'REA Adv - Invoices'!G182+'REA Adv - Invoices'!G183+'REA Adv - Invoices'!G192</f>
        <v>18431</v>
      </c>
      <c r="F75" s="26">
        <f t="shared" si="1"/>
        <v>44096.99</v>
      </c>
    </row>
    <row r="76" spans="2:6" x14ac:dyDescent="0.25">
      <c r="B76" t="s">
        <v>297</v>
      </c>
      <c r="C76" s="26"/>
      <c r="D76" s="26">
        <v>989</v>
      </c>
      <c r="E76" s="26"/>
      <c r="F76" s="26">
        <f t="shared" si="1"/>
        <v>989</v>
      </c>
    </row>
    <row r="77" spans="2:6" x14ac:dyDescent="0.25">
      <c r="B77" t="s">
        <v>450</v>
      </c>
      <c r="C77" s="26"/>
      <c r="D77" s="26">
        <v>1925</v>
      </c>
      <c r="E77" s="26"/>
      <c r="F77" s="26">
        <f t="shared" si="1"/>
        <v>1925</v>
      </c>
    </row>
    <row r="78" spans="2:6" x14ac:dyDescent="0.25">
      <c r="B78" t="s">
        <v>443</v>
      </c>
      <c r="C78" s="26"/>
      <c r="D78" s="26"/>
      <c r="E78" s="26">
        <f>210+195</f>
        <v>405</v>
      </c>
      <c r="F78" s="26">
        <f t="shared" si="1"/>
        <v>405</v>
      </c>
    </row>
    <row r="79" spans="2:6" x14ac:dyDescent="0.25">
      <c r="B79" t="s">
        <v>330</v>
      </c>
      <c r="C79" s="26"/>
      <c r="D79" s="26">
        <v>3335</v>
      </c>
      <c r="E79" s="26"/>
      <c r="F79" s="26">
        <f t="shared" si="1"/>
        <v>3335</v>
      </c>
    </row>
    <row r="80" spans="2:6" x14ac:dyDescent="0.25">
      <c r="B80" t="s">
        <v>22</v>
      </c>
      <c r="C80" s="26">
        <v>405</v>
      </c>
      <c r="D80" s="26"/>
      <c r="E80" s="26">
        <v>540</v>
      </c>
      <c r="F80" s="26">
        <f t="shared" si="1"/>
        <v>945</v>
      </c>
    </row>
    <row r="81" spans="2:6" x14ac:dyDescent="0.25">
      <c r="B81" t="s">
        <v>114</v>
      </c>
      <c r="C81" s="26">
        <v>5975</v>
      </c>
      <c r="D81" s="26">
        <v>3000</v>
      </c>
      <c r="E81" s="26">
        <f>810+'REA Adv - Invoices'!G166+'REA Adv - Invoices'!G185</f>
        <v>2830</v>
      </c>
      <c r="F81" s="26">
        <f t="shared" si="1"/>
        <v>11805</v>
      </c>
    </row>
    <row r="82" spans="2:6" x14ac:dyDescent="0.25">
      <c r="B82" t="s">
        <v>221</v>
      </c>
      <c r="C82" s="26">
        <v>1140</v>
      </c>
      <c r="D82" s="26"/>
      <c r="E82" s="26"/>
      <c r="F82" s="26">
        <f t="shared" si="1"/>
        <v>1140</v>
      </c>
    </row>
    <row r="83" spans="2:6" x14ac:dyDescent="0.25">
      <c r="B83" t="s">
        <v>236</v>
      </c>
      <c r="C83" s="26">
        <v>375</v>
      </c>
      <c r="D83" s="26">
        <v>195</v>
      </c>
      <c r="E83" s="26">
        <f>+'REA Adv - Invoices'!G194+'REA Adv - Invoices'!G195</f>
        <v>150</v>
      </c>
      <c r="F83" s="26">
        <f t="shared" si="1"/>
        <v>720</v>
      </c>
    </row>
    <row r="84" spans="2:6" x14ac:dyDescent="0.25">
      <c r="B84" t="s">
        <v>49</v>
      </c>
      <c r="C84" s="26">
        <v>5373</v>
      </c>
      <c r="D84" s="26"/>
      <c r="E84" s="26"/>
      <c r="F84" s="26">
        <f t="shared" si="1"/>
        <v>5373</v>
      </c>
    </row>
    <row r="85" spans="2:6" x14ac:dyDescent="0.25">
      <c r="B85" t="s">
        <v>262</v>
      </c>
      <c r="C85" s="26">
        <v>1780</v>
      </c>
      <c r="D85" s="26"/>
      <c r="E85" s="26"/>
      <c r="F85" s="26">
        <f t="shared" si="1"/>
        <v>1780</v>
      </c>
    </row>
    <row r="86" spans="2:6" x14ac:dyDescent="0.25">
      <c r="C86" s="26"/>
      <c r="D86" s="26"/>
      <c r="E86" s="26"/>
      <c r="F86" s="26"/>
    </row>
    <row r="87" spans="2:6" x14ac:dyDescent="0.25">
      <c r="B87" s="79" t="s">
        <v>13</v>
      </c>
      <c r="C87" s="80">
        <f>SUM(C5:C85)</f>
        <v>151513.73700000002</v>
      </c>
      <c r="D87" s="80">
        <f>SUM(D5:D85)</f>
        <v>267652.46999999997</v>
      </c>
      <c r="E87" s="80">
        <f>SUM(E5:E85)</f>
        <v>95334.75</v>
      </c>
      <c r="F87" s="80">
        <f>SUM(F5:F85)</f>
        <v>514500.95699999994</v>
      </c>
    </row>
    <row r="91" spans="2:6" ht="15.75" thickBot="1" x14ac:dyDescent="0.3"/>
    <row r="92" spans="2:6" ht="15.75" thickBot="1" x14ac:dyDescent="0.3">
      <c r="B92" s="82" t="s">
        <v>14</v>
      </c>
      <c r="C92" s="83" t="s">
        <v>60</v>
      </c>
      <c r="D92" s="83"/>
      <c r="E92" s="83"/>
      <c r="F92" s="83"/>
    </row>
    <row r="93" spans="2:6" ht="15.75" thickBot="1" x14ac:dyDescent="0.3">
      <c r="B93" s="82" t="s">
        <v>15</v>
      </c>
      <c r="C93" s="83" t="s">
        <v>18</v>
      </c>
      <c r="D93" s="83" t="s">
        <v>269</v>
      </c>
      <c r="E93" s="83" t="s">
        <v>401</v>
      </c>
      <c r="F93" s="83" t="s">
        <v>13</v>
      </c>
    </row>
    <row r="94" spans="2:6" ht="15.75" thickBot="1" x14ac:dyDescent="0.3">
      <c r="B94" s="82" t="s">
        <v>25</v>
      </c>
      <c r="C94" s="84"/>
      <c r="D94" s="84">
        <v>11212.860000000002</v>
      </c>
      <c r="E94" s="84"/>
      <c r="F94" s="84">
        <f>SUM(C94:E94)</f>
        <v>11212.860000000002</v>
      </c>
    </row>
    <row r="95" spans="2:6" ht="15.75" thickBot="1" x14ac:dyDescent="0.3">
      <c r="B95" s="82" t="s">
        <v>9</v>
      </c>
      <c r="C95" s="84">
        <v>76931.497000000003</v>
      </c>
      <c r="D95" s="84">
        <v>228941.61000000002</v>
      </c>
      <c r="E95" s="84">
        <f>28757.5+'REA Adv - Invoices'!G162+'REA Adv - Invoices'!G163+'REA Adv - Invoices'!G164+'REA Adv - Invoices'!G166+'REA Adv - Invoices'!G167+'REA Adv - Invoices'!G168+'REA Adv - Invoices'!G169+20040+'REA Adv - Invoices'!G181+'REA Adv - Invoices'!G182+'REA Adv - Invoices'!G183+'REA Adv - Invoices'!G184+'REA Adv - Invoices'!G185+'REA Adv - Invoices'!G190+'REA Adv - Invoices'!G191+'REA Adv - Invoices'!G192+'REA Adv - Invoices'!G193+'REA Adv - Invoices'!G194+'REA Adv - Invoices'!G195</f>
        <v>71536</v>
      </c>
      <c r="F95" s="84">
        <f t="shared" ref="F95:F97" si="2">SUM(C95:E95)</f>
        <v>377409.10700000002</v>
      </c>
    </row>
    <row r="96" spans="2:6" ht="15.75" thickBot="1" x14ac:dyDescent="0.3">
      <c r="B96" s="82" t="s">
        <v>78</v>
      </c>
      <c r="C96" s="84">
        <v>68501.239999999991</v>
      </c>
      <c r="D96" s="84">
        <v>27498</v>
      </c>
      <c r="E96" s="84">
        <f>1130+750+2975+'REA Adv - Invoices'!G186+'REA Adv - Invoices'!G187+'REA Adv - Invoices'!G188+'REA Adv - Invoices'!G189+'REA Adv - Invoices'!G196</f>
        <v>23798.75</v>
      </c>
      <c r="F96" s="84">
        <f t="shared" si="2"/>
        <v>119797.98999999999</v>
      </c>
    </row>
    <row r="97" spans="2:6" ht="15.75" thickBot="1" x14ac:dyDescent="0.3">
      <c r="B97" s="82" t="s">
        <v>169</v>
      </c>
      <c r="C97" s="84">
        <v>6081</v>
      </c>
      <c r="D97" s="84"/>
      <c r="E97" s="84"/>
      <c r="F97" s="84">
        <f t="shared" si="2"/>
        <v>6081</v>
      </c>
    </row>
    <row r="98" spans="2:6" ht="15.75" thickBot="1" x14ac:dyDescent="0.3">
      <c r="B98" s="82" t="s">
        <v>13</v>
      </c>
      <c r="C98" s="85">
        <f>SUM(C94:C97)</f>
        <v>151513.73699999999</v>
      </c>
      <c r="D98" s="85">
        <f t="shared" ref="D98:F98" si="3">SUM(D94:D97)</f>
        <v>267652.47000000003</v>
      </c>
      <c r="E98" s="85">
        <f t="shared" si="3"/>
        <v>95334.75</v>
      </c>
      <c r="F98" s="85">
        <f t="shared" si="3"/>
        <v>514500.95699999999</v>
      </c>
    </row>
  </sheetData>
  <pageMargins left="0.7" right="0.7" top="0.75" bottom="0.75" header="0.3" footer="0.3"/>
  <pageSetup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F295-2DA7-4A1E-BB74-7FD7C123BD90}">
  <sheetPr filterMode="1"/>
  <dimension ref="A2:Q468"/>
  <sheetViews>
    <sheetView zoomScale="87" zoomScaleNormal="87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F470" sqref="F470"/>
    </sheetView>
  </sheetViews>
  <sheetFormatPr defaultRowHeight="17.25" customHeight="1" x14ac:dyDescent="0.25"/>
  <cols>
    <col min="1" max="1" width="2.85546875" customWidth="1"/>
    <col min="2" max="2" width="51.85546875" customWidth="1"/>
    <col min="3" max="3" width="14.28515625" style="14" customWidth="1"/>
    <col min="4" max="4" width="13.5703125" style="93" bestFit="1" customWidth="1"/>
    <col min="5" max="5" width="21.42578125" style="16" bestFit="1" customWidth="1"/>
    <col min="6" max="6" width="65" customWidth="1"/>
    <col min="7" max="7" width="13.7109375" style="26" bestFit="1" customWidth="1"/>
    <col min="8" max="8" width="8" style="26" bestFit="1" customWidth="1"/>
    <col min="9" max="9" width="14.85546875" style="26" bestFit="1" customWidth="1"/>
    <col min="10" max="10" width="10.28515625" style="26" bestFit="1" customWidth="1"/>
    <col min="11" max="11" width="16.42578125" style="26" customWidth="1"/>
    <col min="12" max="12" width="19.5703125" style="18" customWidth="1"/>
    <col min="13" max="13" width="10.5703125" hidden="1" customWidth="1"/>
    <col min="14" max="14" width="11.85546875" hidden="1" customWidth="1"/>
    <col min="15" max="15" width="14.28515625" hidden="1" customWidth="1"/>
    <col min="16" max="16" width="12.7109375" bestFit="1" customWidth="1"/>
  </cols>
  <sheetData>
    <row r="2" spans="1:17" ht="17.25" customHeight="1" x14ac:dyDescent="0.25">
      <c r="A2" s="8"/>
      <c r="B2" s="1" t="s">
        <v>0</v>
      </c>
      <c r="C2" s="1" t="s">
        <v>1</v>
      </c>
      <c r="D2" s="88" t="s">
        <v>2</v>
      </c>
      <c r="E2" s="3" t="s">
        <v>3</v>
      </c>
      <c r="F2" s="1" t="s">
        <v>4</v>
      </c>
      <c r="G2" s="156" t="s">
        <v>5</v>
      </c>
      <c r="H2" s="157" t="s">
        <v>19</v>
      </c>
      <c r="I2" s="158" t="s">
        <v>20</v>
      </c>
      <c r="J2" s="156" t="s">
        <v>6</v>
      </c>
      <c r="K2" s="156" t="s">
        <v>7</v>
      </c>
      <c r="L2" s="4" t="s">
        <v>8</v>
      </c>
      <c r="M2" s="5">
        <f>COUNTA(C:C)-1</f>
        <v>466</v>
      </c>
      <c r="N2" s="6" t="e">
        <f>GETPIVOTDATA("Count of INVOICE NO.",#REF!)+GETPIVOTDATA("Count of INVOICE NO.",#REF!)</f>
        <v>#REF!</v>
      </c>
      <c r="O2" s="7">
        <f>SUM(G:G)</f>
        <v>1160237.7069999999</v>
      </c>
      <c r="P2" s="8" t="s">
        <v>858</v>
      </c>
      <c r="Q2" s="8"/>
    </row>
    <row r="3" spans="1:17" ht="17.25" hidden="1" customHeight="1" x14ac:dyDescent="0.25">
      <c r="B3" s="9" t="s">
        <v>10</v>
      </c>
      <c r="C3" s="10" t="s">
        <v>32</v>
      </c>
      <c r="D3" s="89">
        <v>45293</v>
      </c>
      <c r="E3" s="34" t="s">
        <v>16</v>
      </c>
      <c r="F3" s="9" t="s">
        <v>41</v>
      </c>
      <c r="G3" s="159">
        <v>425.49</v>
      </c>
      <c r="H3" s="159"/>
      <c r="I3" s="159">
        <f t="shared" ref="I3:I66" si="0">G3-H3</f>
        <v>425.49</v>
      </c>
      <c r="J3" s="159">
        <f t="shared" ref="J3:J66" si="1">G3*5%</f>
        <v>21.274500000000003</v>
      </c>
      <c r="K3" s="159">
        <f t="shared" ref="K3:K66" si="2">G3+J3</f>
        <v>446.7645</v>
      </c>
      <c r="L3" s="29" t="s">
        <v>9</v>
      </c>
      <c r="N3" s="33"/>
      <c r="P3">
        <v>1</v>
      </c>
    </row>
    <row r="4" spans="1:17" ht="17.25" hidden="1" customHeight="1" x14ac:dyDescent="0.25">
      <c r="B4" s="9" t="s">
        <v>10</v>
      </c>
      <c r="C4" s="10" t="s">
        <v>33</v>
      </c>
      <c r="D4" s="89">
        <v>45295</v>
      </c>
      <c r="E4" s="34" t="s">
        <v>16</v>
      </c>
      <c r="F4" s="9" t="s">
        <v>42</v>
      </c>
      <c r="G4" s="159">
        <v>415</v>
      </c>
      <c r="H4" s="159"/>
      <c r="I4" s="160">
        <f t="shared" si="0"/>
        <v>415</v>
      </c>
      <c r="J4" s="160">
        <f t="shared" si="1"/>
        <v>20.75</v>
      </c>
      <c r="K4" s="160">
        <f t="shared" si="2"/>
        <v>435.75</v>
      </c>
      <c r="L4" s="13" t="s">
        <v>9</v>
      </c>
      <c r="N4" s="33"/>
      <c r="P4">
        <v>1</v>
      </c>
    </row>
    <row r="5" spans="1:17" ht="17.25" hidden="1" customHeight="1" x14ac:dyDescent="0.25">
      <c r="B5" s="9" t="s">
        <v>43</v>
      </c>
      <c r="C5" s="10" t="s">
        <v>34</v>
      </c>
      <c r="D5" s="89">
        <v>45295</v>
      </c>
      <c r="E5" s="34" t="s">
        <v>30</v>
      </c>
      <c r="F5" s="9" t="s">
        <v>44</v>
      </c>
      <c r="G5" s="159">
        <v>475</v>
      </c>
      <c r="H5" s="159"/>
      <c r="I5" s="160">
        <f t="shared" si="0"/>
        <v>475</v>
      </c>
      <c r="J5" s="160">
        <f t="shared" si="1"/>
        <v>23.75</v>
      </c>
      <c r="K5" s="160">
        <f t="shared" si="2"/>
        <v>498.75</v>
      </c>
      <c r="L5" s="13" t="s">
        <v>9</v>
      </c>
      <c r="N5" s="33"/>
      <c r="P5">
        <v>1</v>
      </c>
    </row>
    <row r="6" spans="1:17" ht="17.25" hidden="1" customHeight="1" x14ac:dyDescent="0.25">
      <c r="B6" s="9" t="s">
        <v>45</v>
      </c>
      <c r="C6" s="10" t="s">
        <v>35</v>
      </c>
      <c r="D6" s="89">
        <v>45306</v>
      </c>
      <c r="E6" s="34" t="s">
        <v>46</v>
      </c>
      <c r="F6" s="9" t="s">
        <v>84</v>
      </c>
      <c r="G6" s="159">
        <v>5850</v>
      </c>
      <c r="H6" s="159"/>
      <c r="I6" s="160">
        <f t="shared" si="0"/>
        <v>5850</v>
      </c>
      <c r="J6" s="160">
        <f t="shared" si="1"/>
        <v>292.5</v>
      </c>
      <c r="K6" s="160">
        <f t="shared" si="2"/>
        <v>6142.5</v>
      </c>
      <c r="L6" s="13" t="s">
        <v>78</v>
      </c>
      <c r="N6" s="33"/>
      <c r="P6">
        <v>1</v>
      </c>
    </row>
    <row r="7" spans="1:17" ht="17.25" hidden="1" customHeight="1" x14ac:dyDescent="0.25">
      <c r="B7" s="9" t="s">
        <v>26</v>
      </c>
      <c r="C7" s="10" t="s">
        <v>36</v>
      </c>
      <c r="D7" s="89">
        <v>45297</v>
      </c>
      <c r="E7" s="34" t="s">
        <v>21</v>
      </c>
      <c r="F7" s="9" t="s">
        <v>47</v>
      </c>
      <c r="G7" s="159">
        <v>425</v>
      </c>
      <c r="H7" s="159"/>
      <c r="I7" s="160">
        <f t="shared" si="0"/>
        <v>425</v>
      </c>
      <c r="J7" s="160">
        <f t="shared" si="1"/>
        <v>21.25</v>
      </c>
      <c r="K7" s="160">
        <f t="shared" si="2"/>
        <v>446.25</v>
      </c>
      <c r="L7" s="13" t="s">
        <v>9</v>
      </c>
      <c r="N7" s="33"/>
      <c r="P7">
        <v>1</v>
      </c>
    </row>
    <row r="8" spans="1:17" ht="17.25" hidden="1" customHeight="1" x14ac:dyDescent="0.25">
      <c r="B8" s="9" t="s">
        <v>48</v>
      </c>
      <c r="C8" s="10" t="s">
        <v>37</v>
      </c>
      <c r="D8" s="89">
        <v>45296</v>
      </c>
      <c r="E8" s="38" t="s">
        <v>24</v>
      </c>
      <c r="F8" s="9" t="s">
        <v>27</v>
      </c>
      <c r="G8" s="159">
        <v>7600</v>
      </c>
      <c r="H8" s="159"/>
      <c r="I8" s="159">
        <f t="shared" si="0"/>
        <v>7600</v>
      </c>
      <c r="J8" s="159">
        <f t="shared" si="1"/>
        <v>380</v>
      </c>
      <c r="K8" s="159">
        <f t="shared" si="2"/>
        <v>7980</v>
      </c>
      <c r="L8" s="29" t="s">
        <v>9</v>
      </c>
      <c r="N8" s="33"/>
      <c r="P8">
        <v>1</v>
      </c>
    </row>
    <row r="9" spans="1:17" ht="17.25" hidden="1" customHeight="1" x14ac:dyDescent="0.25">
      <c r="B9" s="9" t="s">
        <v>49</v>
      </c>
      <c r="C9" s="10" t="s">
        <v>38</v>
      </c>
      <c r="D9" s="89">
        <v>45302</v>
      </c>
      <c r="E9" s="34" t="s">
        <v>50</v>
      </c>
      <c r="F9" s="9" t="s">
        <v>51</v>
      </c>
      <c r="G9" s="159">
        <v>848</v>
      </c>
      <c r="H9" s="159"/>
      <c r="I9" s="159">
        <f t="shared" si="0"/>
        <v>848</v>
      </c>
      <c r="J9" s="159">
        <f t="shared" si="1"/>
        <v>42.400000000000006</v>
      </c>
      <c r="K9" s="159">
        <f t="shared" si="2"/>
        <v>890.4</v>
      </c>
      <c r="L9" s="29" t="s">
        <v>9</v>
      </c>
      <c r="N9" s="33"/>
      <c r="P9">
        <v>1</v>
      </c>
    </row>
    <row r="10" spans="1:17" ht="17.25" hidden="1" customHeight="1" x14ac:dyDescent="0.25">
      <c r="B10" s="9" t="s">
        <v>29</v>
      </c>
      <c r="C10" s="40" t="s">
        <v>39</v>
      </c>
      <c r="D10" s="89">
        <v>45300</v>
      </c>
      <c r="E10" s="34" t="s">
        <v>28</v>
      </c>
      <c r="F10" s="9" t="s">
        <v>52</v>
      </c>
      <c r="G10" s="159">
        <v>380</v>
      </c>
      <c r="H10" s="159"/>
      <c r="I10" s="160">
        <f t="shared" si="0"/>
        <v>380</v>
      </c>
      <c r="J10" s="160">
        <f t="shared" si="1"/>
        <v>19</v>
      </c>
      <c r="K10" s="160">
        <f t="shared" si="2"/>
        <v>399</v>
      </c>
      <c r="L10" s="13" t="s">
        <v>9</v>
      </c>
      <c r="N10" s="33"/>
      <c r="P10">
        <v>1</v>
      </c>
    </row>
    <row r="11" spans="1:17" ht="17.25" hidden="1" customHeight="1" x14ac:dyDescent="0.25">
      <c r="B11" s="9" t="s">
        <v>22</v>
      </c>
      <c r="C11" s="60" t="s">
        <v>40</v>
      </c>
      <c r="D11" s="89">
        <v>45316</v>
      </c>
      <c r="E11" s="34" t="s">
        <v>23</v>
      </c>
      <c r="F11" s="9" t="s">
        <v>53</v>
      </c>
      <c r="G11" s="159">
        <v>405</v>
      </c>
      <c r="H11" s="159"/>
      <c r="I11" s="160">
        <f t="shared" si="0"/>
        <v>405</v>
      </c>
      <c r="J11" s="160">
        <f t="shared" si="1"/>
        <v>20.25</v>
      </c>
      <c r="K11" s="160">
        <f t="shared" si="2"/>
        <v>425.25</v>
      </c>
      <c r="L11" s="13" t="s">
        <v>9</v>
      </c>
      <c r="N11" s="33"/>
      <c r="P11">
        <v>1</v>
      </c>
    </row>
    <row r="12" spans="1:17" ht="17.25" hidden="1" customHeight="1" x14ac:dyDescent="0.25">
      <c r="B12" s="9" t="s">
        <v>56</v>
      </c>
      <c r="C12" s="40" t="s">
        <v>54</v>
      </c>
      <c r="D12" s="89">
        <v>45300</v>
      </c>
      <c r="E12" s="38" t="s">
        <v>57</v>
      </c>
      <c r="F12" s="9" t="s">
        <v>58</v>
      </c>
      <c r="G12" s="159">
        <v>530</v>
      </c>
      <c r="H12" s="159"/>
      <c r="I12" s="160">
        <f t="shared" si="0"/>
        <v>530</v>
      </c>
      <c r="J12" s="160">
        <f t="shared" si="1"/>
        <v>26.5</v>
      </c>
      <c r="K12" s="160">
        <f t="shared" si="2"/>
        <v>556.5</v>
      </c>
      <c r="L12" s="29" t="s">
        <v>9</v>
      </c>
      <c r="P12">
        <v>1</v>
      </c>
    </row>
    <row r="13" spans="1:17" ht="17.25" hidden="1" customHeight="1" x14ac:dyDescent="0.25">
      <c r="B13" s="9" t="s">
        <v>48</v>
      </c>
      <c r="C13" s="40" t="s">
        <v>55</v>
      </c>
      <c r="D13" s="89">
        <v>45302</v>
      </c>
      <c r="E13" s="38" t="s">
        <v>24</v>
      </c>
      <c r="F13" s="9" t="s">
        <v>59</v>
      </c>
      <c r="G13" s="159">
        <v>760</v>
      </c>
      <c r="H13" s="159"/>
      <c r="I13" s="160">
        <f t="shared" si="0"/>
        <v>760</v>
      </c>
      <c r="J13" s="160">
        <f t="shared" si="1"/>
        <v>38</v>
      </c>
      <c r="K13" s="160">
        <f t="shared" si="2"/>
        <v>798</v>
      </c>
      <c r="L13" s="13" t="s">
        <v>9</v>
      </c>
      <c r="P13">
        <v>1</v>
      </c>
    </row>
    <row r="14" spans="1:17" ht="17.25" hidden="1" customHeight="1" x14ac:dyDescent="0.25">
      <c r="B14" s="9" t="s">
        <v>72</v>
      </c>
      <c r="C14" s="40" t="s">
        <v>61</v>
      </c>
      <c r="D14" s="89">
        <v>45300</v>
      </c>
      <c r="E14" s="38" t="s">
        <v>74</v>
      </c>
      <c r="F14" s="9" t="s">
        <v>73</v>
      </c>
      <c r="G14" s="159">
        <f>3.67*62.1</f>
        <v>227.90700000000001</v>
      </c>
      <c r="H14" s="159"/>
      <c r="I14" s="160">
        <f t="shared" si="0"/>
        <v>227.90700000000001</v>
      </c>
      <c r="J14" s="160">
        <f t="shared" si="1"/>
        <v>11.395350000000001</v>
      </c>
      <c r="K14" s="160">
        <f t="shared" si="2"/>
        <v>239.30235000000002</v>
      </c>
      <c r="L14" s="13" t="s">
        <v>9</v>
      </c>
      <c r="P14">
        <v>1</v>
      </c>
    </row>
    <row r="15" spans="1:17" ht="17.25" hidden="1" customHeight="1" x14ac:dyDescent="0.25">
      <c r="B15" s="9" t="s">
        <v>75</v>
      </c>
      <c r="C15" s="40" t="s">
        <v>62</v>
      </c>
      <c r="D15" s="89">
        <v>45303</v>
      </c>
      <c r="E15" s="38" t="s">
        <v>76</v>
      </c>
      <c r="F15" s="9" t="s">
        <v>77</v>
      </c>
      <c r="G15" s="159">
        <v>475</v>
      </c>
      <c r="H15" s="159"/>
      <c r="I15" s="160">
        <f t="shared" si="0"/>
        <v>475</v>
      </c>
      <c r="J15" s="160">
        <f t="shared" si="1"/>
        <v>23.75</v>
      </c>
      <c r="K15" s="160">
        <f t="shared" si="2"/>
        <v>498.75</v>
      </c>
      <c r="L15" s="13" t="s">
        <v>78</v>
      </c>
      <c r="P15">
        <v>1</v>
      </c>
    </row>
    <row r="16" spans="1:17" ht="17.25" hidden="1" customHeight="1" x14ac:dyDescent="0.25">
      <c r="B16" s="9" t="s">
        <v>10</v>
      </c>
      <c r="C16" s="40" t="s">
        <v>63</v>
      </c>
      <c r="D16" s="89">
        <v>45303</v>
      </c>
      <c r="E16" s="38" t="s">
        <v>79</v>
      </c>
      <c r="F16" s="9" t="s">
        <v>80</v>
      </c>
      <c r="G16" s="159">
        <v>440</v>
      </c>
      <c r="H16" s="159"/>
      <c r="I16" s="160">
        <f t="shared" si="0"/>
        <v>440</v>
      </c>
      <c r="J16" s="160">
        <f t="shared" si="1"/>
        <v>22</v>
      </c>
      <c r="K16" s="160">
        <f t="shared" si="2"/>
        <v>462</v>
      </c>
      <c r="L16" s="13" t="s">
        <v>9</v>
      </c>
      <c r="P16">
        <v>1</v>
      </c>
    </row>
    <row r="17" spans="2:16" ht="17.25" hidden="1" customHeight="1" x14ac:dyDescent="0.25">
      <c r="B17" s="9" t="s">
        <v>81</v>
      </c>
      <c r="C17" s="40" t="s">
        <v>64</v>
      </c>
      <c r="D17" s="89">
        <v>45303</v>
      </c>
      <c r="E17" s="38" t="s">
        <v>82</v>
      </c>
      <c r="F17" s="9" t="s">
        <v>83</v>
      </c>
      <c r="G17" s="159">
        <v>1250</v>
      </c>
      <c r="H17" s="159"/>
      <c r="I17" s="160">
        <f t="shared" si="0"/>
        <v>1250</v>
      </c>
      <c r="J17" s="160">
        <f t="shared" si="1"/>
        <v>62.5</v>
      </c>
      <c r="K17" s="160">
        <f t="shared" si="2"/>
        <v>1312.5</v>
      </c>
      <c r="L17" s="13" t="s">
        <v>78</v>
      </c>
      <c r="P17">
        <v>1</v>
      </c>
    </row>
    <row r="18" spans="2:16" ht="17.25" hidden="1" customHeight="1" x14ac:dyDescent="0.25">
      <c r="B18" s="9" t="s">
        <v>26</v>
      </c>
      <c r="C18" s="40" t="s">
        <v>65</v>
      </c>
      <c r="D18" s="89">
        <v>45303</v>
      </c>
      <c r="E18" s="38" t="s">
        <v>21</v>
      </c>
      <c r="F18" s="9" t="s">
        <v>85</v>
      </c>
      <c r="G18" s="159">
        <v>165</v>
      </c>
      <c r="H18" s="159"/>
      <c r="I18" s="160">
        <f t="shared" si="0"/>
        <v>165</v>
      </c>
      <c r="J18" s="160">
        <f t="shared" si="1"/>
        <v>8.25</v>
      </c>
      <c r="K18" s="160">
        <f t="shared" si="2"/>
        <v>173.25</v>
      </c>
      <c r="L18" s="13" t="s">
        <v>9</v>
      </c>
      <c r="P18">
        <v>1</v>
      </c>
    </row>
    <row r="19" spans="2:16" ht="17.25" hidden="1" customHeight="1" x14ac:dyDescent="0.25">
      <c r="B19" s="9" t="s">
        <v>86</v>
      </c>
      <c r="C19" s="40" t="s">
        <v>66</v>
      </c>
      <c r="D19" s="89">
        <v>45304</v>
      </c>
      <c r="E19" s="38" t="s">
        <v>87</v>
      </c>
      <c r="F19" s="9" t="s">
        <v>88</v>
      </c>
      <c r="G19" s="159">
        <v>825</v>
      </c>
      <c r="H19" s="159"/>
      <c r="I19" s="160">
        <f t="shared" si="0"/>
        <v>825</v>
      </c>
      <c r="J19" s="160">
        <f t="shared" si="1"/>
        <v>41.25</v>
      </c>
      <c r="K19" s="160">
        <f t="shared" si="2"/>
        <v>866.25</v>
      </c>
      <c r="L19" s="13" t="s">
        <v>9</v>
      </c>
      <c r="P19">
        <v>1</v>
      </c>
    </row>
    <row r="20" spans="2:16" ht="17.25" hidden="1" customHeight="1" x14ac:dyDescent="0.25">
      <c r="B20" s="9" t="s">
        <v>89</v>
      </c>
      <c r="C20" s="60" t="s">
        <v>67</v>
      </c>
      <c r="D20" s="89">
        <v>45316</v>
      </c>
      <c r="E20" s="38" t="s">
        <v>90</v>
      </c>
      <c r="F20" s="9" t="s">
        <v>91</v>
      </c>
      <c r="G20" s="159">
        <v>4252.5</v>
      </c>
      <c r="H20" s="159"/>
      <c r="I20" s="160">
        <f t="shared" si="0"/>
        <v>4252.5</v>
      </c>
      <c r="J20" s="160">
        <f t="shared" si="1"/>
        <v>212.625</v>
      </c>
      <c r="K20" s="160">
        <f t="shared" si="2"/>
        <v>4465.125</v>
      </c>
      <c r="L20" s="13" t="s">
        <v>78</v>
      </c>
      <c r="P20">
        <v>1</v>
      </c>
    </row>
    <row r="21" spans="2:16" ht="17.25" hidden="1" customHeight="1" x14ac:dyDescent="0.25">
      <c r="B21" s="9" t="s">
        <v>92</v>
      </c>
      <c r="C21" s="40" t="s">
        <v>68</v>
      </c>
      <c r="D21" s="89">
        <v>45307</v>
      </c>
      <c r="E21" s="38" t="s">
        <v>74</v>
      </c>
      <c r="F21" s="9" t="s">
        <v>93</v>
      </c>
      <c r="G21" s="159">
        <v>1690</v>
      </c>
      <c r="H21" s="159"/>
      <c r="I21" s="160">
        <f t="shared" si="0"/>
        <v>1690</v>
      </c>
      <c r="J21" s="160">
        <f t="shared" si="1"/>
        <v>84.5</v>
      </c>
      <c r="K21" s="160">
        <f t="shared" si="2"/>
        <v>1774.5</v>
      </c>
      <c r="L21" s="13" t="s">
        <v>78</v>
      </c>
      <c r="P21">
        <v>1</v>
      </c>
    </row>
    <row r="22" spans="2:16" ht="17.25" hidden="1" customHeight="1" x14ac:dyDescent="0.25">
      <c r="B22" s="9" t="s">
        <v>94</v>
      </c>
      <c r="C22" s="40" t="s">
        <v>69</v>
      </c>
      <c r="D22" s="89">
        <v>45306</v>
      </c>
      <c r="E22" s="38" t="s">
        <v>96</v>
      </c>
      <c r="F22" s="9" t="s">
        <v>95</v>
      </c>
      <c r="G22" s="159">
        <v>310</v>
      </c>
      <c r="H22" s="159"/>
      <c r="I22" s="160">
        <f t="shared" si="0"/>
        <v>310</v>
      </c>
      <c r="J22" s="160">
        <f t="shared" si="1"/>
        <v>15.5</v>
      </c>
      <c r="K22" s="160">
        <f t="shared" si="2"/>
        <v>325.5</v>
      </c>
      <c r="L22" s="13" t="s">
        <v>78</v>
      </c>
      <c r="P22">
        <v>1</v>
      </c>
    </row>
    <row r="23" spans="2:16" ht="17.25" hidden="1" customHeight="1" x14ac:dyDescent="0.25">
      <c r="B23" s="9" t="s">
        <v>97</v>
      </c>
      <c r="C23" s="40" t="s">
        <v>70</v>
      </c>
      <c r="D23" s="89">
        <v>45307</v>
      </c>
      <c r="E23" s="38" t="s">
        <v>98</v>
      </c>
      <c r="F23" s="9" t="s">
        <v>99</v>
      </c>
      <c r="G23" s="159">
        <v>5975</v>
      </c>
      <c r="H23" s="159"/>
      <c r="I23" s="160">
        <f t="shared" si="0"/>
        <v>5975</v>
      </c>
      <c r="J23" s="160">
        <f t="shared" si="1"/>
        <v>298.75</v>
      </c>
      <c r="K23" s="160">
        <f t="shared" si="2"/>
        <v>6273.75</v>
      </c>
      <c r="L23" s="13" t="s">
        <v>78</v>
      </c>
      <c r="P23">
        <v>1</v>
      </c>
    </row>
    <row r="24" spans="2:16" ht="17.25" hidden="1" customHeight="1" x14ac:dyDescent="0.25">
      <c r="B24" s="9" t="s">
        <v>100</v>
      </c>
      <c r="C24" s="40" t="s">
        <v>71</v>
      </c>
      <c r="D24" s="89">
        <v>45303</v>
      </c>
      <c r="E24" s="38" t="s">
        <v>74</v>
      </c>
      <c r="F24" s="9" t="s">
        <v>101</v>
      </c>
      <c r="G24" s="159">
        <v>120</v>
      </c>
      <c r="H24" s="159"/>
      <c r="I24" s="160">
        <f t="shared" si="0"/>
        <v>120</v>
      </c>
      <c r="J24" s="160">
        <f t="shared" si="1"/>
        <v>6</v>
      </c>
      <c r="K24" s="160">
        <f t="shared" si="2"/>
        <v>126</v>
      </c>
      <c r="L24" s="13" t="s">
        <v>9</v>
      </c>
      <c r="P24">
        <v>1</v>
      </c>
    </row>
    <row r="25" spans="2:16" ht="17.25" hidden="1" customHeight="1" x14ac:dyDescent="0.25">
      <c r="B25" s="61" t="s">
        <v>102</v>
      </c>
      <c r="C25" s="62" t="s">
        <v>103</v>
      </c>
      <c r="D25" s="90">
        <v>45303</v>
      </c>
      <c r="E25" s="63" t="s">
        <v>104</v>
      </c>
      <c r="F25" s="61" t="s">
        <v>105</v>
      </c>
      <c r="G25" s="161">
        <v>0</v>
      </c>
      <c r="H25" s="161"/>
      <c r="I25" s="161">
        <f t="shared" si="0"/>
        <v>0</v>
      </c>
      <c r="J25" s="161">
        <f t="shared" si="1"/>
        <v>0</v>
      </c>
      <c r="K25" s="161">
        <f t="shared" si="2"/>
        <v>0</v>
      </c>
      <c r="L25" s="64" t="s">
        <v>9</v>
      </c>
      <c r="P25">
        <v>1</v>
      </c>
    </row>
    <row r="26" spans="2:16" ht="17.25" hidden="1" customHeight="1" x14ac:dyDescent="0.25">
      <c r="B26" s="9" t="s">
        <v>45</v>
      </c>
      <c r="C26" s="40" t="s">
        <v>106</v>
      </c>
      <c r="D26" s="89">
        <v>45307</v>
      </c>
      <c r="E26" s="38" t="s">
        <v>46</v>
      </c>
      <c r="F26" s="9" t="s">
        <v>113</v>
      </c>
      <c r="G26" s="159">
        <v>200</v>
      </c>
      <c r="H26" s="159"/>
      <c r="I26" s="160">
        <f t="shared" si="0"/>
        <v>200</v>
      </c>
      <c r="J26" s="160">
        <f t="shared" si="1"/>
        <v>10</v>
      </c>
      <c r="K26" s="160">
        <f t="shared" si="2"/>
        <v>210</v>
      </c>
      <c r="L26" s="13" t="s">
        <v>78</v>
      </c>
      <c r="P26">
        <v>1</v>
      </c>
    </row>
    <row r="27" spans="2:16" ht="17.25" hidden="1" customHeight="1" x14ac:dyDescent="0.25">
      <c r="B27" s="9" t="s">
        <v>119</v>
      </c>
      <c r="C27" s="60" t="s">
        <v>107</v>
      </c>
      <c r="D27" s="89">
        <v>45313</v>
      </c>
      <c r="E27" s="38" t="s">
        <v>74</v>
      </c>
      <c r="F27" s="9" t="s">
        <v>120</v>
      </c>
      <c r="G27" s="159">
        <v>7595.24</v>
      </c>
      <c r="H27" s="159"/>
      <c r="I27" s="160">
        <f t="shared" si="0"/>
        <v>7595.24</v>
      </c>
      <c r="J27" s="160">
        <f t="shared" si="1"/>
        <v>379.762</v>
      </c>
      <c r="K27" s="160">
        <f t="shared" si="2"/>
        <v>7975.0019999999995</v>
      </c>
      <c r="L27" s="13" t="s">
        <v>78</v>
      </c>
      <c r="P27">
        <v>1</v>
      </c>
    </row>
    <row r="28" spans="2:16" ht="17.25" hidden="1" customHeight="1" x14ac:dyDescent="0.25">
      <c r="B28" s="9" t="s">
        <v>114</v>
      </c>
      <c r="C28" s="40" t="s">
        <v>108</v>
      </c>
      <c r="D28" s="89">
        <v>45321</v>
      </c>
      <c r="E28" s="38" t="s">
        <v>115</v>
      </c>
      <c r="F28" s="9" t="s">
        <v>116</v>
      </c>
      <c r="G28" s="159">
        <v>470</v>
      </c>
      <c r="H28" s="159"/>
      <c r="I28" s="160">
        <f t="shared" si="0"/>
        <v>470</v>
      </c>
      <c r="J28" s="160">
        <f t="shared" si="1"/>
        <v>23.5</v>
      </c>
      <c r="K28" s="160">
        <f t="shared" si="2"/>
        <v>493.5</v>
      </c>
      <c r="L28" s="13" t="s">
        <v>9</v>
      </c>
      <c r="P28">
        <v>1</v>
      </c>
    </row>
    <row r="29" spans="2:16" ht="17.25" hidden="1" customHeight="1" x14ac:dyDescent="0.25">
      <c r="B29" s="9" t="s">
        <v>102</v>
      </c>
      <c r="C29" s="60" t="s">
        <v>109</v>
      </c>
      <c r="D29" s="89">
        <v>45325</v>
      </c>
      <c r="E29" s="38" t="s">
        <v>104</v>
      </c>
      <c r="F29" s="9" t="s">
        <v>117</v>
      </c>
      <c r="G29" s="159">
        <v>526.5</v>
      </c>
      <c r="H29" s="159"/>
      <c r="I29" s="160">
        <f t="shared" si="0"/>
        <v>526.5</v>
      </c>
      <c r="J29" s="160">
        <f t="shared" si="1"/>
        <v>26.325000000000003</v>
      </c>
      <c r="K29" s="160">
        <f t="shared" si="2"/>
        <v>552.82500000000005</v>
      </c>
      <c r="L29" s="13" t="s">
        <v>9</v>
      </c>
      <c r="P29">
        <v>1</v>
      </c>
    </row>
    <row r="30" spans="2:16" ht="17.25" hidden="1" customHeight="1" x14ac:dyDescent="0.25">
      <c r="B30" s="9" t="s">
        <v>10</v>
      </c>
      <c r="C30" s="40" t="s">
        <v>110</v>
      </c>
      <c r="D30" s="89">
        <v>45308</v>
      </c>
      <c r="E30" s="38" t="s">
        <v>16</v>
      </c>
      <c r="F30" s="9" t="s">
        <v>121</v>
      </c>
      <c r="G30" s="159">
        <v>955</v>
      </c>
      <c r="H30" s="159"/>
      <c r="I30" s="160">
        <f t="shared" si="0"/>
        <v>955</v>
      </c>
      <c r="J30" s="160">
        <f t="shared" si="1"/>
        <v>47.75</v>
      </c>
      <c r="K30" s="160">
        <f t="shared" si="2"/>
        <v>1002.75</v>
      </c>
      <c r="L30" s="13" t="s">
        <v>9</v>
      </c>
      <c r="P30">
        <v>1</v>
      </c>
    </row>
    <row r="31" spans="2:16" ht="17.25" hidden="1" customHeight="1" x14ac:dyDescent="0.25">
      <c r="B31" s="9" t="s">
        <v>122</v>
      </c>
      <c r="C31" s="40" t="s">
        <v>111</v>
      </c>
      <c r="D31" s="89">
        <v>45309</v>
      </c>
      <c r="E31" s="38" t="s">
        <v>74</v>
      </c>
      <c r="F31" s="9" t="s">
        <v>123</v>
      </c>
      <c r="G31" s="159">
        <v>350</v>
      </c>
      <c r="H31" s="159"/>
      <c r="I31" s="160">
        <f t="shared" si="0"/>
        <v>350</v>
      </c>
      <c r="J31" s="160">
        <f t="shared" si="1"/>
        <v>17.5</v>
      </c>
      <c r="K31" s="160">
        <f t="shared" si="2"/>
        <v>367.5</v>
      </c>
      <c r="L31" s="13" t="s">
        <v>9</v>
      </c>
      <c r="P31">
        <v>1</v>
      </c>
    </row>
    <row r="32" spans="2:16" ht="17.25" hidden="1" customHeight="1" x14ac:dyDescent="0.25">
      <c r="B32" s="9" t="s">
        <v>10</v>
      </c>
      <c r="C32" s="40" t="s">
        <v>112</v>
      </c>
      <c r="D32" s="89">
        <v>45308</v>
      </c>
      <c r="E32" s="38" t="s">
        <v>79</v>
      </c>
      <c r="F32" s="9" t="s">
        <v>124</v>
      </c>
      <c r="G32" s="159">
        <v>435</v>
      </c>
      <c r="H32" s="159"/>
      <c r="I32" s="160">
        <f t="shared" si="0"/>
        <v>435</v>
      </c>
      <c r="J32" s="160">
        <f t="shared" si="1"/>
        <v>21.75</v>
      </c>
      <c r="K32" s="160">
        <f t="shared" si="2"/>
        <v>456.75</v>
      </c>
      <c r="L32" s="13" t="s">
        <v>9</v>
      </c>
      <c r="P32">
        <v>1</v>
      </c>
    </row>
    <row r="33" spans="2:16" ht="17.25" hidden="1" customHeight="1" x14ac:dyDescent="0.25">
      <c r="B33" s="9" t="s">
        <v>43</v>
      </c>
      <c r="C33" s="40" t="s">
        <v>118</v>
      </c>
      <c r="D33" s="89">
        <v>45308</v>
      </c>
      <c r="E33" s="38" t="s">
        <v>126</v>
      </c>
      <c r="F33" s="9" t="s">
        <v>125</v>
      </c>
      <c r="G33" s="159">
        <v>78.75</v>
      </c>
      <c r="H33" s="159"/>
      <c r="I33" s="160">
        <f t="shared" si="0"/>
        <v>78.75</v>
      </c>
      <c r="J33" s="160">
        <f t="shared" si="1"/>
        <v>3.9375</v>
      </c>
      <c r="K33" s="160">
        <f t="shared" si="2"/>
        <v>82.6875</v>
      </c>
      <c r="L33" s="13" t="s">
        <v>9</v>
      </c>
      <c r="P33">
        <v>1</v>
      </c>
    </row>
    <row r="34" spans="2:16" ht="17.25" hidden="1" customHeight="1" x14ac:dyDescent="0.25">
      <c r="B34" s="9" t="s">
        <v>29</v>
      </c>
      <c r="C34" s="40" t="s">
        <v>127</v>
      </c>
      <c r="D34" s="89">
        <v>45309</v>
      </c>
      <c r="E34" s="38" t="s">
        <v>128</v>
      </c>
      <c r="F34" s="9" t="s">
        <v>129</v>
      </c>
      <c r="G34" s="159">
        <v>424.95</v>
      </c>
      <c r="H34" s="159"/>
      <c r="I34" s="160">
        <f t="shared" si="0"/>
        <v>424.95</v>
      </c>
      <c r="J34" s="160">
        <f t="shared" si="1"/>
        <v>21.247500000000002</v>
      </c>
      <c r="K34" s="160">
        <f t="shared" si="2"/>
        <v>446.19749999999999</v>
      </c>
      <c r="L34" s="13" t="s">
        <v>9</v>
      </c>
      <c r="P34">
        <v>1</v>
      </c>
    </row>
    <row r="35" spans="2:16" ht="17.25" hidden="1" customHeight="1" x14ac:dyDescent="0.25">
      <c r="B35" s="9" t="s">
        <v>114</v>
      </c>
      <c r="C35" s="40" t="s">
        <v>130</v>
      </c>
      <c r="D35" s="89">
        <v>45315</v>
      </c>
      <c r="E35" s="38" t="s">
        <v>115</v>
      </c>
      <c r="F35" s="9" t="s">
        <v>134</v>
      </c>
      <c r="G35" s="159">
        <v>4290</v>
      </c>
      <c r="H35" s="159"/>
      <c r="I35" s="160">
        <f t="shared" si="0"/>
        <v>4290</v>
      </c>
      <c r="J35" s="160">
        <f t="shared" si="1"/>
        <v>214.5</v>
      </c>
      <c r="K35" s="160">
        <f t="shared" si="2"/>
        <v>4504.5</v>
      </c>
      <c r="L35" s="13" t="s">
        <v>9</v>
      </c>
      <c r="P35">
        <v>1</v>
      </c>
    </row>
    <row r="36" spans="2:16" ht="17.25" hidden="1" customHeight="1" x14ac:dyDescent="0.25">
      <c r="B36" s="9" t="s">
        <v>26</v>
      </c>
      <c r="C36" s="40" t="s">
        <v>131</v>
      </c>
      <c r="D36" s="89">
        <v>45314</v>
      </c>
      <c r="E36" s="38" t="s">
        <v>21</v>
      </c>
      <c r="F36" s="9" t="s">
        <v>135</v>
      </c>
      <c r="G36" s="159">
        <v>725</v>
      </c>
      <c r="H36" s="159"/>
      <c r="I36" s="160">
        <f t="shared" si="0"/>
        <v>725</v>
      </c>
      <c r="J36" s="160">
        <f t="shared" si="1"/>
        <v>36.25</v>
      </c>
      <c r="K36" s="160">
        <f t="shared" si="2"/>
        <v>761.25</v>
      </c>
      <c r="L36" s="13" t="s">
        <v>9</v>
      </c>
      <c r="P36">
        <v>1</v>
      </c>
    </row>
    <row r="37" spans="2:16" ht="17.25" hidden="1" customHeight="1" x14ac:dyDescent="0.25">
      <c r="B37" s="9" t="s">
        <v>136</v>
      </c>
      <c r="C37" s="40" t="s">
        <v>132</v>
      </c>
      <c r="D37" s="89">
        <v>45314</v>
      </c>
      <c r="E37" s="38" t="s">
        <v>137</v>
      </c>
      <c r="F37" s="9" t="s">
        <v>138</v>
      </c>
      <c r="G37" s="159">
        <v>3150</v>
      </c>
      <c r="H37" s="159"/>
      <c r="I37" s="160">
        <f t="shared" si="0"/>
        <v>3150</v>
      </c>
      <c r="J37" s="160">
        <f t="shared" si="1"/>
        <v>157.5</v>
      </c>
      <c r="K37" s="160">
        <f t="shared" si="2"/>
        <v>3307.5</v>
      </c>
      <c r="L37" s="13" t="s">
        <v>78</v>
      </c>
      <c r="P37">
        <v>1</v>
      </c>
    </row>
    <row r="38" spans="2:16" ht="17.25" hidden="1" customHeight="1" x14ac:dyDescent="0.25">
      <c r="B38" s="9" t="s">
        <v>139</v>
      </c>
      <c r="C38" s="40" t="s">
        <v>133</v>
      </c>
      <c r="D38" s="89">
        <v>45313</v>
      </c>
      <c r="E38" s="38" t="s">
        <v>140</v>
      </c>
      <c r="F38" s="9" t="s">
        <v>141</v>
      </c>
      <c r="G38" s="159">
        <v>380</v>
      </c>
      <c r="H38" s="159"/>
      <c r="I38" s="160">
        <f t="shared" si="0"/>
        <v>380</v>
      </c>
      <c r="J38" s="160">
        <f t="shared" si="1"/>
        <v>19</v>
      </c>
      <c r="K38" s="160">
        <f t="shared" si="2"/>
        <v>399</v>
      </c>
      <c r="L38" s="13" t="s">
        <v>78</v>
      </c>
      <c r="P38">
        <v>1</v>
      </c>
    </row>
    <row r="39" spans="2:16" ht="17.25" hidden="1" customHeight="1" x14ac:dyDescent="0.25">
      <c r="B39" s="9" t="s">
        <v>147</v>
      </c>
      <c r="C39" s="40" t="s">
        <v>145</v>
      </c>
      <c r="D39" s="89">
        <v>45313</v>
      </c>
      <c r="E39" s="38" t="s">
        <v>74</v>
      </c>
      <c r="F39" s="9" t="s">
        <v>148</v>
      </c>
      <c r="G39" s="159">
        <v>1250</v>
      </c>
      <c r="H39" s="159"/>
      <c r="I39" s="160">
        <f t="shared" si="0"/>
        <v>1250</v>
      </c>
      <c r="J39" s="160">
        <f t="shared" si="1"/>
        <v>62.5</v>
      </c>
      <c r="K39" s="160">
        <f t="shared" si="2"/>
        <v>1312.5</v>
      </c>
      <c r="L39" s="13" t="s">
        <v>9</v>
      </c>
      <c r="P39">
        <v>1</v>
      </c>
    </row>
    <row r="40" spans="2:16" ht="17.25" hidden="1" customHeight="1" x14ac:dyDescent="0.25">
      <c r="B40" s="9" t="s">
        <v>122</v>
      </c>
      <c r="C40" s="40" t="s">
        <v>146</v>
      </c>
      <c r="D40" s="89">
        <v>45311</v>
      </c>
      <c r="E40" s="38" t="s">
        <v>74</v>
      </c>
      <c r="F40" s="9" t="s">
        <v>166</v>
      </c>
      <c r="G40" s="159">
        <v>4125</v>
      </c>
      <c r="H40" s="159"/>
      <c r="I40" s="160">
        <f t="shared" si="0"/>
        <v>4125</v>
      </c>
      <c r="J40" s="160">
        <f t="shared" si="1"/>
        <v>206.25</v>
      </c>
      <c r="K40" s="160">
        <f t="shared" si="2"/>
        <v>4331.25</v>
      </c>
      <c r="L40" s="13" t="s">
        <v>9</v>
      </c>
      <c r="P40">
        <v>1</v>
      </c>
    </row>
    <row r="41" spans="2:16" ht="17.25" hidden="1" customHeight="1" x14ac:dyDescent="0.25">
      <c r="B41" s="9" t="s">
        <v>161</v>
      </c>
      <c r="C41" s="40" t="s">
        <v>149</v>
      </c>
      <c r="D41" s="89">
        <v>45313</v>
      </c>
      <c r="E41" s="38" t="s">
        <v>74</v>
      </c>
      <c r="F41" s="9" t="s">
        <v>162</v>
      </c>
      <c r="G41" s="159">
        <v>995</v>
      </c>
      <c r="H41" s="159"/>
      <c r="I41" s="160">
        <f t="shared" si="0"/>
        <v>995</v>
      </c>
      <c r="J41" s="160">
        <f t="shared" si="1"/>
        <v>49.75</v>
      </c>
      <c r="K41" s="160">
        <f t="shared" si="2"/>
        <v>1044.75</v>
      </c>
      <c r="L41" s="13" t="s">
        <v>78</v>
      </c>
      <c r="P41">
        <v>1</v>
      </c>
    </row>
    <row r="42" spans="2:16" ht="17.25" hidden="1" customHeight="1" x14ac:dyDescent="0.25">
      <c r="B42" s="9" t="s">
        <v>163</v>
      </c>
      <c r="C42" s="40" t="s">
        <v>150</v>
      </c>
      <c r="D42" s="89">
        <v>45313</v>
      </c>
      <c r="E42" s="38" t="s">
        <v>74</v>
      </c>
      <c r="F42" s="9" t="s">
        <v>164</v>
      </c>
      <c r="G42" s="159">
        <v>95</v>
      </c>
      <c r="H42" s="159"/>
      <c r="I42" s="160">
        <f t="shared" si="0"/>
        <v>95</v>
      </c>
      <c r="J42" s="160">
        <f t="shared" si="1"/>
        <v>4.75</v>
      </c>
      <c r="K42" s="160">
        <f t="shared" si="2"/>
        <v>99.75</v>
      </c>
      <c r="L42" s="13" t="s">
        <v>78</v>
      </c>
      <c r="P42">
        <v>1</v>
      </c>
    </row>
    <row r="43" spans="2:16" ht="17.25" hidden="1" customHeight="1" x14ac:dyDescent="0.25">
      <c r="B43" s="9" t="s">
        <v>10</v>
      </c>
      <c r="C43" s="40" t="s">
        <v>151</v>
      </c>
      <c r="D43" s="89">
        <v>45315</v>
      </c>
      <c r="E43" s="38" t="s">
        <v>16</v>
      </c>
      <c r="F43" s="9" t="s">
        <v>165</v>
      </c>
      <c r="G43" s="159">
        <v>210</v>
      </c>
      <c r="H43" s="159"/>
      <c r="I43" s="160">
        <f t="shared" si="0"/>
        <v>210</v>
      </c>
      <c r="J43" s="160">
        <f t="shared" si="1"/>
        <v>10.5</v>
      </c>
      <c r="K43" s="160">
        <f t="shared" si="2"/>
        <v>220.5</v>
      </c>
      <c r="L43" s="13" t="s">
        <v>9</v>
      </c>
      <c r="P43">
        <v>1</v>
      </c>
    </row>
    <row r="44" spans="2:16" ht="17.25" hidden="1" customHeight="1" x14ac:dyDescent="0.25">
      <c r="B44" s="9" t="s">
        <v>167</v>
      </c>
      <c r="C44" s="40" t="s">
        <v>152</v>
      </c>
      <c r="D44" s="89">
        <v>45315</v>
      </c>
      <c r="E44" s="38" t="s">
        <v>168</v>
      </c>
      <c r="F44" s="9" t="s">
        <v>73</v>
      </c>
      <c r="G44" s="159">
        <v>1106</v>
      </c>
      <c r="H44" s="159"/>
      <c r="I44" s="160">
        <f t="shared" si="0"/>
        <v>1106</v>
      </c>
      <c r="J44" s="160">
        <f t="shared" si="1"/>
        <v>55.300000000000004</v>
      </c>
      <c r="K44" s="160">
        <f t="shared" si="2"/>
        <v>1161.3</v>
      </c>
      <c r="L44" s="13" t="s">
        <v>169</v>
      </c>
      <c r="P44">
        <v>1</v>
      </c>
    </row>
    <row r="45" spans="2:16" ht="17.25" hidden="1" customHeight="1" x14ac:dyDescent="0.25">
      <c r="B45" s="9" t="s">
        <v>10</v>
      </c>
      <c r="C45" s="40" t="s">
        <v>153</v>
      </c>
      <c r="D45" s="89">
        <v>45315</v>
      </c>
      <c r="E45" s="38" t="s">
        <v>16</v>
      </c>
      <c r="F45" s="9" t="s">
        <v>170</v>
      </c>
      <c r="G45" s="159">
        <v>435</v>
      </c>
      <c r="H45" s="159"/>
      <c r="I45" s="160">
        <f t="shared" si="0"/>
        <v>435</v>
      </c>
      <c r="J45" s="160">
        <f t="shared" si="1"/>
        <v>21.75</v>
      </c>
      <c r="K45" s="160">
        <f t="shared" si="2"/>
        <v>456.75</v>
      </c>
      <c r="L45" s="13" t="s">
        <v>9</v>
      </c>
      <c r="P45">
        <v>1</v>
      </c>
    </row>
    <row r="46" spans="2:16" ht="17.25" hidden="1" customHeight="1" x14ac:dyDescent="0.25">
      <c r="B46" s="9" t="s">
        <v>10</v>
      </c>
      <c r="C46" s="40" t="s">
        <v>154</v>
      </c>
      <c r="D46" s="89">
        <v>45315</v>
      </c>
      <c r="E46" s="38" t="s">
        <v>16</v>
      </c>
      <c r="F46" s="9" t="s">
        <v>171</v>
      </c>
      <c r="G46" s="159">
        <v>5580</v>
      </c>
      <c r="H46" s="159"/>
      <c r="I46" s="160">
        <f t="shared" si="0"/>
        <v>5580</v>
      </c>
      <c r="J46" s="160">
        <f t="shared" si="1"/>
        <v>279</v>
      </c>
      <c r="K46" s="160">
        <f t="shared" si="2"/>
        <v>5859</v>
      </c>
      <c r="L46" s="13" t="s">
        <v>9</v>
      </c>
      <c r="P46">
        <v>1</v>
      </c>
    </row>
    <row r="47" spans="2:16" ht="17.25" hidden="1" customHeight="1" x14ac:dyDescent="0.25">
      <c r="B47" s="9" t="s">
        <v>172</v>
      </c>
      <c r="C47" s="40" t="s">
        <v>155</v>
      </c>
      <c r="D47" s="89">
        <v>45316</v>
      </c>
      <c r="E47" s="38" t="s">
        <v>74</v>
      </c>
      <c r="F47" s="9" t="s">
        <v>173</v>
      </c>
      <c r="G47" s="159">
        <v>400</v>
      </c>
      <c r="H47" s="159"/>
      <c r="I47" s="160">
        <f t="shared" si="0"/>
        <v>400</v>
      </c>
      <c r="J47" s="160">
        <f t="shared" si="1"/>
        <v>20</v>
      </c>
      <c r="K47" s="160">
        <f t="shared" si="2"/>
        <v>420</v>
      </c>
      <c r="L47" s="13" t="s">
        <v>78</v>
      </c>
      <c r="P47">
        <v>1</v>
      </c>
    </row>
    <row r="48" spans="2:16" ht="17.25" customHeight="1" x14ac:dyDescent="0.25">
      <c r="B48" s="9" t="s">
        <v>174</v>
      </c>
      <c r="C48" s="40" t="s">
        <v>156</v>
      </c>
      <c r="D48" s="89">
        <v>45320</v>
      </c>
      <c r="E48" s="38" t="s">
        <v>175</v>
      </c>
      <c r="F48" s="9" t="s">
        <v>176</v>
      </c>
      <c r="G48" s="159">
        <v>745</v>
      </c>
      <c r="H48" s="159"/>
      <c r="I48" s="160">
        <f t="shared" si="0"/>
        <v>745</v>
      </c>
      <c r="J48" s="160">
        <f t="shared" si="1"/>
        <v>37.25</v>
      </c>
      <c r="K48" s="160">
        <f t="shared" si="2"/>
        <v>782.25</v>
      </c>
      <c r="L48" s="13" t="s">
        <v>78</v>
      </c>
      <c r="P48">
        <v>1</v>
      </c>
    </row>
    <row r="49" spans="2:16" ht="17.25" customHeight="1" x14ac:dyDescent="0.25">
      <c r="B49" s="9" t="s">
        <v>177</v>
      </c>
      <c r="C49" s="40" t="s">
        <v>157</v>
      </c>
      <c r="D49" s="89">
        <v>45320</v>
      </c>
      <c r="E49" s="38" t="s">
        <v>178</v>
      </c>
      <c r="F49" s="9" t="s">
        <v>179</v>
      </c>
      <c r="G49" s="159">
        <v>250</v>
      </c>
      <c r="H49" s="159"/>
      <c r="I49" s="160">
        <f t="shared" si="0"/>
        <v>250</v>
      </c>
      <c r="J49" s="160">
        <f t="shared" si="1"/>
        <v>12.5</v>
      </c>
      <c r="K49" s="160">
        <f t="shared" si="2"/>
        <v>262.5</v>
      </c>
      <c r="L49" s="13" t="s">
        <v>78</v>
      </c>
      <c r="P49">
        <v>1</v>
      </c>
    </row>
    <row r="50" spans="2:16" ht="17.25" customHeight="1" x14ac:dyDescent="0.25">
      <c r="B50" s="9" t="s">
        <v>180</v>
      </c>
      <c r="C50" s="40" t="s">
        <v>158</v>
      </c>
      <c r="D50" s="89">
        <v>45320</v>
      </c>
      <c r="E50" s="38" t="s">
        <v>181</v>
      </c>
      <c r="F50" s="9" t="s">
        <v>179</v>
      </c>
      <c r="G50" s="159">
        <v>250</v>
      </c>
      <c r="H50" s="159"/>
      <c r="I50" s="160">
        <f t="shared" si="0"/>
        <v>250</v>
      </c>
      <c r="J50" s="160">
        <f t="shared" si="1"/>
        <v>12.5</v>
      </c>
      <c r="K50" s="160">
        <f t="shared" si="2"/>
        <v>262.5</v>
      </c>
      <c r="L50" s="13" t="s">
        <v>78</v>
      </c>
      <c r="P50">
        <v>1</v>
      </c>
    </row>
    <row r="51" spans="2:16" ht="17.25" customHeight="1" x14ac:dyDescent="0.25">
      <c r="B51" s="9" t="s">
        <v>182</v>
      </c>
      <c r="C51" s="40" t="s">
        <v>159</v>
      </c>
      <c r="D51" s="89">
        <v>45320</v>
      </c>
      <c r="E51" s="38" t="s">
        <v>183</v>
      </c>
      <c r="F51" s="9" t="s">
        <v>179</v>
      </c>
      <c r="G51" s="159">
        <v>200</v>
      </c>
      <c r="H51" s="159"/>
      <c r="I51" s="160">
        <f t="shared" si="0"/>
        <v>200</v>
      </c>
      <c r="J51" s="160">
        <f t="shared" si="1"/>
        <v>10</v>
      </c>
      <c r="K51" s="160">
        <f t="shared" si="2"/>
        <v>210</v>
      </c>
      <c r="L51" s="13" t="s">
        <v>78</v>
      </c>
      <c r="P51">
        <v>1</v>
      </c>
    </row>
    <row r="52" spans="2:16" ht="17.25" hidden="1" customHeight="1" x14ac:dyDescent="0.25">
      <c r="B52" s="9" t="s">
        <v>184</v>
      </c>
      <c r="C52" s="60" t="s">
        <v>160</v>
      </c>
      <c r="D52" s="89">
        <v>45317</v>
      </c>
      <c r="E52" s="38" t="s">
        <v>185</v>
      </c>
      <c r="F52" s="9" t="s">
        <v>186</v>
      </c>
      <c r="G52" s="159">
        <v>3950</v>
      </c>
      <c r="H52" s="159"/>
      <c r="I52" s="160">
        <f t="shared" si="0"/>
        <v>3950</v>
      </c>
      <c r="J52" s="160">
        <f t="shared" si="1"/>
        <v>197.5</v>
      </c>
      <c r="K52" s="160">
        <f t="shared" si="2"/>
        <v>4147.5</v>
      </c>
      <c r="L52" s="13" t="s">
        <v>9</v>
      </c>
      <c r="P52">
        <v>1</v>
      </c>
    </row>
    <row r="53" spans="2:16" ht="17.25" hidden="1" customHeight="1" x14ac:dyDescent="0.25">
      <c r="B53" s="9" t="s">
        <v>102</v>
      </c>
      <c r="C53" s="60" t="s">
        <v>187</v>
      </c>
      <c r="D53" s="89">
        <v>45317</v>
      </c>
      <c r="E53" s="38" t="s">
        <v>104</v>
      </c>
      <c r="F53" s="9" t="s">
        <v>193</v>
      </c>
      <c r="G53" s="159">
        <v>28</v>
      </c>
      <c r="H53" s="159"/>
      <c r="I53" s="160">
        <f t="shared" si="0"/>
        <v>28</v>
      </c>
      <c r="J53" s="160">
        <f t="shared" si="1"/>
        <v>1.4000000000000001</v>
      </c>
      <c r="K53" s="160">
        <f t="shared" si="2"/>
        <v>29.4</v>
      </c>
      <c r="L53" s="13" t="s">
        <v>9</v>
      </c>
      <c r="P53">
        <v>1</v>
      </c>
    </row>
    <row r="54" spans="2:16" ht="17.25" hidden="1" customHeight="1" x14ac:dyDescent="0.25">
      <c r="B54" s="9" t="s">
        <v>262</v>
      </c>
      <c r="C54" s="40" t="s">
        <v>188</v>
      </c>
      <c r="D54" s="89">
        <v>45321</v>
      </c>
      <c r="E54" s="38" t="s">
        <v>30</v>
      </c>
      <c r="F54" s="9" t="s">
        <v>194</v>
      </c>
      <c r="G54" s="159">
        <v>1780</v>
      </c>
      <c r="H54" s="159"/>
      <c r="I54" s="160">
        <f t="shared" si="0"/>
        <v>1780</v>
      </c>
      <c r="J54" s="160">
        <f t="shared" si="1"/>
        <v>89</v>
      </c>
      <c r="K54" s="160">
        <f t="shared" si="2"/>
        <v>1869</v>
      </c>
      <c r="L54" s="13" t="s">
        <v>9</v>
      </c>
      <c r="P54">
        <v>1</v>
      </c>
    </row>
    <row r="55" spans="2:16" ht="17.25" hidden="1" customHeight="1" x14ac:dyDescent="0.25">
      <c r="B55" s="9" t="s">
        <v>195</v>
      </c>
      <c r="C55" s="40" t="s">
        <v>189</v>
      </c>
      <c r="D55" s="89">
        <v>45317</v>
      </c>
      <c r="E55" s="38" t="s">
        <v>74</v>
      </c>
      <c r="F55" s="9" t="s">
        <v>138</v>
      </c>
      <c r="G55" s="159">
        <v>4687.5</v>
      </c>
      <c r="H55" s="159"/>
      <c r="I55" s="160">
        <f t="shared" si="0"/>
        <v>4687.5</v>
      </c>
      <c r="J55" s="160">
        <f t="shared" si="1"/>
        <v>234.375</v>
      </c>
      <c r="K55" s="160">
        <f t="shared" si="2"/>
        <v>4921.875</v>
      </c>
      <c r="L55" s="13" t="s">
        <v>78</v>
      </c>
      <c r="P55">
        <v>1</v>
      </c>
    </row>
    <row r="56" spans="2:16" ht="17.25" hidden="1" customHeight="1" x14ac:dyDescent="0.25">
      <c r="B56" s="9" t="s">
        <v>114</v>
      </c>
      <c r="C56" s="40" t="s">
        <v>190</v>
      </c>
      <c r="D56" s="89">
        <v>45317</v>
      </c>
      <c r="E56" s="38" t="s">
        <v>115</v>
      </c>
      <c r="F56" s="9" t="s">
        <v>196</v>
      </c>
      <c r="G56" s="159">
        <v>405</v>
      </c>
      <c r="H56" s="159"/>
      <c r="I56" s="160">
        <f t="shared" si="0"/>
        <v>405</v>
      </c>
      <c r="J56" s="160">
        <f t="shared" si="1"/>
        <v>20.25</v>
      </c>
      <c r="K56" s="160">
        <f t="shared" si="2"/>
        <v>425.25</v>
      </c>
      <c r="L56" s="13" t="s">
        <v>9</v>
      </c>
      <c r="P56">
        <v>1</v>
      </c>
    </row>
    <row r="57" spans="2:16" ht="17.25" hidden="1" customHeight="1" x14ac:dyDescent="0.25">
      <c r="B57" s="9" t="s">
        <v>114</v>
      </c>
      <c r="C57" s="40" t="s">
        <v>191</v>
      </c>
      <c r="D57" s="89">
        <v>45317</v>
      </c>
      <c r="E57" s="38" t="s">
        <v>115</v>
      </c>
      <c r="F57" s="9" t="s">
        <v>197</v>
      </c>
      <c r="G57" s="159">
        <v>405</v>
      </c>
      <c r="H57" s="159"/>
      <c r="I57" s="160">
        <f t="shared" si="0"/>
        <v>405</v>
      </c>
      <c r="J57" s="160">
        <f t="shared" si="1"/>
        <v>20.25</v>
      </c>
      <c r="K57" s="160">
        <f t="shared" si="2"/>
        <v>425.25</v>
      </c>
      <c r="L57" s="13" t="s">
        <v>9</v>
      </c>
      <c r="P57">
        <v>1</v>
      </c>
    </row>
    <row r="58" spans="2:16" ht="17.25" hidden="1" customHeight="1" x14ac:dyDescent="0.25">
      <c r="B58" s="9" t="s">
        <v>114</v>
      </c>
      <c r="C58" s="40" t="s">
        <v>192</v>
      </c>
      <c r="D58" s="89">
        <v>45317</v>
      </c>
      <c r="E58" s="38" t="s">
        <v>115</v>
      </c>
      <c r="F58" s="9" t="s">
        <v>198</v>
      </c>
      <c r="G58" s="159">
        <v>405</v>
      </c>
      <c r="H58" s="159"/>
      <c r="I58" s="160">
        <f t="shared" si="0"/>
        <v>405</v>
      </c>
      <c r="J58" s="160">
        <f t="shared" si="1"/>
        <v>20.25</v>
      </c>
      <c r="K58" s="160">
        <f t="shared" si="2"/>
        <v>425.25</v>
      </c>
      <c r="L58" s="13" t="s">
        <v>9</v>
      </c>
      <c r="P58">
        <v>1</v>
      </c>
    </row>
    <row r="59" spans="2:16" ht="17.25" hidden="1" customHeight="1" x14ac:dyDescent="0.25">
      <c r="B59" s="9" t="s">
        <v>199</v>
      </c>
      <c r="C59" s="40" t="s">
        <v>200</v>
      </c>
      <c r="D59" s="89">
        <v>45321</v>
      </c>
      <c r="E59" s="38" t="s">
        <v>201</v>
      </c>
      <c r="F59" s="9" t="s">
        <v>202</v>
      </c>
      <c r="G59" s="159">
        <v>1125</v>
      </c>
      <c r="H59" s="159"/>
      <c r="I59" s="160">
        <f t="shared" si="0"/>
        <v>1125</v>
      </c>
      <c r="J59" s="160">
        <f t="shared" si="1"/>
        <v>56.25</v>
      </c>
      <c r="K59" s="160">
        <f t="shared" si="2"/>
        <v>1181.25</v>
      </c>
      <c r="L59" s="13" t="s">
        <v>78</v>
      </c>
      <c r="P59">
        <v>1</v>
      </c>
    </row>
    <row r="60" spans="2:16" ht="17.25" hidden="1" customHeight="1" x14ac:dyDescent="0.25">
      <c r="B60" s="50" t="s">
        <v>203</v>
      </c>
      <c r="C60" s="69" t="s">
        <v>204</v>
      </c>
      <c r="D60" s="91">
        <v>45320</v>
      </c>
      <c r="E60" s="65" t="s">
        <v>205</v>
      </c>
      <c r="F60" s="53" t="s">
        <v>270</v>
      </c>
      <c r="G60" s="162">
        <v>19067.5</v>
      </c>
      <c r="H60" s="162"/>
      <c r="I60" s="163">
        <f t="shared" si="0"/>
        <v>19067.5</v>
      </c>
      <c r="J60" s="163">
        <f t="shared" si="1"/>
        <v>953.375</v>
      </c>
      <c r="K60" s="163">
        <f t="shared" si="2"/>
        <v>20020.875</v>
      </c>
      <c r="L60" s="68" t="s">
        <v>78</v>
      </c>
      <c r="P60">
        <v>1</v>
      </c>
    </row>
    <row r="61" spans="2:16" ht="17.25" hidden="1" customHeight="1" x14ac:dyDescent="0.25">
      <c r="B61" s="9" t="s">
        <v>221</v>
      </c>
      <c r="C61" s="40" t="s">
        <v>206</v>
      </c>
      <c r="D61" s="89">
        <v>45321</v>
      </c>
      <c r="E61" s="38" t="s">
        <v>222</v>
      </c>
      <c r="F61" s="9" t="s">
        <v>73</v>
      </c>
      <c r="G61" s="159">
        <v>1140</v>
      </c>
      <c r="H61" s="159"/>
      <c r="I61" s="160">
        <f t="shared" si="0"/>
        <v>1140</v>
      </c>
      <c r="J61" s="160">
        <f t="shared" si="1"/>
        <v>57</v>
      </c>
      <c r="K61" s="160">
        <f t="shared" si="2"/>
        <v>1197</v>
      </c>
      <c r="L61" s="13" t="s">
        <v>78</v>
      </c>
      <c r="P61">
        <v>1</v>
      </c>
    </row>
    <row r="62" spans="2:16" ht="17.25" hidden="1" customHeight="1" x14ac:dyDescent="0.25">
      <c r="B62" s="50" t="s">
        <v>119</v>
      </c>
      <c r="C62" s="51" t="s">
        <v>207</v>
      </c>
      <c r="D62" s="91">
        <v>45320</v>
      </c>
      <c r="E62" s="65" t="s">
        <v>74</v>
      </c>
      <c r="F62" s="53" t="s">
        <v>223</v>
      </c>
      <c r="G62" s="162">
        <v>7082.5</v>
      </c>
      <c r="H62" s="162"/>
      <c r="I62" s="163">
        <f t="shared" si="0"/>
        <v>7082.5</v>
      </c>
      <c r="J62" s="163">
        <f t="shared" si="1"/>
        <v>354.125</v>
      </c>
      <c r="K62" s="163">
        <f t="shared" si="2"/>
        <v>7436.625</v>
      </c>
      <c r="L62" s="68" t="s">
        <v>78</v>
      </c>
      <c r="P62">
        <v>1</v>
      </c>
    </row>
    <row r="63" spans="2:16" ht="17.25" hidden="1" customHeight="1" x14ac:dyDescent="0.25">
      <c r="B63" s="9" t="s">
        <v>167</v>
      </c>
      <c r="C63" s="40" t="s">
        <v>208</v>
      </c>
      <c r="D63" s="91">
        <v>45321</v>
      </c>
      <c r="E63" s="38" t="s">
        <v>168</v>
      </c>
      <c r="F63" s="9" t="s">
        <v>224</v>
      </c>
      <c r="G63" s="159">
        <v>4675</v>
      </c>
      <c r="H63" s="159"/>
      <c r="I63" s="160">
        <f t="shared" si="0"/>
        <v>4675</v>
      </c>
      <c r="J63" s="160">
        <f t="shared" si="1"/>
        <v>233.75</v>
      </c>
      <c r="K63" s="160">
        <f t="shared" si="2"/>
        <v>4908.75</v>
      </c>
      <c r="L63" s="13" t="s">
        <v>169</v>
      </c>
      <c r="P63">
        <v>1</v>
      </c>
    </row>
    <row r="64" spans="2:16" ht="17.25" hidden="1" customHeight="1" x14ac:dyDescent="0.25">
      <c r="B64" s="9" t="s">
        <v>29</v>
      </c>
      <c r="C64" s="40" t="s">
        <v>209</v>
      </c>
      <c r="D64" s="91">
        <v>45320</v>
      </c>
      <c r="E64" s="38" t="s">
        <v>128</v>
      </c>
      <c r="F64" s="9" t="s">
        <v>225</v>
      </c>
      <c r="G64" s="159">
        <v>440</v>
      </c>
      <c r="H64" s="159"/>
      <c r="I64" s="160">
        <f t="shared" si="0"/>
        <v>440</v>
      </c>
      <c r="J64" s="160">
        <f t="shared" si="1"/>
        <v>22</v>
      </c>
      <c r="K64" s="160">
        <f t="shared" si="2"/>
        <v>462</v>
      </c>
      <c r="L64" s="13" t="s">
        <v>9</v>
      </c>
      <c r="P64">
        <v>1</v>
      </c>
    </row>
    <row r="65" spans="2:16" ht="17.25" hidden="1" customHeight="1" x14ac:dyDescent="0.25">
      <c r="B65" s="9" t="s">
        <v>10</v>
      </c>
      <c r="C65" s="40" t="s">
        <v>210</v>
      </c>
      <c r="D65" s="91">
        <v>45321</v>
      </c>
      <c r="E65" s="38" t="s">
        <v>16</v>
      </c>
      <c r="F65" s="9" t="s">
        <v>226</v>
      </c>
      <c r="G65" s="159">
        <v>475</v>
      </c>
      <c r="H65" s="159"/>
      <c r="I65" s="160">
        <f t="shared" si="0"/>
        <v>475</v>
      </c>
      <c r="J65" s="160">
        <f t="shared" si="1"/>
        <v>23.75</v>
      </c>
      <c r="K65" s="160">
        <f t="shared" si="2"/>
        <v>498.75</v>
      </c>
      <c r="L65" s="13" t="s">
        <v>9</v>
      </c>
      <c r="P65">
        <v>1</v>
      </c>
    </row>
    <row r="66" spans="2:16" ht="17.25" hidden="1" customHeight="1" x14ac:dyDescent="0.25">
      <c r="B66" s="9" t="s">
        <v>10</v>
      </c>
      <c r="C66" s="40" t="s">
        <v>211</v>
      </c>
      <c r="D66" s="91">
        <v>45321</v>
      </c>
      <c r="E66" s="38" t="s">
        <v>16</v>
      </c>
      <c r="F66" s="9" t="s">
        <v>227</v>
      </c>
      <c r="G66" s="159">
        <v>280</v>
      </c>
      <c r="H66" s="159"/>
      <c r="I66" s="160">
        <f t="shared" si="0"/>
        <v>280</v>
      </c>
      <c r="J66" s="160">
        <f t="shared" si="1"/>
        <v>14</v>
      </c>
      <c r="K66" s="160">
        <f t="shared" si="2"/>
        <v>294</v>
      </c>
      <c r="L66" s="13" t="s">
        <v>9</v>
      </c>
      <c r="P66">
        <v>1</v>
      </c>
    </row>
    <row r="67" spans="2:16" ht="17.25" hidden="1" customHeight="1" x14ac:dyDescent="0.25">
      <c r="B67" s="9" t="s">
        <v>49</v>
      </c>
      <c r="C67" s="40" t="s">
        <v>212</v>
      </c>
      <c r="D67" s="91">
        <v>45321</v>
      </c>
      <c r="E67" s="38" t="s">
        <v>50</v>
      </c>
      <c r="F67" s="9" t="s">
        <v>228</v>
      </c>
      <c r="G67" s="159">
        <v>4525</v>
      </c>
      <c r="H67" s="159"/>
      <c r="I67" s="160">
        <f t="shared" ref="I67:I130" si="3">G67-H67</f>
        <v>4525</v>
      </c>
      <c r="J67" s="160">
        <f t="shared" ref="J67:J130" si="4">G67*5%</f>
        <v>226.25</v>
      </c>
      <c r="K67" s="160">
        <f t="shared" ref="K67:K130" si="5">G67+J67</f>
        <v>4751.25</v>
      </c>
      <c r="L67" s="13" t="s">
        <v>9</v>
      </c>
      <c r="P67">
        <v>1</v>
      </c>
    </row>
    <row r="68" spans="2:16" ht="17.25" hidden="1" customHeight="1" x14ac:dyDescent="0.25">
      <c r="B68" s="9" t="s">
        <v>229</v>
      </c>
      <c r="C68" s="40" t="s">
        <v>213</v>
      </c>
      <c r="D68" s="91">
        <v>45321</v>
      </c>
      <c r="E68" s="38" t="s">
        <v>74</v>
      </c>
      <c r="F68" s="9" t="s">
        <v>230</v>
      </c>
      <c r="G68" s="159">
        <v>525</v>
      </c>
      <c r="H68" s="159"/>
      <c r="I68" s="160">
        <f t="shared" si="3"/>
        <v>525</v>
      </c>
      <c r="J68" s="160">
        <f t="shared" si="4"/>
        <v>26.25</v>
      </c>
      <c r="K68" s="160">
        <f t="shared" si="5"/>
        <v>551.25</v>
      </c>
      <c r="L68" s="13" t="s">
        <v>9</v>
      </c>
      <c r="P68">
        <v>1</v>
      </c>
    </row>
    <row r="69" spans="2:16" ht="17.25" hidden="1" customHeight="1" x14ac:dyDescent="0.25">
      <c r="B69" s="9" t="s">
        <v>231</v>
      </c>
      <c r="C69" s="40" t="s">
        <v>214</v>
      </c>
      <c r="D69" s="91">
        <v>45322</v>
      </c>
      <c r="E69" s="38" t="s">
        <v>232</v>
      </c>
      <c r="F69" s="9" t="s">
        <v>233</v>
      </c>
      <c r="G69" s="159">
        <v>300</v>
      </c>
      <c r="H69" s="159"/>
      <c r="I69" s="160">
        <f t="shared" si="3"/>
        <v>300</v>
      </c>
      <c r="J69" s="160">
        <f t="shared" si="4"/>
        <v>15</v>
      </c>
      <c r="K69" s="160">
        <f t="shared" si="5"/>
        <v>315</v>
      </c>
      <c r="L69" s="13" t="s">
        <v>169</v>
      </c>
      <c r="P69">
        <v>1</v>
      </c>
    </row>
    <row r="70" spans="2:16" ht="17.25" hidden="1" customHeight="1" x14ac:dyDescent="0.25">
      <c r="B70" s="9" t="s">
        <v>29</v>
      </c>
      <c r="C70" s="40" t="s">
        <v>215</v>
      </c>
      <c r="D70" s="91">
        <v>45322</v>
      </c>
      <c r="E70" s="38" t="s">
        <v>28</v>
      </c>
      <c r="F70" s="9" t="s">
        <v>234</v>
      </c>
      <c r="G70" s="159">
        <v>9558.4</v>
      </c>
      <c r="H70" s="159"/>
      <c r="I70" s="160">
        <f t="shared" si="3"/>
        <v>9558.4</v>
      </c>
      <c r="J70" s="160">
        <f t="shared" si="4"/>
        <v>477.92</v>
      </c>
      <c r="K70" s="160">
        <f t="shared" si="5"/>
        <v>10036.32</v>
      </c>
      <c r="L70" s="13" t="s">
        <v>9</v>
      </c>
      <c r="P70">
        <v>1</v>
      </c>
    </row>
    <row r="71" spans="2:16" ht="17.25" hidden="1" customHeight="1" x14ac:dyDescent="0.25">
      <c r="B71" s="9" t="s">
        <v>236</v>
      </c>
      <c r="C71" s="40" t="s">
        <v>216</v>
      </c>
      <c r="D71" s="91">
        <v>45322</v>
      </c>
      <c r="E71" s="38" t="s">
        <v>237</v>
      </c>
      <c r="F71" s="9" t="s">
        <v>235</v>
      </c>
      <c r="G71" s="159">
        <v>165</v>
      </c>
      <c r="H71" s="159"/>
      <c r="I71" s="160">
        <f t="shared" si="3"/>
        <v>165</v>
      </c>
      <c r="J71" s="160">
        <f t="shared" si="4"/>
        <v>8.25</v>
      </c>
      <c r="K71" s="160">
        <f t="shared" si="5"/>
        <v>173.25</v>
      </c>
      <c r="L71" s="13" t="s">
        <v>9</v>
      </c>
      <c r="P71">
        <v>1</v>
      </c>
    </row>
    <row r="72" spans="2:16" ht="17.25" hidden="1" customHeight="1" x14ac:dyDescent="0.25">
      <c r="B72" s="9" t="s">
        <v>236</v>
      </c>
      <c r="C72" s="40" t="s">
        <v>217</v>
      </c>
      <c r="D72" s="91">
        <v>45322</v>
      </c>
      <c r="E72" s="38" t="s">
        <v>237</v>
      </c>
      <c r="F72" s="9" t="s">
        <v>235</v>
      </c>
      <c r="G72" s="159">
        <v>210</v>
      </c>
      <c r="H72" s="159"/>
      <c r="I72" s="160">
        <f t="shared" si="3"/>
        <v>210</v>
      </c>
      <c r="J72" s="160">
        <f t="shared" si="4"/>
        <v>10.5</v>
      </c>
      <c r="K72" s="160">
        <f t="shared" si="5"/>
        <v>220.5</v>
      </c>
      <c r="L72" s="13" t="s">
        <v>9</v>
      </c>
      <c r="P72">
        <v>1</v>
      </c>
    </row>
    <row r="73" spans="2:16" ht="17.25" hidden="1" customHeight="1" x14ac:dyDescent="0.25">
      <c r="B73" s="9" t="s">
        <v>238</v>
      </c>
      <c r="C73" s="40" t="s">
        <v>218</v>
      </c>
      <c r="D73" s="91">
        <v>45322</v>
      </c>
      <c r="E73" s="38" t="s">
        <v>239</v>
      </c>
      <c r="F73" s="9" t="s">
        <v>240</v>
      </c>
      <c r="G73" s="159">
        <v>150</v>
      </c>
      <c r="H73" s="159"/>
      <c r="I73" s="160">
        <f t="shared" si="3"/>
        <v>150</v>
      </c>
      <c r="J73" s="160">
        <f t="shared" si="4"/>
        <v>7.5</v>
      </c>
      <c r="K73" s="160">
        <f t="shared" si="5"/>
        <v>157.5</v>
      </c>
      <c r="L73" s="13" t="s">
        <v>78</v>
      </c>
      <c r="P73">
        <v>1</v>
      </c>
    </row>
    <row r="74" spans="2:16" ht="17.25" hidden="1" customHeight="1" x14ac:dyDescent="0.25">
      <c r="B74" s="61" t="s">
        <v>241</v>
      </c>
      <c r="C74" s="62" t="s">
        <v>219</v>
      </c>
      <c r="D74" s="92">
        <v>45322</v>
      </c>
      <c r="E74" s="63" t="s">
        <v>242</v>
      </c>
      <c r="F74" s="61" t="s">
        <v>243</v>
      </c>
      <c r="G74" s="161">
        <v>0</v>
      </c>
      <c r="H74" s="161"/>
      <c r="I74" s="161">
        <f t="shared" si="3"/>
        <v>0</v>
      </c>
      <c r="J74" s="161">
        <f t="shared" si="4"/>
        <v>0</v>
      </c>
      <c r="K74" s="161">
        <f t="shared" si="5"/>
        <v>0</v>
      </c>
      <c r="L74" s="64" t="s">
        <v>78</v>
      </c>
      <c r="P74">
        <v>1</v>
      </c>
    </row>
    <row r="75" spans="2:16" ht="17.25" hidden="1" customHeight="1" x14ac:dyDescent="0.25">
      <c r="B75" s="9" t="s">
        <v>244</v>
      </c>
      <c r="C75" s="40" t="s">
        <v>220</v>
      </c>
      <c r="D75" s="91">
        <v>45322</v>
      </c>
      <c r="E75" s="38" t="s">
        <v>246</v>
      </c>
      <c r="F75" s="9" t="s">
        <v>245</v>
      </c>
      <c r="G75" s="159">
        <v>1250</v>
      </c>
      <c r="H75" s="159"/>
      <c r="I75" s="160">
        <f t="shared" si="3"/>
        <v>1250</v>
      </c>
      <c r="J75" s="160">
        <f t="shared" si="4"/>
        <v>62.5</v>
      </c>
      <c r="K75" s="160">
        <f t="shared" si="5"/>
        <v>1312.5</v>
      </c>
      <c r="L75" s="13" t="s">
        <v>9</v>
      </c>
      <c r="P75">
        <v>1</v>
      </c>
    </row>
    <row r="76" spans="2:16" ht="17.25" hidden="1" customHeight="1" x14ac:dyDescent="0.25">
      <c r="B76" s="9" t="s">
        <v>203</v>
      </c>
      <c r="C76" s="40" t="s">
        <v>247</v>
      </c>
      <c r="D76" s="91">
        <v>45322</v>
      </c>
      <c r="E76" s="38" t="s">
        <v>251</v>
      </c>
      <c r="F76" s="9" t="s">
        <v>252</v>
      </c>
      <c r="G76" s="159">
        <v>126</v>
      </c>
      <c r="H76" s="159"/>
      <c r="I76" s="160">
        <f t="shared" si="3"/>
        <v>126</v>
      </c>
      <c r="J76" s="160">
        <f t="shared" si="4"/>
        <v>6.3000000000000007</v>
      </c>
      <c r="K76" s="160">
        <f t="shared" si="5"/>
        <v>132.30000000000001</v>
      </c>
      <c r="L76" s="13" t="s">
        <v>78</v>
      </c>
      <c r="P76">
        <v>1</v>
      </c>
    </row>
    <row r="77" spans="2:16" ht="17.25" hidden="1" customHeight="1" x14ac:dyDescent="0.25">
      <c r="B77" s="50" t="s">
        <v>253</v>
      </c>
      <c r="C77" s="51" t="s">
        <v>248</v>
      </c>
      <c r="D77" s="91">
        <v>45322</v>
      </c>
      <c r="E77" s="65" t="s">
        <v>254</v>
      </c>
      <c r="F77" s="53" t="s">
        <v>255</v>
      </c>
      <c r="G77" s="162">
        <v>1060</v>
      </c>
      <c r="H77" s="162"/>
      <c r="I77" s="163">
        <f t="shared" si="3"/>
        <v>1060</v>
      </c>
      <c r="J77" s="163">
        <f t="shared" si="4"/>
        <v>53</v>
      </c>
      <c r="K77" s="163">
        <f t="shared" si="5"/>
        <v>1113</v>
      </c>
      <c r="L77" s="68" t="s">
        <v>78</v>
      </c>
      <c r="P77">
        <v>1</v>
      </c>
    </row>
    <row r="78" spans="2:16" ht="17.25" hidden="1" customHeight="1" x14ac:dyDescent="0.25">
      <c r="B78" s="9" t="s">
        <v>102</v>
      </c>
      <c r="C78" s="60" t="s">
        <v>249</v>
      </c>
      <c r="D78" s="91">
        <v>45322</v>
      </c>
      <c r="E78" s="38" t="s">
        <v>104</v>
      </c>
      <c r="F78" s="9" t="s">
        <v>256</v>
      </c>
      <c r="G78" s="159">
        <v>4785</v>
      </c>
      <c r="H78" s="159"/>
      <c r="I78" s="160">
        <f t="shared" si="3"/>
        <v>4785</v>
      </c>
      <c r="J78" s="160">
        <f t="shared" si="4"/>
        <v>239.25</v>
      </c>
      <c r="K78" s="160">
        <f t="shared" si="5"/>
        <v>5024.25</v>
      </c>
      <c r="L78" s="13" t="s">
        <v>9</v>
      </c>
      <c r="P78">
        <v>1</v>
      </c>
    </row>
    <row r="79" spans="2:16" ht="17.25" hidden="1" customHeight="1" x14ac:dyDescent="0.25">
      <c r="B79" s="9" t="s">
        <v>257</v>
      </c>
      <c r="C79" s="60" t="s">
        <v>250</v>
      </c>
      <c r="D79" s="91">
        <v>45322</v>
      </c>
      <c r="E79" s="38" t="s">
        <v>258</v>
      </c>
      <c r="F79" s="9" t="s">
        <v>259</v>
      </c>
      <c r="G79" s="159">
        <v>14375</v>
      </c>
      <c r="H79" s="159"/>
      <c r="I79" s="160">
        <f t="shared" si="3"/>
        <v>14375</v>
      </c>
      <c r="J79" s="160">
        <f t="shared" si="4"/>
        <v>718.75</v>
      </c>
      <c r="K79" s="160">
        <f t="shared" si="5"/>
        <v>15093.75</v>
      </c>
      <c r="L79" s="13" t="s">
        <v>9</v>
      </c>
      <c r="P79">
        <v>1</v>
      </c>
    </row>
    <row r="80" spans="2:16" ht="17.25" hidden="1" customHeight="1" x14ac:dyDescent="0.25">
      <c r="B80" s="9" t="s">
        <v>263</v>
      </c>
      <c r="C80" s="40" t="s">
        <v>260</v>
      </c>
      <c r="D80" s="91">
        <v>45324</v>
      </c>
      <c r="E80" s="38" t="s">
        <v>264</v>
      </c>
      <c r="F80" s="9" t="s">
        <v>265</v>
      </c>
      <c r="G80" s="159">
        <v>1575</v>
      </c>
      <c r="H80" s="159"/>
      <c r="I80" s="160">
        <f t="shared" si="3"/>
        <v>1575</v>
      </c>
      <c r="J80" s="160">
        <f t="shared" si="4"/>
        <v>78.75</v>
      </c>
      <c r="K80" s="160">
        <f t="shared" si="5"/>
        <v>1653.75</v>
      </c>
      <c r="L80" s="13" t="s">
        <v>78</v>
      </c>
      <c r="P80">
        <v>1</v>
      </c>
    </row>
    <row r="81" spans="2:16" ht="17.25" hidden="1" customHeight="1" x14ac:dyDescent="0.25">
      <c r="B81" s="9" t="s">
        <v>266</v>
      </c>
      <c r="C81" s="40" t="s">
        <v>261</v>
      </c>
      <c r="D81" s="91">
        <v>45327</v>
      </c>
      <c r="E81" s="38" t="s">
        <v>267</v>
      </c>
      <c r="F81" s="9" t="s">
        <v>268</v>
      </c>
      <c r="G81" s="159">
        <v>1400</v>
      </c>
      <c r="H81" s="159"/>
      <c r="I81" s="160">
        <f t="shared" si="3"/>
        <v>1400</v>
      </c>
      <c r="J81" s="160">
        <f t="shared" si="4"/>
        <v>70</v>
      </c>
      <c r="K81" s="160">
        <f t="shared" si="5"/>
        <v>1470</v>
      </c>
      <c r="L81" s="13" t="s">
        <v>78</v>
      </c>
      <c r="P81">
        <v>1</v>
      </c>
    </row>
    <row r="82" spans="2:16" ht="17.25" hidden="1" customHeight="1" x14ac:dyDescent="0.25">
      <c r="B82" s="9" t="s">
        <v>263</v>
      </c>
      <c r="C82" s="40" t="s">
        <v>271</v>
      </c>
      <c r="D82" s="91">
        <v>45327</v>
      </c>
      <c r="E82" s="38" t="s">
        <v>279</v>
      </c>
      <c r="F82" s="9" t="s">
        <v>280</v>
      </c>
      <c r="G82" s="159">
        <v>1575</v>
      </c>
      <c r="H82" s="159"/>
      <c r="I82" s="160">
        <f t="shared" si="3"/>
        <v>1575</v>
      </c>
      <c r="J82" s="160">
        <f t="shared" si="4"/>
        <v>78.75</v>
      </c>
      <c r="K82" s="160">
        <f t="shared" si="5"/>
        <v>1653.75</v>
      </c>
      <c r="L82" s="13" t="s">
        <v>78</v>
      </c>
      <c r="P82">
        <v>1</v>
      </c>
    </row>
    <row r="83" spans="2:16" ht="17.25" hidden="1" customHeight="1" x14ac:dyDescent="0.25">
      <c r="B83" s="9" t="s">
        <v>276</v>
      </c>
      <c r="C83" s="40" t="s">
        <v>272</v>
      </c>
      <c r="D83" s="91">
        <v>45327</v>
      </c>
      <c r="E83" s="38" t="s">
        <v>277</v>
      </c>
      <c r="F83" s="9" t="s">
        <v>278</v>
      </c>
      <c r="G83" s="159">
        <v>275</v>
      </c>
      <c r="H83" s="159"/>
      <c r="I83" s="160">
        <f t="shared" si="3"/>
        <v>275</v>
      </c>
      <c r="J83" s="160">
        <f t="shared" si="4"/>
        <v>13.75</v>
      </c>
      <c r="K83" s="160">
        <f t="shared" si="5"/>
        <v>288.75</v>
      </c>
      <c r="L83" s="13" t="s">
        <v>9</v>
      </c>
      <c r="P83">
        <v>1</v>
      </c>
    </row>
    <row r="84" spans="2:16" ht="17.25" hidden="1" customHeight="1" x14ac:dyDescent="0.25">
      <c r="B84" s="9" t="s">
        <v>281</v>
      </c>
      <c r="C84" s="40" t="s">
        <v>273</v>
      </c>
      <c r="D84" s="91">
        <v>45329</v>
      </c>
      <c r="E84" s="38" t="s">
        <v>282</v>
      </c>
      <c r="F84" s="9" t="s">
        <v>283</v>
      </c>
      <c r="G84" s="159">
        <v>10965</v>
      </c>
      <c r="H84" s="159"/>
      <c r="I84" s="160">
        <f t="shared" si="3"/>
        <v>10965</v>
      </c>
      <c r="J84" s="160">
        <f t="shared" si="4"/>
        <v>548.25</v>
      </c>
      <c r="K84" s="160">
        <f t="shared" si="5"/>
        <v>11513.25</v>
      </c>
      <c r="L84" s="13" t="s">
        <v>78</v>
      </c>
      <c r="P84">
        <v>1</v>
      </c>
    </row>
    <row r="85" spans="2:16" ht="17.25" hidden="1" customHeight="1" x14ac:dyDescent="0.25">
      <c r="B85" s="9" t="s">
        <v>142</v>
      </c>
      <c r="C85" s="40" t="s">
        <v>274</v>
      </c>
      <c r="D85" s="91">
        <v>45328</v>
      </c>
      <c r="E85" s="38" t="s">
        <v>285</v>
      </c>
      <c r="F85" s="9" t="s">
        <v>284</v>
      </c>
      <c r="G85" s="159">
        <v>685</v>
      </c>
      <c r="H85" s="159"/>
      <c r="I85" s="160">
        <f t="shared" si="3"/>
        <v>685</v>
      </c>
      <c r="J85" s="160">
        <f t="shared" si="4"/>
        <v>34.25</v>
      </c>
      <c r="K85" s="160">
        <f t="shared" si="5"/>
        <v>719.25</v>
      </c>
      <c r="L85" s="13" t="s">
        <v>9</v>
      </c>
      <c r="P85">
        <v>1</v>
      </c>
    </row>
    <row r="86" spans="2:16" ht="17.25" hidden="1" customHeight="1" x14ac:dyDescent="0.25">
      <c r="B86" s="9" t="s">
        <v>114</v>
      </c>
      <c r="C86" s="40" t="s">
        <v>275</v>
      </c>
      <c r="D86" s="91">
        <v>45328</v>
      </c>
      <c r="E86" s="38" t="s">
        <v>115</v>
      </c>
      <c r="F86" s="9" t="s">
        <v>286</v>
      </c>
      <c r="G86" s="159">
        <v>405</v>
      </c>
      <c r="H86" s="159"/>
      <c r="I86" s="160">
        <f t="shared" si="3"/>
        <v>405</v>
      </c>
      <c r="J86" s="160">
        <f t="shared" si="4"/>
        <v>20.25</v>
      </c>
      <c r="K86" s="160">
        <f t="shared" si="5"/>
        <v>425.25</v>
      </c>
      <c r="L86" s="13" t="s">
        <v>9</v>
      </c>
      <c r="P86">
        <v>1</v>
      </c>
    </row>
    <row r="87" spans="2:16" ht="17.25" hidden="1" customHeight="1" x14ac:dyDescent="0.25">
      <c r="B87" s="9" t="s">
        <v>290</v>
      </c>
      <c r="C87" s="40" t="s">
        <v>287</v>
      </c>
      <c r="D87" s="91">
        <v>45331</v>
      </c>
      <c r="E87" s="38" t="s">
        <v>74</v>
      </c>
      <c r="F87" s="9" t="s">
        <v>291</v>
      </c>
      <c r="G87" s="159">
        <v>779</v>
      </c>
      <c r="H87" s="159"/>
      <c r="I87" s="160">
        <f t="shared" si="3"/>
        <v>779</v>
      </c>
      <c r="J87" s="160">
        <f t="shared" si="4"/>
        <v>38.950000000000003</v>
      </c>
      <c r="K87" s="160">
        <f t="shared" si="5"/>
        <v>817.95</v>
      </c>
      <c r="L87" s="13" t="s">
        <v>78</v>
      </c>
      <c r="P87">
        <v>1</v>
      </c>
    </row>
    <row r="88" spans="2:16" ht="17.25" hidden="1" customHeight="1" x14ac:dyDescent="0.25">
      <c r="B88" s="9" t="s">
        <v>292</v>
      </c>
      <c r="C88" s="40" t="s">
        <v>288</v>
      </c>
      <c r="D88" s="91">
        <v>45330</v>
      </c>
      <c r="E88" s="38" t="s">
        <v>74</v>
      </c>
      <c r="F88" s="9" t="s">
        <v>293</v>
      </c>
      <c r="G88" s="159">
        <v>140</v>
      </c>
      <c r="H88" s="159"/>
      <c r="I88" s="160">
        <f t="shared" si="3"/>
        <v>140</v>
      </c>
      <c r="J88" s="160">
        <f t="shared" si="4"/>
        <v>7</v>
      </c>
      <c r="K88" s="160">
        <f t="shared" si="5"/>
        <v>147</v>
      </c>
      <c r="L88" s="13" t="s">
        <v>9</v>
      </c>
      <c r="P88">
        <v>1</v>
      </c>
    </row>
    <row r="89" spans="2:16" ht="17.25" hidden="1" customHeight="1" x14ac:dyDescent="0.25">
      <c r="B89" s="9" t="s">
        <v>276</v>
      </c>
      <c r="C89" s="40" t="s">
        <v>289</v>
      </c>
      <c r="D89" s="91">
        <v>45334</v>
      </c>
      <c r="E89" s="38" t="s">
        <v>277</v>
      </c>
      <c r="F89" s="9" t="s">
        <v>294</v>
      </c>
      <c r="G89" s="159">
        <v>350</v>
      </c>
      <c r="H89" s="159"/>
      <c r="I89" s="160">
        <f t="shared" si="3"/>
        <v>350</v>
      </c>
      <c r="J89" s="160">
        <f t="shared" si="4"/>
        <v>17.5</v>
      </c>
      <c r="K89" s="160">
        <f t="shared" si="5"/>
        <v>367.5</v>
      </c>
      <c r="L89" s="13" t="s">
        <v>9</v>
      </c>
      <c r="P89">
        <v>1</v>
      </c>
    </row>
    <row r="90" spans="2:16" ht="17.25" hidden="1" customHeight="1" x14ac:dyDescent="0.25">
      <c r="B90" s="9" t="s">
        <v>297</v>
      </c>
      <c r="C90" s="40" t="s">
        <v>295</v>
      </c>
      <c r="D90" s="91">
        <v>45334</v>
      </c>
      <c r="E90" s="71" t="s">
        <v>301</v>
      </c>
      <c r="F90" s="9" t="s">
        <v>298</v>
      </c>
      <c r="G90" s="159">
        <v>989</v>
      </c>
      <c r="H90" s="159"/>
      <c r="I90" s="160">
        <f t="shared" si="3"/>
        <v>989</v>
      </c>
      <c r="J90" s="160">
        <f t="shared" si="4"/>
        <v>49.45</v>
      </c>
      <c r="K90" s="160">
        <f t="shared" si="5"/>
        <v>1038.45</v>
      </c>
      <c r="L90" s="13" t="s">
        <v>78</v>
      </c>
      <c r="P90">
        <v>1</v>
      </c>
    </row>
    <row r="91" spans="2:16" ht="17.25" hidden="1" customHeight="1" x14ac:dyDescent="0.25">
      <c r="B91" s="9" t="s">
        <v>299</v>
      </c>
      <c r="C91" s="40" t="s">
        <v>296</v>
      </c>
      <c r="D91" s="91">
        <v>45334</v>
      </c>
      <c r="E91" s="71" t="s">
        <v>302</v>
      </c>
      <c r="F91" s="9" t="s">
        <v>300</v>
      </c>
      <c r="G91" s="159">
        <v>1580</v>
      </c>
      <c r="H91" s="159"/>
      <c r="I91" s="160">
        <f t="shared" si="3"/>
        <v>1580</v>
      </c>
      <c r="J91" s="160">
        <f t="shared" si="4"/>
        <v>79</v>
      </c>
      <c r="K91" s="160">
        <f t="shared" si="5"/>
        <v>1659</v>
      </c>
      <c r="L91" s="13" t="s">
        <v>78</v>
      </c>
      <c r="P91">
        <v>1</v>
      </c>
    </row>
    <row r="92" spans="2:16" ht="17.25" hidden="1" customHeight="1" x14ac:dyDescent="0.25">
      <c r="B92" s="9" t="s">
        <v>10</v>
      </c>
      <c r="C92" s="40" t="s">
        <v>303</v>
      </c>
      <c r="D92" s="91">
        <v>45335</v>
      </c>
      <c r="E92" s="71" t="s">
        <v>16</v>
      </c>
      <c r="F92" s="9" t="s">
        <v>305</v>
      </c>
      <c r="G92" s="159">
        <v>1125</v>
      </c>
      <c r="H92" s="159"/>
      <c r="I92" s="160">
        <f t="shared" si="3"/>
        <v>1125</v>
      </c>
      <c r="J92" s="160">
        <f t="shared" si="4"/>
        <v>56.25</v>
      </c>
      <c r="K92" s="160">
        <f t="shared" si="5"/>
        <v>1181.25</v>
      </c>
      <c r="L92" s="13" t="s">
        <v>9</v>
      </c>
      <c r="P92">
        <v>1</v>
      </c>
    </row>
    <row r="93" spans="2:16" ht="17.25" hidden="1" customHeight="1" x14ac:dyDescent="0.25">
      <c r="B93" s="9" t="s">
        <v>100</v>
      </c>
      <c r="C93" s="40" t="s">
        <v>304</v>
      </c>
      <c r="D93" s="91">
        <v>45334</v>
      </c>
      <c r="E93" s="70" t="s">
        <v>74</v>
      </c>
      <c r="F93" s="9" t="s">
        <v>306</v>
      </c>
      <c r="G93" s="159">
        <v>190</v>
      </c>
      <c r="H93" s="159"/>
      <c r="I93" s="160">
        <f t="shared" si="3"/>
        <v>190</v>
      </c>
      <c r="J93" s="160">
        <f t="shared" si="4"/>
        <v>9.5</v>
      </c>
      <c r="K93" s="160">
        <f t="shared" si="5"/>
        <v>199.5</v>
      </c>
      <c r="L93" s="13" t="s">
        <v>9</v>
      </c>
      <c r="P93">
        <v>1</v>
      </c>
    </row>
    <row r="94" spans="2:16" ht="17.25" hidden="1" customHeight="1" x14ac:dyDescent="0.25">
      <c r="B94" s="9" t="s">
        <v>114</v>
      </c>
      <c r="C94" s="40" t="s">
        <v>307</v>
      </c>
      <c r="D94" s="91">
        <v>45335</v>
      </c>
      <c r="E94" s="71" t="s">
        <v>115</v>
      </c>
      <c r="F94" s="9" t="s">
        <v>309</v>
      </c>
      <c r="G94" s="159">
        <v>390</v>
      </c>
      <c r="H94" s="159"/>
      <c r="I94" s="160">
        <f t="shared" si="3"/>
        <v>390</v>
      </c>
      <c r="J94" s="160">
        <f t="shared" si="4"/>
        <v>19.5</v>
      </c>
      <c r="K94" s="160">
        <f t="shared" si="5"/>
        <v>409.5</v>
      </c>
      <c r="L94" s="13" t="s">
        <v>9</v>
      </c>
      <c r="P94">
        <v>1</v>
      </c>
    </row>
    <row r="95" spans="2:16" ht="17.25" hidden="1" customHeight="1" x14ac:dyDescent="0.25">
      <c r="B95" s="9" t="s">
        <v>114</v>
      </c>
      <c r="C95" s="40" t="s">
        <v>308</v>
      </c>
      <c r="D95" s="91">
        <v>45335</v>
      </c>
      <c r="E95" s="71" t="s">
        <v>115</v>
      </c>
      <c r="F95" s="9" t="s">
        <v>134</v>
      </c>
      <c r="G95" s="159">
        <v>1800</v>
      </c>
      <c r="H95" s="159"/>
      <c r="I95" s="160">
        <f t="shared" si="3"/>
        <v>1800</v>
      </c>
      <c r="J95" s="160">
        <f t="shared" si="4"/>
        <v>90</v>
      </c>
      <c r="K95" s="160">
        <f t="shared" si="5"/>
        <v>1890</v>
      </c>
      <c r="L95" s="13" t="s">
        <v>9</v>
      </c>
      <c r="P95">
        <v>1</v>
      </c>
    </row>
    <row r="96" spans="2:16" ht="17.25" hidden="1" customHeight="1" x14ac:dyDescent="0.25">
      <c r="B96" s="9" t="s">
        <v>319</v>
      </c>
      <c r="C96" s="60" t="s">
        <v>310</v>
      </c>
      <c r="D96" s="91">
        <v>45332</v>
      </c>
      <c r="E96" s="72">
        <v>100060213400003</v>
      </c>
      <c r="F96" s="9" t="s">
        <v>320</v>
      </c>
      <c r="G96" s="159">
        <v>13000</v>
      </c>
      <c r="H96" s="159"/>
      <c r="I96" s="160">
        <f t="shared" si="3"/>
        <v>13000</v>
      </c>
      <c r="J96" s="160">
        <f t="shared" si="4"/>
        <v>650</v>
      </c>
      <c r="K96" s="160">
        <f t="shared" si="5"/>
        <v>13650</v>
      </c>
      <c r="L96" s="13" t="s">
        <v>9</v>
      </c>
      <c r="P96">
        <v>1</v>
      </c>
    </row>
    <row r="97" spans="2:16" ht="17.25" hidden="1" customHeight="1" x14ac:dyDescent="0.25">
      <c r="B97" s="9" t="s">
        <v>321</v>
      </c>
      <c r="C97" s="40" t="s">
        <v>311</v>
      </c>
      <c r="D97" s="91">
        <v>45338</v>
      </c>
      <c r="E97" s="72" t="s">
        <v>74</v>
      </c>
      <c r="F97" s="9" t="s">
        <v>322</v>
      </c>
      <c r="G97" s="159">
        <v>525</v>
      </c>
      <c r="H97" s="159"/>
      <c r="I97" s="160">
        <f t="shared" si="3"/>
        <v>525</v>
      </c>
      <c r="J97" s="160">
        <f t="shared" si="4"/>
        <v>26.25</v>
      </c>
      <c r="K97" s="160">
        <f t="shared" si="5"/>
        <v>551.25</v>
      </c>
      <c r="L97" s="13" t="s">
        <v>9</v>
      </c>
      <c r="P97">
        <v>1</v>
      </c>
    </row>
    <row r="98" spans="2:16" ht="17.25" hidden="1" customHeight="1" x14ac:dyDescent="0.25">
      <c r="B98" s="9" t="s">
        <v>10</v>
      </c>
      <c r="C98" s="60" t="s">
        <v>312</v>
      </c>
      <c r="D98" s="91">
        <v>45337</v>
      </c>
      <c r="E98" s="72">
        <v>100542487200003</v>
      </c>
      <c r="F98" s="9" t="s">
        <v>323</v>
      </c>
      <c r="G98" s="159">
        <v>595</v>
      </c>
      <c r="H98" s="159"/>
      <c r="I98" s="160">
        <f t="shared" si="3"/>
        <v>595</v>
      </c>
      <c r="J98" s="160">
        <f t="shared" si="4"/>
        <v>29.75</v>
      </c>
      <c r="K98" s="160">
        <f t="shared" si="5"/>
        <v>624.75</v>
      </c>
      <c r="L98" s="13" t="s">
        <v>9</v>
      </c>
      <c r="P98">
        <v>1</v>
      </c>
    </row>
    <row r="99" spans="2:16" ht="17.25" hidden="1" customHeight="1" x14ac:dyDescent="0.25">
      <c r="B99" s="9" t="s">
        <v>10</v>
      </c>
      <c r="C99" s="40" t="s">
        <v>313</v>
      </c>
      <c r="D99" s="91">
        <v>45338</v>
      </c>
      <c r="E99" s="72">
        <v>100542487200003</v>
      </c>
      <c r="F99" s="9" t="s">
        <v>326</v>
      </c>
      <c r="G99" s="159">
        <v>145</v>
      </c>
      <c r="H99" s="159"/>
      <c r="I99" s="160">
        <f t="shared" si="3"/>
        <v>145</v>
      </c>
      <c r="J99" s="160">
        <f t="shared" si="4"/>
        <v>7.25</v>
      </c>
      <c r="K99" s="160">
        <f t="shared" si="5"/>
        <v>152.25</v>
      </c>
      <c r="L99" s="13" t="s">
        <v>9</v>
      </c>
      <c r="P99">
        <v>1</v>
      </c>
    </row>
    <row r="100" spans="2:16" ht="17.25" hidden="1" customHeight="1" x14ac:dyDescent="0.25">
      <c r="B100" s="9" t="s">
        <v>75</v>
      </c>
      <c r="C100" s="40" t="s">
        <v>314</v>
      </c>
      <c r="D100" s="91">
        <v>45341</v>
      </c>
      <c r="E100" s="72">
        <v>100540543400003</v>
      </c>
      <c r="F100" s="9" t="s">
        <v>327</v>
      </c>
      <c r="G100" s="159">
        <v>860</v>
      </c>
      <c r="H100" s="159"/>
      <c r="I100" s="160">
        <f t="shared" si="3"/>
        <v>860</v>
      </c>
      <c r="J100" s="160">
        <f t="shared" si="4"/>
        <v>43</v>
      </c>
      <c r="K100" s="160">
        <f t="shared" si="5"/>
        <v>903</v>
      </c>
      <c r="L100" s="13" t="s">
        <v>78</v>
      </c>
      <c r="P100">
        <v>1</v>
      </c>
    </row>
    <row r="101" spans="2:16" ht="17.25" hidden="1" customHeight="1" x14ac:dyDescent="0.25">
      <c r="B101" s="9" t="s">
        <v>10</v>
      </c>
      <c r="C101" s="40" t="s">
        <v>315</v>
      </c>
      <c r="D101" s="91">
        <v>45342</v>
      </c>
      <c r="E101" s="72">
        <v>100542487200003</v>
      </c>
      <c r="F101" s="9" t="s">
        <v>328</v>
      </c>
      <c r="G101" s="159">
        <v>625</v>
      </c>
      <c r="H101" s="159"/>
      <c r="I101" s="160">
        <f t="shared" si="3"/>
        <v>625</v>
      </c>
      <c r="J101" s="160">
        <f t="shared" si="4"/>
        <v>31.25</v>
      </c>
      <c r="K101" s="160">
        <f t="shared" si="5"/>
        <v>656.25</v>
      </c>
      <c r="L101" s="13" t="s">
        <v>9</v>
      </c>
      <c r="P101">
        <v>1</v>
      </c>
    </row>
    <row r="102" spans="2:16" ht="17.25" hidden="1" customHeight="1" x14ac:dyDescent="0.25">
      <c r="B102" s="9" t="s">
        <v>345</v>
      </c>
      <c r="C102" s="40" t="s">
        <v>316</v>
      </c>
      <c r="D102" s="91">
        <v>45338</v>
      </c>
      <c r="E102" s="72">
        <v>100470289800003</v>
      </c>
      <c r="F102" s="9" t="s">
        <v>329</v>
      </c>
      <c r="G102" s="159">
        <v>8850</v>
      </c>
      <c r="H102" s="159"/>
      <c r="I102" s="160">
        <f t="shared" si="3"/>
        <v>8850</v>
      </c>
      <c r="J102" s="160">
        <f t="shared" si="4"/>
        <v>442.5</v>
      </c>
      <c r="K102" s="160">
        <f t="shared" si="5"/>
        <v>9292.5</v>
      </c>
      <c r="L102" s="13" t="s">
        <v>9</v>
      </c>
      <c r="P102">
        <v>1</v>
      </c>
    </row>
    <row r="103" spans="2:16" ht="17.25" hidden="1" customHeight="1" x14ac:dyDescent="0.25">
      <c r="B103" s="9" t="s">
        <v>330</v>
      </c>
      <c r="C103" s="40" t="s">
        <v>317</v>
      </c>
      <c r="D103" s="91">
        <v>45338</v>
      </c>
      <c r="E103" s="72" t="s">
        <v>331</v>
      </c>
      <c r="F103" s="9" t="s">
        <v>332</v>
      </c>
      <c r="G103" s="159">
        <v>3335</v>
      </c>
      <c r="H103" s="159"/>
      <c r="I103" s="160">
        <f t="shared" si="3"/>
        <v>3335</v>
      </c>
      <c r="J103" s="160">
        <f t="shared" si="4"/>
        <v>166.75</v>
      </c>
      <c r="K103" s="160">
        <f t="shared" si="5"/>
        <v>3501.75</v>
      </c>
      <c r="L103" s="13" t="s">
        <v>78</v>
      </c>
      <c r="P103">
        <v>1</v>
      </c>
    </row>
    <row r="104" spans="2:16" ht="17.25" hidden="1" customHeight="1" x14ac:dyDescent="0.25">
      <c r="B104" s="9" t="s">
        <v>324</v>
      </c>
      <c r="C104" s="40" t="s">
        <v>318</v>
      </c>
      <c r="D104" s="91">
        <v>45338</v>
      </c>
      <c r="E104" s="72" t="s">
        <v>74</v>
      </c>
      <c r="F104" s="9" t="s">
        <v>325</v>
      </c>
      <c r="G104" s="159">
        <v>1225</v>
      </c>
      <c r="H104" s="159"/>
      <c r="I104" s="160">
        <f t="shared" si="3"/>
        <v>1225</v>
      </c>
      <c r="J104" s="160">
        <f t="shared" si="4"/>
        <v>61.25</v>
      </c>
      <c r="K104" s="160">
        <f t="shared" si="5"/>
        <v>1286.25</v>
      </c>
      <c r="L104" s="13" t="s">
        <v>9</v>
      </c>
      <c r="P104">
        <v>1</v>
      </c>
    </row>
    <row r="105" spans="2:16" ht="17.25" hidden="1" customHeight="1" x14ac:dyDescent="0.25">
      <c r="B105" s="9" t="s">
        <v>102</v>
      </c>
      <c r="C105" s="40" t="s">
        <v>333</v>
      </c>
      <c r="D105" s="91">
        <v>45341</v>
      </c>
      <c r="E105" s="72">
        <v>100593105800003</v>
      </c>
      <c r="F105" s="9" t="s">
        <v>340</v>
      </c>
      <c r="G105" s="159">
        <v>103245.5</v>
      </c>
      <c r="H105" s="159"/>
      <c r="I105" s="160">
        <f t="shared" si="3"/>
        <v>103245.5</v>
      </c>
      <c r="J105" s="160">
        <f t="shared" si="4"/>
        <v>5162.2750000000005</v>
      </c>
      <c r="K105" s="160">
        <f t="shared" si="5"/>
        <v>108407.77499999999</v>
      </c>
      <c r="L105" s="13" t="s">
        <v>9</v>
      </c>
      <c r="P105">
        <v>1</v>
      </c>
    </row>
    <row r="106" spans="2:16" ht="17.25" hidden="1" customHeight="1" x14ac:dyDescent="0.25">
      <c r="B106" s="9" t="s">
        <v>102</v>
      </c>
      <c r="C106" s="40" t="s">
        <v>334</v>
      </c>
      <c r="D106" s="91">
        <v>45341</v>
      </c>
      <c r="E106" s="72">
        <v>100593105800003</v>
      </c>
      <c r="F106" s="9" t="s">
        <v>341</v>
      </c>
      <c r="G106" s="159">
        <v>51717.75</v>
      </c>
      <c r="H106" s="159"/>
      <c r="I106" s="160">
        <f t="shared" si="3"/>
        <v>51717.75</v>
      </c>
      <c r="J106" s="160">
        <f t="shared" si="4"/>
        <v>2585.8875000000003</v>
      </c>
      <c r="K106" s="160">
        <f t="shared" si="5"/>
        <v>54303.637499999997</v>
      </c>
      <c r="L106" s="13" t="s">
        <v>9</v>
      </c>
      <c r="P106">
        <v>1</v>
      </c>
    </row>
    <row r="107" spans="2:16" ht="17.25" hidden="1" customHeight="1" x14ac:dyDescent="0.25">
      <c r="B107" s="9" t="s">
        <v>337</v>
      </c>
      <c r="C107" s="40" t="s">
        <v>335</v>
      </c>
      <c r="D107" s="91">
        <v>45343</v>
      </c>
      <c r="E107" s="72">
        <v>100323347300003</v>
      </c>
      <c r="F107" s="9" t="s">
        <v>338</v>
      </c>
      <c r="G107" s="159">
        <v>892.5</v>
      </c>
      <c r="H107" s="159"/>
      <c r="I107" s="160">
        <f t="shared" si="3"/>
        <v>892.5</v>
      </c>
      <c r="J107" s="160">
        <f t="shared" si="4"/>
        <v>44.625</v>
      </c>
      <c r="K107" s="160">
        <f t="shared" si="5"/>
        <v>937.125</v>
      </c>
      <c r="L107" s="13" t="s">
        <v>78</v>
      </c>
      <c r="P107">
        <v>1</v>
      </c>
    </row>
    <row r="108" spans="2:16" ht="17.25" hidden="1" customHeight="1" x14ac:dyDescent="0.25">
      <c r="B108" s="9" t="s">
        <v>10</v>
      </c>
      <c r="C108" s="40" t="s">
        <v>336</v>
      </c>
      <c r="D108" s="91">
        <v>45343</v>
      </c>
      <c r="E108" s="72">
        <v>100542487200003</v>
      </c>
      <c r="F108" s="9" t="s">
        <v>339</v>
      </c>
      <c r="G108" s="159">
        <v>190</v>
      </c>
      <c r="H108" s="159"/>
      <c r="I108" s="160">
        <f t="shared" si="3"/>
        <v>190</v>
      </c>
      <c r="J108" s="160">
        <f t="shared" si="4"/>
        <v>9.5</v>
      </c>
      <c r="K108" s="160">
        <f t="shared" si="5"/>
        <v>199.5</v>
      </c>
      <c r="L108" s="13" t="s">
        <v>9</v>
      </c>
      <c r="P108">
        <v>1</v>
      </c>
    </row>
    <row r="109" spans="2:16" ht="17.25" hidden="1" customHeight="1" x14ac:dyDescent="0.25">
      <c r="B109" s="9" t="s">
        <v>10</v>
      </c>
      <c r="C109" s="40" t="s">
        <v>342</v>
      </c>
      <c r="D109" s="91">
        <v>45342</v>
      </c>
      <c r="E109" s="72">
        <v>100542487200003</v>
      </c>
      <c r="F109" s="9" t="s">
        <v>344</v>
      </c>
      <c r="G109" s="159">
        <v>585</v>
      </c>
      <c r="H109" s="159"/>
      <c r="I109" s="160">
        <f t="shared" si="3"/>
        <v>585</v>
      </c>
      <c r="J109" s="160">
        <f t="shared" si="4"/>
        <v>29.25</v>
      </c>
      <c r="K109" s="160">
        <f t="shared" si="5"/>
        <v>614.25</v>
      </c>
      <c r="L109" s="13" t="s">
        <v>9</v>
      </c>
      <c r="P109">
        <v>1</v>
      </c>
    </row>
    <row r="110" spans="2:16" ht="17.25" hidden="1" customHeight="1" x14ac:dyDescent="0.25">
      <c r="B110" s="9" t="s">
        <v>346</v>
      </c>
      <c r="C110" s="60" t="s">
        <v>343</v>
      </c>
      <c r="D110" s="91">
        <v>45343</v>
      </c>
      <c r="E110" s="72">
        <v>100359923800003</v>
      </c>
      <c r="F110" s="9" t="s">
        <v>91</v>
      </c>
      <c r="G110" s="159">
        <v>1920</v>
      </c>
      <c r="H110" s="159"/>
      <c r="I110" s="160">
        <f t="shared" si="3"/>
        <v>1920</v>
      </c>
      <c r="J110" s="160">
        <f t="shared" si="4"/>
        <v>96</v>
      </c>
      <c r="K110" s="160">
        <f t="shared" si="5"/>
        <v>2016</v>
      </c>
      <c r="L110" s="13" t="s">
        <v>78</v>
      </c>
      <c r="P110">
        <v>1</v>
      </c>
    </row>
    <row r="111" spans="2:16" ht="17.25" hidden="1" customHeight="1" x14ac:dyDescent="0.25">
      <c r="B111" s="9" t="s">
        <v>357</v>
      </c>
      <c r="C111" s="40" t="s">
        <v>347</v>
      </c>
      <c r="D111" s="91">
        <v>45344</v>
      </c>
      <c r="E111" s="72">
        <v>100484375900003</v>
      </c>
      <c r="F111" s="9" t="s">
        <v>358</v>
      </c>
      <c r="G111" s="159">
        <v>420</v>
      </c>
      <c r="H111" s="159"/>
      <c r="I111" s="160">
        <f t="shared" si="3"/>
        <v>420</v>
      </c>
      <c r="J111" s="160">
        <f t="shared" si="4"/>
        <v>21</v>
      </c>
      <c r="K111" s="160">
        <f t="shared" si="5"/>
        <v>441</v>
      </c>
      <c r="L111" s="13" t="s">
        <v>9</v>
      </c>
      <c r="P111">
        <v>1</v>
      </c>
    </row>
    <row r="112" spans="2:16" ht="17.25" hidden="1" customHeight="1" x14ac:dyDescent="0.25">
      <c r="B112" s="9" t="s">
        <v>10</v>
      </c>
      <c r="C112" s="40" t="s">
        <v>348</v>
      </c>
      <c r="D112" s="91">
        <v>45344</v>
      </c>
      <c r="E112" s="72">
        <v>100542487200003</v>
      </c>
      <c r="F112" s="9" t="s">
        <v>359</v>
      </c>
      <c r="G112" s="159">
        <v>6250</v>
      </c>
      <c r="H112" s="159"/>
      <c r="I112" s="160">
        <f t="shared" si="3"/>
        <v>6250</v>
      </c>
      <c r="J112" s="160">
        <f t="shared" si="4"/>
        <v>312.5</v>
      </c>
      <c r="K112" s="160">
        <f t="shared" si="5"/>
        <v>6562.5</v>
      </c>
      <c r="L112" s="13" t="s">
        <v>9</v>
      </c>
      <c r="P112">
        <v>1</v>
      </c>
    </row>
    <row r="113" spans="2:16" ht="17.25" hidden="1" customHeight="1" x14ac:dyDescent="0.25">
      <c r="B113" s="9" t="s">
        <v>10</v>
      </c>
      <c r="C113" s="40" t="s">
        <v>349</v>
      </c>
      <c r="D113" s="91">
        <v>45345</v>
      </c>
      <c r="E113" s="72">
        <v>100542487200003</v>
      </c>
      <c r="F113" s="9" t="s">
        <v>361</v>
      </c>
      <c r="G113" s="159">
        <v>390</v>
      </c>
      <c r="H113" s="159"/>
      <c r="I113" s="160">
        <f t="shared" si="3"/>
        <v>390</v>
      </c>
      <c r="J113" s="160">
        <f t="shared" si="4"/>
        <v>19.5</v>
      </c>
      <c r="K113" s="160">
        <f t="shared" si="5"/>
        <v>409.5</v>
      </c>
      <c r="L113" s="13" t="s">
        <v>9</v>
      </c>
      <c r="P113">
        <v>1</v>
      </c>
    </row>
    <row r="114" spans="2:16" ht="17.25" hidden="1" customHeight="1" x14ac:dyDescent="0.25">
      <c r="B114" s="9" t="s">
        <v>10</v>
      </c>
      <c r="C114" s="40" t="s">
        <v>350</v>
      </c>
      <c r="D114" s="91">
        <v>45345</v>
      </c>
      <c r="E114" s="72">
        <v>100542487200003</v>
      </c>
      <c r="F114" s="9" t="s">
        <v>362</v>
      </c>
      <c r="G114" s="159">
        <v>4220.5</v>
      </c>
      <c r="H114" s="159"/>
      <c r="I114" s="160">
        <f t="shared" si="3"/>
        <v>4220.5</v>
      </c>
      <c r="J114" s="160">
        <f t="shared" si="4"/>
        <v>211.02500000000001</v>
      </c>
      <c r="K114" s="160">
        <f t="shared" si="5"/>
        <v>4431.5249999999996</v>
      </c>
      <c r="L114" s="13" t="s">
        <v>9</v>
      </c>
      <c r="P114">
        <v>1</v>
      </c>
    </row>
    <row r="115" spans="2:16" ht="17.25" hidden="1" customHeight="1" x14ac:dyDescent="0.25">
      <c r="B115" s="9" t="s">
        <v>114</v>
      </c>
      <c r="C115" s="60" t="s">
        <v>351</v>
      </c>
      <c r="D115" s="91">
        <v>45345</v>
      </c>
      <c r="E115" s="72">
        <v>100235699400003</v>
      </c>
      <c r="F115" s="9" t="s">
        <v>363</v>
      </c>
      <c r="G115" s="159">
        <v>405</v>
      </c>
      <c r="H115" s="159"/>
      <c r="I115" s="160">
        <f t="shared" si="3"/>
        <v>405</v>
      </c>
      <c r="J115" s="160">
        <f t="shared" si="4"/>
        <v>20.25</v>
      </c>
      <c r="K115" s="160">
        <f t="shared" si="5"/>
        <v>425.25</v>
      </c>
      <c r="L115" s="13" t="s">
        <v>9</v>
      </c>
      <c r="P115">
        <v>1</v>
      </c>
    </row>
    <row r="116" spans="2:16" ht="17.25" hidden="1" customHeight="1" x14ac:dyDescent="0.25">
      <c r="B116" s="9" t="s">
        <v>199</v>
      </c>
      <c r="C116" s="40" t="s">
        <v>352</v>
      </c>
      <c r="D116" s="91">
        <v>45348</v>
      </c>
      <c r="E116" s="72">
        <v>100349055200003</v>
      </c>
      <c r="F116" s="9" t="s">
        <v>364</v>
      </c>
      <c r="G116" s="159">
        <v>225</v>
      </c>
      <c r="H116" s="159"/>
      <c r="I116" s="160">
        <f t="shared" si="3"/>
        <v>225</v>
      </c>
      <c r="J116" s="160">
        <f t="shared" si="4"/>
        <v>11.25</v>
      </c>
      <c r="K116" s="160">
        <f t="shared" si="5"/>
        <v>236.25</v>
      </c>
      <c r="L116" s="13" t="s">
        <v>78</v>
      </c>
      <c r="P116">
        <v>1</v>
      </c>
    </row>
    <row r="117" spans="2:16" ht="17.25" hidden="1" customHeight="1" x14ac:dyDescent="0.25">
      <c r="B117" s="50" t="s">
        <v>365</v>
      </c>
      <c r="C117" s="51" t="s">
        <v>353</v>
      </c>
      <c r="D117" s="91">
        <v>45345</v>
      </c>
      <c r="E117" s="74">
        <v>103215109200003</v>
      </c>
      <c r="F117" s="53" t="s">
        <v>366</v>
      </c>
      <c r="G117" s="162">
        <v>2715</v>
      </c>
      <c r="H117" s="162"/>
      <c r="I117" s="163">
        <f t="shared" si="3"/>
        <v>2715</v>
      </c>
      <c r="J117" s="163">
        <f t="shared" si="4"/>
        <v>135.75</v>
      </c>
      <c r="K117" s="163">
        <f t="shared" si="5"/>
        <v>2850.75</v>
      </c>
      <c r="L117" s="68" t="s">
        <v>9</v>
      </c>
      <c r="P117">
        <v>1</v>
      </c>
    </row>
    <row r="118" spans="2:16" ht="17.25" hidden="1" customHeight="1" x14ac:dyDescent="0.25">
      <c r="B118" s="9" t="s">
        <v>142</v>
      </c>
      <c r="C118" s="40" t="s">
        <v>354</v>
      </c>
      <c r="D118" s="91">
        <v>45350</v>
      </c>
      <c r="E118" s="72">
        <v>100377505100003</v>
      </c>
      <c r="F118" s="9" t="s">
        <v>283</v>
      </c>
      <c r="G118" s="159">
        <v>3150</v>
      </c>
      <c r="H118" s="159"/>
      <c r="I118" s="160">
        <f t="shared" si="3"/>
        <v>3150</v>
      </c>
      <c r="J118" s="160">
        <f t="shared" si="4"/>
        <v>157.5</v>
      </c>
      <c r="K118" s="160">
        <f t="shared" si="5"/>
        <v>3307.5</v>
      </c>
      <c r="L118" s="13" t="s">
        <v>9</v>
      </c>
      <c r="P118">
        <v>1</v>
      </c>
    </row>
    <row r="119" spans="2:16" ht="17.25" hidden="1" customHeight="1" x14ac:dyDescent="0.25">
      <c r="B119" s="61" t="s">
        <v>102</v>
      </c>
      <c r="C119" s="62" t="s">
        <v>355</v>
      </c>
      <c r="D119" s="92">
        <v>45345</v>
      </c>
      <c r="E119" s="151" t="s">
        <v>104</v>
      </c>
      <c r="F119" s="61" t="s">
        <v>367</v>
      </c>
      <c r="G119" s="161">
        <v>0</v>
      </c>
      <c r="H119" s="161"/>
      <c r="I119" s="161">
        <f t="shared" si="3"/>
        <v>0</v>
      </c>
      <c r="J119" s="161">
        <f t="shared" si="4"/>
        <v>0</v>
      </c>
      <c r="K119" s="161">
        <f t="shared" si="5"/>
        <v>0</v>
      </c>
      <c r="L119" s="64" t="s">
        <v>9</v>
      </c>
      <c r="P119">
        <v>1</v>
      </c>
    </row>
    <row r="120" spans="2:16" ht="17.25" hidden="1" customHeight="1" x14ac:dyDescent="0.25">
      <c r="B120" s="9" t="s">
        <v>102</v>
      </c>
      <c r="C120" s="73" t="s">
        <v>356</v>
      </c>
      <c r="D120" s="91">
        <v>45345</v>
      </c>
      <c r="E120" s="72">
        <v>100593105800003</v>
      </c>
      <c r="F120" s="9" t="s">
        <v>368</v>
      </c>
      <c r="G120" s="159">
        <v>7142.1</v>
      </c>
      <c r="H120" s="159"/>
      <c r="I120" s="160">
        <f t="shared" si="3"/>
        <v>7142.1</v>
      </c>
      <c r="J120" s="160">
        <f t="shared" si="4"/>
        <v>357.10500000000002</v>
      </c>
      <c r="K120" s="160">
        <f t="shared" si="5"/>
        <v>7499.2049999999999</v>
      </c>
      <c r="L120" s="13" t="s">
        <v>9</v>
      </c>
      <c r="P120">
        <v>1</v>
      </c>
    </row>
    <row r="121" spans="2:16" ht="17.25" hidden="1" customHeight="1" x14ac:dyDescent="0.25">
      <c r="B121" s="9" t="s">
        <v>102</v>
      </c>
      <c r="C121" s="73" t="s">
        <v>360</v>
      </c>
      <c r="D121" s="91">
        <v>45345</v>
      </c>
      <c r="E121" s="72">
        <v>100593105800003</v>
      </c>
      <c r="F121" s="9" t="s">
        <v>117</v>
      </c>
      <c r="G121" s="159">
        <v>1419</v>
      </c>
      <c r="H121" s="159"/>
      <c r="I121" s="160">
        <f t="shared" si="3"/>
        <v>1419</v>
      </c>
      <c r="J121" s="160">
        <f t="shared" si="4"/>
        <v>70.95</v>
      </c>
      <c r="K121" s="160">
        <f t="shared" si="5"/>
        <v>1489.95</v>
      </c>
      <c r="L121" s="13" t="s">
        <v>9</v>
      </c>
      <c r="P121">
        <v>1</v>
      </c>
    </row>
    <row r="122" spans="2:16" ht="17.25" hidden="1" customHeight="1" x14ac:dyDescent="0.25">
      <c r="B122" s="9" t="s">
        <v>102</v>
      </c>
      <c r="C122" s="60" t="s">
        <v>369</v>
      </c>
      <c r="D122" s="91">
        <v>45345</v>
      </c>
      <c r="E122" s="72">
        <v>100593105800003</v>
      </c>
      <c r="F122" s="9" t="s">
        <v>371</v>
      </c>
      <c r="G122" s="159">
        <v>960</v>
      </c>
      <c r="H122" s="159"/>
      <c r="I122" s="160">
        <f t="shared" si="3"/>
        <v>960</v>
      </c>
      <c r="J122" s="160">
        <f t="shared" si="4"/>
        <v>48</v>
      </c>
      <c r="K122" s="160">
        <f t="shared" si="5"/>
        <v>1008</v>
      </c>
      <c r="L122" s="13" t="s">
        <v>9</v>
      </c>
      <c r="P122">
        <v>1</v>
      </c>
    </row>
    <row r="123" spans="2:16" ht="17.25" hidden="1" customHeight="1" x14ac:dyDescent="0.25">
      <c r="B123" s="61" t="s">
        <v>102</v>
      </c>
      <c r="C123" s="62" t="s">
        <v>370</v>
      </c>
      <c r="D123" s="92">
        <v>45345</v>
      </c>
      <c r="E123" s="75">
        <v>100593105800003</v>
      </c>
      <c r="F123" s="61" t="s">
        <v>372</v>
      </c>
      <c r="G123" s="161">
        <v>0</v>
      </c>
      <c r="H123" s="161"/>
      <c r="I123" s="161">
        <f t="shared" si="3"/>
        <v>0</v>
      </c>
      <c r="J123" s="161">
        <f t="shared" si="4"/>
        <v>0</v>
      </c>
      <c r="K123" s="161">
        <f t="shared" si="5"/>
        <v>0</v>
      </c>
      <c r="L123" s="64" t="s">
        <v>9</v>
      </c>
      <c r="P123">
        <v>1</v>
      </c>
    </row>
    <row r="124" spans="2:16" ht="17.25" hidden="1" customHeight="1" x14ac:dyDescent="0.25">
      <c r="B124" s="9" t="s">
        <v>386</v>
      </c>
      <c r="C124" s="40" t="s">
        <v>374</v>
      </c>
      <c r="D124" s="91">
        <v>45351</v>
      </c>
      <c r="E124" s="72">
        <v>100246622300003</v>
      </c>
      <c r="F124" s="9" t="s">
        <v>387</v>
      </c>
      <c r="G124" s="159">
        <v>3490</v>
      </c>
      <c r="H124" s="159"/>
      <c r="I124" s="160">
        <f t="shared" si="3"/>
        <v>3490</v>
      </c>
      <c r="J124" s="160">
        <v>174</v>
      </c>
      <c r="K124" s="160">
        <f t="shared" si="5"/>
        <v>3664</v>
      </c>
      <c r="L124" s="13" t="s">
        <v>9</v>
      </c>
      <c r="P124">
        <v>1</v>
      </c>
    </row>
    <row r="125" spans="2:16" ht="17.25" hidden="1" customHeight="1" x14ac:dyDescent="0.25">
      <c r="B125" s="61" t="s">
        <v>379</v>
      </c>
      <c r="C125" s="62" t="s">
        <v>375</v>
      </c>
      <c r="D125" s="92">
        <v>45348</v>
      </c>
      <c r="E125" s="75">
        <v>100247605700003</v>
      </c>
      <c r="F125" s="61" t="s">
        <v>380</v>
      </c>
      <c r="G125" s="161">
        <v>0</v>
      </c>
      <c r="H125" s="161"/>
      <c r="I125" s="161">
        <f t="shared" si="3"/>
        <v>0</v>
      </c>
      <c r="J125" s="161">
        <f t="shared" si="4"/>
        <v>0</v>
      </c>
      <c r="K125" s="161">
        <f t="shared" si="5"/>
        <v>0</v>
      </c>
      <c r="L125" s="64" t="s">
        <v>9</v>
      </c>
      <c r="P125">
        <v>1</v>
      </c>
    </row>
    <row r="126" spans="2:16" ht="17.25" hidden="1" customHeight="1" x14ac:dyDescent="0.25">
      <c r="B126" s="9" t="s">
        <v>86</v>
      </c>
      <c r="C126" s="40" t="s">
        <v>376</v>
      </c>
      <c r="D126" s="91">
        <v>45351</v>
      </c>
      <c r="E126" s="72">
        <v>100482284500003</v>
      </c>
      <c r="F126" s="9" t="s">
        <v>95</v>
      </c>
      <c r="G126" s="159">
        <v>310</v>
      </c>
      <c r="H126" s="159"/>
      <c r="I126" s="160">
        <f t="shared" si="3"/>
        <v>310</v>
      </c>
      <c r="J126" s="160">
        <f t="shared" si="4"/>
        <v>15.5</v>
      </c>
      <c r="K126" s="160">
        <f t="shared" si="5"/>
        <v>325.5</v>
      </c>
      <c r="L126" s="13" t="s">
        <v>9</v>
      </c>
      <c r="P126">
        <v>1</v>
      </c>
    </row>
    <row r="127" spans="2:16" ht="17.25" hidden="1" customHeight="1" x14ac:dyDescent="0.25">
      <c r="B127" s="9" t="s">
        <v>379</v>
      </c>
      <c r="C127" s="60" t="s">
        <v>377</v>
      </c>
      <c r="D127" s="91">
        <v>45349</v>
      </c>
      <c r="E127" s="72">
        <v>100247605700003</v>
      </c>
      <c r="F127" s="9" t="s">
        <v>385</v>
      </c>
      <c r="G127" s="159">
        <v>6775</v>
      </c>
      <c r="H127" s="159"/>
      <c r="I127" s="160">
        <f t="shared" si="3"/>
        <v>6775</v>
      </c>
      <c r="J127" s="160">
        <f t="shared" si="4"/>
        <v>338.75</v>
      </c>
      <c r="K127" s="160">
        <f t="shared" si="5"/>
        <v>7113.75</v>
      </c>
      <c r="L127" s="13" t="s">
        <v>9</v>
      </c>
      <c r="P127">
        <v>1</v>
      </c>
    </row>
    <row r="128" spans="2:16" ht="17.25" hidden="1" customHeight="1" x14ac:dyDescent="0.25">
      <c r="B128" s="9" t="s">
        <v>238</v>
      </c>
      <c r="C128" s="60" t="s">
        <v>378</v>
      </c>
      <c r="D128" s="91">
        <v>45349</v>
      </c>
      <c r="E128" s="72">
        <v>100435244700003</v>
      </c>
      <c r="F128" s="9" t="s">
        <v>388</v>
      </c>
      <c r="G128" s="159">
        <v>915</v>
      </c>
      <c r="H128" s="159"/>
      <c r="I128" s="160">
        <f t="shared" si="3"/>
        <v>915</v>
      </c>
      <c r="J128" s="160">
        <f t="shared" si="4"/>
        <v>45.75</v>
      </c>
      <c r="K128" s="160">
        <f t="shared" si="5"/>
        <v>960.75</v>
      </c>
      <c r="L128" s="13" t="s">
        <v>78</v>
      </c>
      <c r="P128">
        <v>1</v>
      </c>
    </row>
    <row r="129" spans="2:17" ht="17.25" hidden="1" customHeight="1" x14ac:dyDescent="0.25">
      <c r="B129" s="9" t="s">
        <v>450</v>
      </c>
      <c r="C129" s="60" t="s">
        <v>381</v>
      </c>
      <c r="D129" s="91">
        <v>45349</v>
      </c>
      <c r="E129" s="72" t="s">
        <v>74</v>
      </c>
      <c r="F129" s="9" t="s">
        <v>389</v>
      </c>
      <c r="G129" s="159">
        <v>1925</v>
      </c>
      <c r="H129" s="159"/>
      <c r="I129" s="160">
        <f t="shared" si="3"/>
        <v>1925</v>
      </c>
      <c r="J129" s="160">
        <f t="shared" si="4"/>
        <v>96.25</v>
      </c>
      <c r="K129" s="160">
        <f t="shared" si="5"/>
        <v>2021.25</v>
      </c>
      <c r="L129" s="13" t="s">
        <v>9</v>
      </c>
      <c r="P129">
        <v>1</v>
      </c>
    </row>
    <row r="130" spans="2:17" ht="17.25" customHeight="1" x14ac:dyDescent="0.25">
      <c r="B130" s="9" t="s">
        <v>177</v>
      </c>
      <c r="C130" s="60" t="s">
        <v>382</v>
      </c>
      <c r="D130" s="91">
        <v>45350</v>
      </c>
      <c r="E130" s="72">
        <v>104020641700003</v>
      </c>
      <c r="F130" s="9" t="s">
        <v>408</v>
      </c>
      <c r="G130" s="159">
        <v>2362.38</v>
      </c>
      <c r="H130" s="159"/>
      <c r="I130" s="160">
        <f t="shared" si="3"/>
        <v>2362.38</v>
      </c>
      <c r="J130" s="160">
        <f t="shared" si="4"/>
        <v>118.11900000000001</v>
      </c>
      <c r="K130" s="160">
        <f t="shared" si="5"/>
        <v>2480.4990000000003</v>
      </c>
      <c r="L130" s="13" t="s">
        <v>78</v>
      </c>
      <c r="P130">
        <v>1</v>
      </c>
    </row>
    <row r="131" spans="2:17" ht="17.25" customHeight="1" x14ac:dyDescent="0.25">
      <c r="B131" s="9" t="s">
        <v>409</v>
      </c>
      <c r="C131" s="60" t="s">
        <v>383</v>
      </c>
      <c r="D131" s="91">
        <v>45350</v>
      </c>
      <c r="E131" s="72">
        <v>100566746200003</v>
      </c>
      <c r="F131" s="9" t="s">
        <v>408</v>
      </c>
      <c r="G131" s="159">
        <v>2362.38</v>
      </c>
      <c r="H131" s="159"/>
      <c r="I131" s="160">
        <f t="shared" ref="I131:I194" si="6">G131-H131</f>
        <v>2362.38</v>
      </c>
      <c r="J131" s="160">
        <f t="shared" ref="J131:J194" si="7">G131*5%</f>
        <v>118.11900000000001</v>
      </c>
      <c r="K131" s="160">
        <f t="shared" ref="K131:K194" si="8">G131+J131</f>
        <v>2480.4990000000003</v>
      </c>
      <c r="L131" s="13" t="s">
        <v>78</v>
      </c>
      <c r="P131">
        <v>1</v>
      </c>
    </row>
    <row r="132" spans="2:17" ht="17.25" customHeight="1" x14ac:dyDescent="0.25">
      <c r="B132" s="9" t="s">
        <v>174</v>
      </c>
      <c r="C132" s="60" t="s">
        <v>384</v>
      </c>
      <c r="D132" s="91">
        <v>45350</v>
      </c>
      <c r="E132" s="72">
        <v>100494671900003</v>
      </c>
      <c r="F132" s="9" t="s">
        <v>408</v>
      </c>
      <c r="G132" s="159">
        <v>2362.38</v>
      </c>
      <c r="H132" s="159"/>
      <c r="I132" s="160">
        <f t="shared" si="6"/>
        <v>2362.38</v>
      </c>
      <c r="J132" s="160">
        <f t="shared" si="7"/>
        <v>118.11900000000001</v>
      </c>
      <c r="K132" s="160">
        <f t="shared" si="8"/>
        <v>2480.4990000000003</v>
      </c>
      <c r="L132" s="13" t="s">
        <v>78</v>
      </c>
      <c r="P132">
        <v>1</v>
      </c>
    </row>
    <row r="133" spans="2:17" ht="17.25" hidden="1" customHeight="1" x14ac:dyDescent="0.25">
      <c r="B133" s="9" t="s">
        <v>394</v>
      </c>
      <c r="C133" s="40" t="s">
        <v>390</v>
      </c>
      <c r="D133" s="91">
        <v>45350</v>
      </c>
      <c r="E133" s="72">
        <v>104061117800003</v>
      </c>
      <c r="F133" s="9" t="s">
        <v>395</v>
      </c>
      <c r="G133" s="159">
        <v>47.62</v>
      </c>
      <c r="H133" s="159"/>
      <c r="I133" s="160">
        <f t="shared" si="6"/>
        <v>47.62</v>
      </c>
      <c r="J133" s="160">
        <f t="shared" si="7"/>
        <v>2.3809999999999998</v>
      </c>
      <c r="K133" s="160">
        <f t="shared" si="8"/>
        <v>50.000999999999998</v>
      </c>
      <c r="L133" s="13" t="s">
        <v>9</v>
      </c>
      <c r="P133">
        <v>1</v>
      </c>
    </row>
    <row r="134" spans="2:17" ht="17.25" hidden="1" customHeight="1" x14ac:dyDescent="0.25">
      <c r="B134" s="9" t="s">
        <v>43</v>
      </c>
      <c r="C134" s="40" t="s">
        <v>391</v>
      </c>
      <c r="D134" s="91">
        <v>45351</v>
      </c>
      <c r="E134" s="72">
        <v>104166051300003</v>
      </c>
      <c r="F134" s="9" t="s">
        <v>396</v>
      </c>
      <c r="G134" s="159">
        <v>1248</v>
      </c>
      <c r="H134" s="159"/>
      <c r="I134" s="160">
        <f t="shared" si="6"/>
        <v>1248</v>
      </c>
      <c r="J134" s="160">
        <f t="shared" si="7"/>
        <v>62.400000000000006</v>
      </c>
      <c r="K134" s="160">
        <f t="shared" si="8"/>
        <v>1310.4000000000001</v>
      </c>
      <c r="L134" s="13" t="s">
        <v>9</v>
      </c>
      <c r="P134">
        <v>1</v>
      </c>
    </row>
    <row r="135" spans="2:17" ht="17.25" hidden="1" customHeight="1" x14ac:dyDescent="0.25">
      <c r="B135" s="9" t="s">
        <v>236</v>
      </c>
      <c r="C135" s="40" t="s">
        <v>392</v>
      </c>
      <c r="D135" s="91">
        <v>45351</v>
      </c>
      <c r="E135" s="72">
        <v>100048520900003</v>
      </c>
      <c r="F135" s="9" t="s">
        <v>400</v>
      </c>
      <c r="G135" s="159">
        <v>90</v>
      </c>
      <c r="H135" s="159"/>
      <c r="I135" s="160">
        <f t="shared" si="6"/>
        <v>90</v>
      </c>
      <c r="J135" s="160">
        <f t="shared" si="7"/>
        <v>4.5</v>
      </c>
      <c r="K135" s="160">
        <f t="shared" si="8"/>
        <v>94.5</v>
      </c>
      <c r="L135" s="13" t="s">
        <v>9</v>
      </c>
      <c r="P135">
        <v>1</v>
      </c>
    </row>
    <row r="136" spans="2:17" ht="17.25" hidden="1" customHeight="1" x14ac:dyDescent="0.25">
      <c r="B136" s="9" t="s">
        <v>236</v>
      </c>
      <c r="C136" s="40" t="s">
        <v>393</v>
      </c>
      <c r="D136" s="91">
        <v>45351</v>
      </c>
      <c r="E136" s="72">
        <v>100048520900003</v>
      </c>
      <c r="F136" s="9" t="s">
        <v>400</v>
      </c>
      <c r="G136" s="159">
        <v>105</v>
      </c>
      <c r="H136" s="159"/>
      <c r="I136" s="160">
        <f t="shared" si="6"/>
        <v>105</v>
      </c>
      <c r="J136" s="160">
        <f t="shared" si="7"/>
        <v>5.25</v>
      </c>
      <c r="K136" s="160">
        <f t="shared" si="8"/>
        <v>110.25</v>
      </c>
      <c r="L136" s="13" t="s">
        <v>9</v>
      </c>
      <c r="P136">
        <v>1</v>
      </c>
    </row>
    <row r="137" spans="2:17" ht="17.25" hidden="1" customHeight="1" x14ac:dyDescent="0.25">
      <c r="B137" s="9" t="s">
        <v>398</v>
      </c>
      <c r="C137" s="40" t="s">
        <v>397</v>
      </c>
      <c r="D137" s="91">
        <v>45352</v>
      </c>
      <c r="E137" s="72">
        <v>100282822400003</v>
      </c>
      <c r="F137" s="9" t="s">
        <v>399</v>
      </c>
      <c r="G137" s="164">
        <v>485</v>
      </c>
      <c r="H137" s="159"/>
      <c r="I137" s="160">
        <f t="shared" si="6"/>
        <v>485</v>
      </c>
      <c r="J137" s="160">
        <f t="shared" si="7"/>
        <v>24.25</v>
      </c>
      <c r="K137" s="160">
        <f t="shared" si="8"/>
        <v>509.25</v>
      </c>
      <c r="L137" s="13" t="s">
        <v>9</v>
      </c>
      <c r="P137">
        <v>1</v>
      </c>
    </row>
    <row r="138" spans="2:17" ht="17.25" hidden="1" customHeight="1" x14ac:dyDescent="0.25">
      <c r="B138" s="9" t="s">
        <v>10</v>
      </c>
      <c r="C138" s="40" t="s">
        <v>402</v>
      </c>
      <c r="D138" s="91">
        <v>45351</v>
      </c>
      <c r="E138" s="72">
        <v>100542487200003</v>
      </c>
      <c r="F138" s="9" t="s">
        <v>405</v>
      </c>
      <c r="G138" s="159">
        <v>1890</v>
      </c>
      <c r="H138" s="159"/>
      <c r="I138" s="160">
        <f t="shared" si="6"/>
        <v>1890</v>
      </c>
      <c r="J138" s="160">
        <f t="shared" si="7"/>
        <v>94.5</v>
      </c>
      <c r="K138" s="160">
        <f t="shared" si="8"/>
        <v>1984.5</v>
      </c>
      <c r="L138" s="13" t="s">
        <v>9</v>
      </c>
      <c r="P138">
        <v>1</v>
      </c>
    </row>
    <row r="139" spans="2:17" ht="17.25" hidden="1" customHeight="1" x14ac:dyDescent="0.25">
      <c r="B139" s="9" t="s">
        <v>75</v>
      </c>
      <c r="C139" s="40" t="s">
        <v>403</v>
      </c>
      <c r="D139" s="91">
        <v>45351</v>
      </c>
      <c r="E139" s="72">
        <v>100540543400003</v>
      </c>
      <c r="F139" s="9" t="s">
        <v>406</v>
      </c>
      <c r="G139" s="159">
        <v>487.5</v>
      </c>
      <c r="H139" s="159"/>
      <c r="I139" s="160">
        <f t="shared" si="6"/>
        <v>487.5</v>
      </c>
      <c r="J139" s="160">
        <f t="shared" si="7"/>
        <v>24.375</v>
      </c>
      <c r="K139" s="160">
        <f t="shared" si="8"/>
        <v>511.875</v>
      </c>
      <c r="L139" s="13" t="s">
        <v>78</v>
      </c>
      <c r="P139">
        <v>1</v>
      </c>
    </row>
    <row r="140" spans="2:17" ht="17.25" hidden="1" customHeight="1" x14ac:dyDescent="0.25">
      <c r="B140" s="9" t="s">
        <v>43</v>
      </c>
      <c r="C140" s="40" t="s">
        <v>404</v>
      </c>
      <c r="D140" s="91">
        <v>45351</v>
      </c>
      <c r="E140" s="72">
        <v>104166051300003</v>
      </c>
      <c r="F140" s="9" t="s">
        <v>407</v>
      </c>
      <c r="G140" s="159">
        <v>1162.5</v>
      </c>
      <c r="H140" s="159"/>
      <c r="I140" s="160">
        <f t="shared" si="6"/>
        <v>1162.5</v>
      </c>
      <c r="J140" s="160">
        <f t="shared" si="7"/>
        <v>58.125</v>
      </c>
      <c r="K140" s="160">
        <f t="shared" si="8"/>
        <v>1220.625</v>
      </c>
      <c r="L140" s="13" t="s">
        <v>9</v>
      </c>
      <c r="P140">
        <v>1</v>
      </c>
    </row>
    <row r="141" spans="2:17" ht="17.25" customHeight="1" x14ac:dyDescent="0.25">
      <c r="B141" s="9" t="s">
        <v>177</v>
      </c>
      <c r="C141" s="40" t="s">
        <v>410</v>
      </c>
      <c r="D141" s="91">
        <v>45350</v>
      </c>
      <c r="E141" s="72">
        <v>104020641700003</v>
      </c>
      <c r="F141" s="9" t="s">
        <v>413</v>
      </c>
      <c r="G141" s="159">
        <v>787.62</v>
      </c>
      <c r="H141" s="159"/>
      <c r="I141" s="160">
        <f t="shared" si="6"/>
        <v>787.62</v>
      </c>
      <c r="J141" s="160">
        <f t="shared" si="7"/>
        <v>39.381</v>
      </c>
      <c r="K141" s="160">
        <f t="shared" si="8"/>
        <v>827.00099999999998</v>
      </c>
      <c r="L141" s="13" t="s">
        <v>78</v>
      </c>
      <c r="P141">
        <v>1</v>
      </c>
      <c r="Q141" t="s">
        <v>977</v>
      </c>
    </row>
    <row r="142" spans="2:17" ht="17.25" customHeight="1" x14ac:dyDescent="0.25">
      <c r="B142" s="9" t="s">
        <v>409</v>
      </c>
      <c r="C142" s="40" t="s">
        <v>411</v>
      </c>
      <c r="D142" s="91">
        <v>45350</v>
      </c>
      <c r="E142" s="72">
        <v>100566746200003</v>
      </c>
      <c r="F142" s="9" t="s">
        <v>413</v>
      </c>
      <c r="G142" s="159">
        <v>787.62</v>
      </c>
      <c r="H142" s="159"/>
      <c r="I142" s="160">
        <f t="shared" si="6"/>
        <v>787.62</v>
      </c>
      <c r="J142" s="160">
        <f t="shared" si="7"/>
        <v>39.381</v>
      </c>
      <c r="K142" s="160">
        <f t="shared" si="8"/>
        <v>827.00099999999998</v>
      </c>
      <c r="L142" s="13" t="s">
        <v>78</v>
      </c>
      <c r="P142">
        <v>1</v>
      </c>
      <c r="Q142" t="s">
        <v>977</v>
      </c>
    </row>
    <row r="143" spans="2:17" ht="17.25" customHeight="1" x14ac:dyDescent="0.25">
      <c r="B143" s="9" t="s">
        <v>174</v>
      </c>
      <c r="C143" s="40" t="s">
        <v>412</v>
      </c>
      <c r="D143" s="91">
        <v>45350</v>
      </c>
      <c r="E143" s="72">
        <v>100494671900003</v>
      </c>
      <c r="F143" s="9" t="s">
        <v>413</v>
      </c>
      <c r="G143" s="159">
        <v>787.62</v>
      </c>
      <c r="H143" s="159"/>
      <c r="I143" s="160">
        <f t="shared" si="6"/>
        <v>787.62</v>
      </c>
      <c r="J143" s="160">
        <f t="shared" si="7"/>
        <v>39.381</v>
      </c>
      <c r="K143" s="160">
        <f t="shared" si="8"/>
        <v>827.00099999999998</v>
      </c>
      <c r="L143" s="13" t="s">
        <v>78</v>
      </c>
      <c r="P143">
        <v>1</v>
      </c>
      <c r="Q143" t="s">
        <v>977</v>
      </c>
    </row>
    <row r="144" spans="2:17" ht="17.25" hidden="1" customHeight="1" x14ac:dyDescent="0.25">
      <c r="B144" s="9" t="s">
        <v>10</v>
      </c>
      <c r="C144" s="40" t="s">
        <v>414</v>
      </c>
      <c r="D144" s="91">
        <v>45352</v>
      </c>
      <c r="E144" s="71" t="s">
        <v>16</v>
      </c>
      <c r="F144" s="9" t="s">
        <v>417</v>
      </c>
      <c r="G144" s="164">
        <v>450</v>
      </c>
      <c r="H144" s="159"/>
      <c r="I144" s="160">
        <f t="shared" si="6"/>
        <v>450</v>
      </c>
      <c r="J144" s="160">
        <f t="shared" si="7"/>
        <v>22.5</v>
      </c>
      <c r="K144" s="160">
        <f t="shared" si="8"/>
        <v>472.5</v>
      </c>
      <c r="L144" s="13" t="s">
        <v>9</v>
      </c>
      <c r="P144">
        <v>1</v>
      </c>
    </row>
    <row r="145" spans="2:16" ht="17.25" hidden="1" customHeight="1" x14ac:dyDescent="0.25">
      <c r="B145" s="9" t="s">
        <v>29</v>
      </c>
      <c r="C145" s="40" t="s">
        <v>415</v>
      </c>
      <c r="D145" s="91">
        <v>45355</v>
      </c>
      <c r="E145" s="71" t="s">
        <v>128</v>
      </c>
      <c r="F145" s="9" t="s">
        <v>225</v>
      </c>
      <c r="G145" s="164">
        <v>275</v>
      </c>
      <c r="H145" s="159"/>
      <c r="I145" s="160">
        <f t="shared" si="6"/>
        <v>275</v>
      </c>
      <c r="J145" s="160">
        <f t="shared" si="7"/>
        <v>13.75</v>
      </c>
      <c r="K145" s="160">
        <f t="shared" si="8"/>
        <v>288.75</v>
      </c>
      <c r="L145" s="13" t="s">
        <v>9</v>
      </c>
      <c r="P145">
        <v>1</v>
      </c>
    </row>
    <row r="146" spans="2:16" ht="17.25" hidden="1" customHeight="1" x14ac:dyDescent="0.25">
      <c r="B146" s="9" t="s">
        <v>398</v>
      </c>
      <c r="C146" s="40" t="s">
        <v>416</v>
      </c>
      <c r="D146" s="91">
        <v>45355</v>
      </c>
      <c r="E146" s="71" t="s">
        <v>418</v>
      </c>
      <c r="F146" s="9" t="s">
        <v>419</v>
      </c>
      <c r="G146" s="164">
        <v>505</v>
      </c>
      <c r="H146" s="159"/>
      <c r="I146" s="160">
        <f t="shared" si="6"/>
        <v>505</v>
      </c>
      <c r="J146" s="160">
        <f t="shared" si="7"/>
        <v>25.25</v>
      </c>
      <c r="K146" s="160">
        <f t="shared" si="8"/>
        <v>530.25</v>
      </c>
      <c r="L146" s="13" t="s">
        <v>9</v>
      </c>
      <c r="P146">
        <v>1</v>
      </c>
    </row>
    <row r="147" spans="2:16" ht="17.25" hidden="1" customHeight="1" x14ac:dyDescent="0.25">
      <c r="B147" s="9" t="s">
        <v>10</v>
      </c>
      <c r="C147" s="40" t="s">
        <v>420</v>
      </c>
      <c r="D147" s="91">
        <v>45355</v>
      </c>
      <c r="E147" s="71" t="s">
        <v>16</v>
      </c>
      <c r="F147" s="9" t="s">
        <v>423</v>
      </c>
      <c r="G147" s="164">
        <v>220</v>
      </c>
      <c r="H147" s="159"/>
      <c r="I147" s="160">
        <f t="shared" si="6"/>
        <v>220</v>
      </c>
      <c r="J147" s="160">
        <f t="shared" si="7"/>
        <v>11</v>
      </c>
      <c r="K147" s="160">
        <f t="shared" si="8"/>
        <v>231</v>
      </c>
      <c r="L147" s="13" t="s">
        <v>9</v>
      </c>
      <c r="P147">
        <v>1</v>
      </c>
    </row>
    <row r="148" spans="2:16" ht="17.25" hidden="1" customHeight="1" x14ac:dyDescent="0.25">
      <c r="B148" s="9" t="s">
        <v>114</v>
      </c>
      <c r="C148" s="40" t="s">
        <v>421</v>
      </c>
      <c r="D148" s="91">
        <v>45356</v>
      </c>
      <c r="E148" s="71" t="s">
        <v>115</v>
      </c>
      <c r="F148" s="9" t="s">
        <v>429</v>
      </c>
      <c r="G148" s="164">
        <v>405</v>
      </c>
      <c r="H148" s="159"/>
      <c r="I148" s="160">
        <f t="shared" si="6"/>
        <v>405</v>
      </c>
      <c r="J148" s="160">
        <f t="shared" si="7"/>
        <v>20.25</v>
      </c>
      <c r="K148" s="160">
        <f t="shared" si="8"/>
        <v>425.25</v>
      </c>
      <c r="L148" s="13" t="s">
        <v>9</v>
      </c>
      <c r="P148">
        <v>1</v>
      </c>
    </row>
    <row r="149" spans="2:16" ht="17.25" hidden="1" customHeight="1" x14ac:dyDescent="0.25">
      <c r="B149" s="9" t="s">
        <v>122</v>
      </c>
      <c r="C149" s="40" t="s">
        <v>422</v>
      </c>
      <c r="D149" s="91">
        <v>45353</v>
      </c>
      <c r="E149" s="70" t="s">
        <v>74</v>
      </c>
      <c r="F149" s="9" t="s">
        <v>424</v>
      </c>
      <c r="G149" s="164">
        <v>18930</v>
      </c>
      <c r="H149" s="159"/>
      <c r="I149" s="160">
        <f t="shared" si="6"/>
        <v>18930</v>
      </c>
      <c r="J149" s="160">
        <f t="shared" si="7"/>
        <v>946.5</v>
      </c>
      <c r="K149" s="160">
        <f t="shared" si="8"/>
        <v>19876.5</v>
      </c>
      <c r="L149" s="13" t="s">
        <v>9</v>
      </c>
      <c r="P149">
        <v>1</v>
      </c>
    </row>
    <row r="150" spans="2:16" ht="17.25" hidden="1" customHeight="1" x14ac:dyDescent="0.25">
      <c r="B150" s="9" t="s">
        <v>122</v>
      </c>
      <c r="C150" s="40" t="s">
        <v>425</v>
      </c>
      <c r="D150" s="91">
        <v>45355</v>
      </c>
      <c r="E150" s="70" t="s">
        <v>74</v>
      </c>
      <c r="F150" s="9" t="s">
        <v>426</v>
      </c>
      <c r="G150" s="164">
        <v>2585</v>
      </c>
      <c r="H150" s="159"/>
      <c r="I150" s="160">
        <f t="shared" si="6"/>
        <v>2585</v>
      </c>
      <c r="J150" s="160">
        <f t="shared" si="7"/>
        <v>129.25</v>
      </c>
      <c r="K150" s="160">
        <f t="shared" si="8"/>
        <v>2714.25</v>
      </c>
      <c r="L150" s="13" t="s">
        <v>9</v>
      </c>
      <c r="P150">
        <v>1</v>
      </c>
    </row>
    <row r="151" spans="2:16" ht="17.25" hidden="1" customHeight="1" x14ac:dyDescent="0.25">
      <c r="B151" s="9" t="s">
        <v>299</v>
      </c>
      <c r="C151" s="40" t="s">
        <v>427</v>
      </c>
      <c r="D151" s="91">
        <v>45358</v>
      </c>
      <c r="E151" s="71" t="s">
        <v>302</v>
      </c>
      <c r="F151" s="9" t="s">
        <v>428</v>
      </c>
      <c r="G151" s="164">
        <v>1130</v>
      </c>
      <c r="H151" s="159"/>
      <c r="I151" s="160">
        <f t="shared" si="6"/>
        <v>1130</v>
      </c>
      <c r="J151" s="160">
        <f t="shared" si="7"/>
        <v>56.5</v>
      </c>
      <c r="K151" s="160">
        <f t="shared" si="8"/>
        <v>1186.5</v>
      </c>
      <c r="L151" s="13" t="s">
        <v>78</v>
      </c>
      <c r="P151">
        <v>1</v>
      </c>
    </row>
    <row r="152" spans="2:16" ht="17.25" hidden="1" customHeight="1" x14ac:dyDescent="0.25">
      <c r="B152" s="9" t="s">
        <v>114</v>
      </c>
      <c r="C152" s="40" t="s">
        <v>430</v>
      </c>
      <c r="D152" s="91">
        <v>45356</v>
      </c>
      <c r="E152" s="71" t="s">
        <v>115</v>
      </c>
      <c r="F152" s="9" t="s">
        <v>431</v>
      </c>
      <c r="G152" s="164">
        <v>405</v>
      </c>
      <c r="H152" s="159"/>
      <c r="I152" s="160">
        <f t="shared" si="6"/>
        <v>405</v>
      </c>
      <c r="J152" s="160">
        <f t="shared" si="7"/>
        <v>20.25</v>
      </c>
      <c r="K152" s="160">
        <f t="shared" si="8"/>
        <v>425.25</v>
      </c>
      <c r="L152" s="13" t="s">
        <v>9</v>
      </c>
      <c r="P152">
        <v>1</v>
      </c>
    </row>
    <row r="153" spans="2:16" ht="17.25" hidden="1" customHeight="1" x14ac:dyDescent="0.25">
      <c r="B153" s="9" t="s">
        <v>10</v>
      </c>
      <c r="C153" s="40" t="s">
        <v>432</v>
      </c>
      <c r="D153" s="91">
        <v>45357</v>
      </c>
      <c r="E153" s="71" t="s">
        <v>16</v>
      </c>
      <c r="F153" s="9" t="s">
        <v>433</v>
      </c>
      <c r="G153" s="164">
        <v>840</v>
      </c>
      <c r="H153" s="159"/>
      <c r="I153" s="160">
        <f t="shared" si="6"/>
        <v>840</v>
      </c>
      <c r="J153" s="160">
        <f t="shared" si="7"/>
        <v>42</v>
      </c>
      <c r="K153" s="160">
        <f t="shared" si="8"/>
        <v>882</v>
      </c>
      <c r="L153" s="13" t="s">
        <v>9</v>
      </c>
      <c r="P153">
        <v>1</v>
      </c>
    </row>
    <row r="154" spans="2:16" ht="17.25" hidden="1" customHeight="1" x14ac:dyDescent="0.25">
      <c r="B154" s="9" t="s">
        <v>22</v>
      </c>
      <c r="C154" s="40" t="s">
        <v>434</v>
      </c>
      <c r="D154" s="91">
        <v>45360</v>
      </c>
      <c r="E154" s="71" t="s">
        <v>23</v>
      </c>
      <c r="F154" s="9" t="s">
        <v>435</v>
      </c>
      <c r="G154" s="164">
        <v>540</v>
      </c>
      <c r="H154" s="159"/>
      <c r="I154" s="160">
        <f t="shared" si="6"/>
        <v>540</v>
      </c>
      <c r="J154" s="160">
        <f t="shared" si="7"/>
        <v>27</v>
      </c>
      <c r="K154" s="160">
        <f t="shared" si="8"/>
        <v>567</v>
      </c>
      <c r="L154" s="13" t="s">
        <v>9</v>
      </c>
      <c r="P154">
        <v>1</v>
      </c>
    </row>
    <row r="155" spans="2:16" ht="17.25" hidden="1" customHeight="1" x14ac:dyDescent="0.25">
      <c r="B155" s="9" t="s">
        <v>436</v>
      </c>
      <c r="C155" s="40" t="s">
        <v>437</v>
      </c>
      <c r="D155" s="91">
        <v>45360</v>
      </c>
      <c r="E155" s="71" t="s">
        <v>440</v>
      </c>
      <c r="F155" s="9" t="s">
        <v>441</v>
      </c>
      <c r="G155" s="164">
        <v>925</v>
      </c>
      <c r="H155" s="159"/>
      <c r="I155" s="160">
        <f t="shared" si="6"/>
        <v>925</v>
      </c>
      <c r="J155" s="160">
        <f t="shared" si="7"/>
        <v>46.25</v>
      </c>
      <c r="K155" s="160">
        <f t="shared" si="8"/>
        <v>971.25</v>
      </c>
      <c r="L155" s="13" t="s">
        <v>9</v>
      </c>
      <c r="P155">
        <v>1</v>
      </c>
    </row>
    <row r="156" spans="2:16" ht="17.25" hidden="1" customHeight="1" x14ac:dyDescent="0.25">
      <c r="B156" s="9" t="s">
        <v>10</v>
      </c>
      <c r="C156" s="40" t="s">
        <v>438</v>
      </c>
      <c r="D156" s="91">
        <v>45360</v>
      </c>
      <c r="E156" s="71" t="s">
        <v>16</v>
      </c>
      <c r="F156" s="9" t="s">
        <v>442</v>
      </c>
      <c r="G156" s="164">
        <v>450</v>
      </c>
      <c r="H156" s="159"/>
      <c r="I156" s="160">
        <f t="shared" si="6"/>
        <v>450</v>
      </c>
      <c r="J156" s="160">
        <f t="shared" si="7"/>
        <v>22.5</v>
      </c>
      <c r="K156" s="160">
        <f t="shared" si="8"/>
        <v>472.5</v>
      </c>
      <c r="L156" s="13" t="s">
        <v>9</v>
      </c>
      <c r="P156">
        <v>1</v>
      </c>
    </row>
    <row r="157" spans="2:16" ht="17.25" hidden="1" customHeight="1" x14ac:dyDescent="0.25">
      <c r="B157" s="9" t="s">
        <v>443</v>
      </c>
      <c r="C157" s="40" t="s">
        <v>439</v>
      </c>
      <c r="D157" s="91">
        <v>45362</v>
      </c>
      <c r="E157" s="70" t="s">
        <v>74</v>
      </c>
      <c r="F157" s="9" t="s">
        <v>135</v>
      </c>
      <c r="G157" s="164">
        <v>210</v>
      </c>
      <c r="H157" s="159"/>
      <c r="I157" s="160">
        <f t="shared" si="6"/>
        <v>210</v>
      </c>
      <c r="J157" s="160">
        <f t="shared" si="7"/>
        <v>10.5</v>
      </c>
      <c r="K157" s="160">
        <f t="shared" si="8"/>
        <v>220.5</v>
      </c>
      <c r="L157" s="13" t="s">
        <v>9</v>
      </c>
      <c r="P157">
        <v>1</v>
      </c>
    </row>
    <row r="158" spans="2:16" ht="17.25" hidden="1" customHeight="1" x14ac:dyDescent="0.25">
      <c r="B158" s="9" t="s">
        <v>321</v>
      </c>
      <c r="C158" s="40" t="s">
        <v>444</v>
      </c>
      <c r="D158" s="91">
        <v>45359</v>
      </c>
      <c r="E158" s="70" t="s">
        <v>74</v>
      </c>
      <c r="F158" s="9" t="s">
        <v>225</v>
      </c>
      <c r="G158" s="164">
        <v>550</v>
      </c>
      <c r="H158" s="159"/>
      <c r="I158" s="160">
        <f t="shared" si="6"/>
        <v>550</v>
      </c>
      <c r="J158" s="160">
        <f t="shared" si="7"/>
        <v>27.5</v>
      </c>
      <c r="K158" s="160">
        <f t="shared" si="8"/>
        <v>577.5</v>
      </c>
      <c r="L158" s="13" t="s">
        <v>9</v>
      </c>
      <c r="P158">
        <v>1</v>
      </c>
    </row>
    <row r="159" spans="2:16" ht="17.25" hidden="1" customHeight="1" x14ac:dyDescent="0.25">
      <c r="B159" s="9" t="s">
        <v>122</v>
      </c>
      <c r="C159" s="40" t="s">
        <v>445</v>
      </c>
      <c r="D159" s="91">
        <v>45362</v>
      </c>
      <c r="E159" s="70" t="s">
        <v>74</v>
      </c>
      <c r="F159" s="9" t="s">
        <v>449</v>
      </c>
      <c r="G159" s="164">
        <v>662.5</v>
      </c>
      <c r="H159" s="159"/>
      <c r="I159" s="160">
        <f t="shared" si="6"/>
        <v>662.5</v>
      </c>
      <c r="J159" s="160">
        <f t="shared" si="7"/>
        <v>33.125</v>
      </c>
      <c r="K159" s="160">
        <f t="shared" si="8"/>
        <v>695.625</v>
      </c>
      <c r="L159" s="13" t="s">
        <v>9</v>
      </c>
      <c r="P159">
        <v>1</v>
      </c>
    </row>
    <row r="160" spans="2:16" ht="17.25" hidden="1" customHeight="1" x14ac:dyDescent="0.25">
      <c r="B160" s="9" t="s">
        <v>357</v>
      </c>
      <c r="C160" s="40" t="s">
        <v>446</v>
      </c>
      <c r="D160" s="91">
        <v>45360</v>
      </c>
      <c r="E160" s="71" t="s">
        <v>447</v>
      </c>
      <c r="F160" s="9" t="s">
        <v>448</v>
      </c>
      <c r="G160" s="164">
        <v>185</v>
      </c>
      <c r="H160" s="159"/>
      <c r="I160" s="160">
        <f t="shared" si="6"/>
        <v>185</v>
      </c>
      <c r="J160" s="160">
        <f t="shared" si="7"/>
        <v>9.25</v>
      </c>
      <c r="K160" s="160">
        <f t="shared" si="8"/>
        <v>194.25</v>
      </c>
      <c r="L160" s="13" t="s">
        <v>9</v>
      </c>
      <c r="P160">
        <v>1</v>
      </c>
    </row>
    <row r="161" spans="2:16" ht="17.25" hidden="1" customHeight="1" x14ac:dyDescent="0.25">
      <c r="B161" s="9" t="s">
        <v>398</v>
      </c>
      <c r="C161" s="73" t="s">
        <v>451</v>
      </c>
      <c r="D161" s="91">
        <v>45362</v>
      </c>
      <c r="E161" s="71" t="s">
        <v>418</v>
      </c>
      <c r="F161" s="9" t="s">
        <v>452</v>
      </c>
      <c r="G161" s="164">
        <v>135</v>
      </c>
      <c r="H161" s="159"/>
      <c r="I161" s="160">
        <f t="shared" si="6"/>
        <v>135</v>
      </c>
      <c r="J161" s="160">
        <f t="shared" si="7"/>
        <v>6.75</v>
      </c>
      <c r="K161" s="160">
        <f t="shared" si="8"/>
        <v>141.75</v>
      </c>
      <c r="L161" s="13" t="s">
        <v>9</v>
      </c>
      <c r="P161">
        <v>1</v>
      </c>
    </row>
    <row r="162" spans="2:16" ht="17.25" hidden="1" customHeight="1" x14ac:dyDescent="0.25">
      <c r="B162" s="9" t="s">
        <v>10</v>
      </c>
      <c r="C162" s="10" t="s">
        <v>453</v>
      </c>
      <c r="D162" s="89">
        <v>45364</v>
      </c>
      <c r="E162" s="70"/>
      <c r="F162" s="9" t="s">
        <v>455</v>
      </c>
      <c r="G162" s="164">
        <v>3703.5</v>
      </c>
      <c r="H162" s="159"/>
      <c r="I162" s="160">
        <f t="shared" si="6"/>
        <v>3703.5</v>
      </c>
      <c r="J162" s="160">
        <f t="shared" si="7"/>
        <v>185.17500000000001</v>
      </c>
      <c r="K162" s="160">
        <f t="shared" si="8"/>
        <v>3888.6750000000002</v>
      </c>
      <c r="L162" s="13" t="s">
        <v>9</v>
      </c>
      <c r="P162">
        <v>1</v>
      </c>
    </row>
    <row r="163" spans="2:16" ht="17.25" hidden="1" customHeight="1" x14ac:dyDescent="0.25">
      <c r="B163" s="9" t="s">
        <v>10</v>
      </c>
      <c r="C163" s="10" t="s">
        <v>456</v>
      </c>
      <c r="D163" s="89">
        <v>45364</v>
      </c>
      <c r="E163" s="70"/>
      <c r="F163" s="9" t="s">
        <v>457</v>
      </c>
      <c r="G163" s="164">
        <v>3360</v>
      </c>
      <c r="H163" s="159"/>
      <c r="I163" s="160">
        <f t="shared" si="6"/>
        <v>3360</v>
      </c>
      <c r="J163" s="160">
        <f t="shared" si="7"/>
        <v>168</v>
      </c>
      <c r="K163" s="160">
        <f t="shared" si="8"/>
        <v>3528</v>
      </c>
      <c r="L163" s="13" t="s">
        <v>9</v>
      </c>
      <c r="P163">
        <v>1</v>
      </c>
    </row>
    <row r="164" spans="2:16" ht="17.25" hidden="1" customHeight="1" x14ac:dyDescent="0.25">
      <c r="B164" s="9" t="s">
        <v>10</v>
      </c>
      <c r="C164" s="10" t="s">
        <v>458</v>
      </c>
      <c r="D164" s="89">
        <v>45364</v>
      </c>
      <c r="E164" s="70"/>
      <c r="F164" s="9" t="s">
        <v>459</v>
      </c>
      <c r="G164" s="164">
        <v>475</v>
      </c>
      <c r="H164" s="159"/>
      <c r="I164" s="160">
        <f t="shared" si="6"/>
        <v>475</v>
      </c>
      <c r="J164" s="160">
        <f t="shared" si="7"/>
        <v>23.75</v>
      </c>
      <c r="K164" s="160">
        <f t="shared" si="8"/>
        <v>498.75</v>
      </c>
      <c r="L164" s="13" t="s">
        <v>9</v>
      </c>
      <c r="P164">
        <v>1</v>
      </c>
    </row>
    <row r="165" spans="2:16" ht="17.25" hidden="1" customHeight="1" x14ac:dyDescent="0.25">
      <c r="B165" s="9" t="s">
        <v>460</v>
      </c>
      <c r="C165" s="10" t="s">
        <v>461</v>
      </c>
      <c r="D165" s="89">
        <v>45364</v>
      </c>
      <c r="E165" s="70"/>
      <c r="F165" s="9" t="s">
        <v>462</v>
      </c>
      <c r="G165" s="164">
        <v>750</v>
      </c>
      <c r="H165" s="159"/>
      <c r="I165" s="160">
        <f t="shared" si="6"/>
        <v>750</v>
      </c>
      <c r="J165" s="160">
        <f t="shared" si="7"/>
        <v>37.5</v>
      </c>
      <c r="K165" s="160">
        <f t="shared" si="8"/>
        <v>787.5</v>
      </c>
      <c r="L165" s="13" t="s">
        <v>78</v>
      </c>
      <c r="P165">
        <v>1</v>
      </c>
    </row>
    <row r="166" spans="2:16" ht="17.25" hidden="1" customHeight="1" x14ac:dyDescent="0.25">
      <c r="B166" s="9" t="s">
        <v>114</v>
      </c>
      <c r="C166" s="10" t="s">
        <v>463</v>
      </c>
      <c r="D166" s="89">
        <v>45365</v>
      </c>
      <c r="E166" s="70"/>
      <c r="F166" s="9" t="s">
        <v>467</v>
      </c>
      <c r="G166" s="164">
        <v>405</v>
      </c>
      <c r="H166" s="159"/>
      <c r="I166" s="160">
        <f t="shared" si="6"/>
        <v>405</v>
      </c>
      <c r="J166" s="160">
        <f t="shared" si="7"/>
        <v>20.25</v>
      </c>
      <c r="K166" s="160">
        <f t="shared" si="8"/>
        <v>425.25</v>
      </c>
      <c r="L166" s="13" t="s">
        <v>9</v>
      </c>
      <c r="P166">
        <v>1</v>
      </c>
    </row>
    <row r="167" spans="2:16" ht="17.25" hidden="1" customHeight="1" x14ac:dyDescent="0.25">
      <c r="B167" s="9" t="s">
        <v>10</v>
      </c>
      <c r="C167" s="10" t="s">
        <v>464</v>
      </c>
      <c r="D167" s="89">
        <v>45366</v>
      </c>
      <c r="E167" s="70"/>
      <c r="F167" s="9" t="s">
        <v>470</v>
      </c>
      <c r="G167" s="164">
        <v>3600</v>
      </c>
      <c r="H167" s="159"/>
      <c r="I167" s="160">
        <f t="shared" si="6"/>
        <v>3600</v>
      </c>
      <c r="J167" s="160">
        <f t="shared" si="7"/>
        <v>180</v>
      </c>
      <c r="K167" s="160">
        <f t="shared" si="8"/>
        <v>3780</v>
      </c>
      <c r="L167" s="13" t="s">
        <v>9</v>
      </c>
      <c r="P167">
        <v>1</v>
      </c>
    </row>
    <row r="168" spans="2:16" ht="17.25" hidden="1" customHeight="1" x14ac:dyDescent="0.25">
      <c r="B168" s="9" t="s">
        <v>10</v>
      </c>
      <c r="C168" s="10" t="s">
        <v>465</v>
      </c>
      <c r="D168" s="89">
        <v>45366</v>
      </c>
      <c r="E168" s="70"/>
      <c r="F168" s="9" t="s">
        <v>469</v>
      </c>
      <c r="G168" s="164">
        <v>2242.5</v>
      </c>
      <c r="H168" s="159"/>
      <c r="I168" s="160">
        <f t="shared" si="6"/>
        <v>2242.5</v>
      </c>
      <c r="J168" s="160">
        <f t="shared" si="7"/>
        <v>112.125</v>
      </c>
      <c r="K168" s="160">
        <f t="shared" si="8"/>
        <v>2354.625</v>
      </c>
      <c r="L168" s="13" t="s">
        <v>9</v>
      </c>
      <c r="P168">
        <v>1</v>
      </c>
    </row>
    <row r="169" spans="2:16" ht="17.25" hidden="1" customHeight="1" x14ac:dyDescent="0.25">
      <c r="B169" s="9" t="s">
        <v>29</v>
      </c>
      <c r="C169" s="10" t="s">
        <v>466</v>
      </c>
      <c r="D169" s="89">
        <v>45366</v>
      </c>
      <c r="E169" s="70"/>
      <c r="F169" s="9" t="s">
        <v>468</v>
      </c>
      <c r="G169" s="164">
        <v>275</v>
      </c>
      <c r="H169" s="159"/>
      <c r="I169" s="160">
        <f t="shared" si="6"/>
        <v>275</v>
      </c>
      <c r="J169" s="160">
        <f t="shared" si="7"/>
        <v>13.75</v>
      </c>
      <c r="K169" s="160">
        <f t="shared" si="8"/>
        <v>288.75</v>
      </c>
      <c r="L169" s="13" t="s">
        <v>9</v>
      </c>
      <c r="P169">
        <v>1</v>
      </c>
    </row>
    <row r="170" spans="2:16" ht="17.25" hidden="1" customHeight="1" x14ac:dyDescent="0.25">
      <c r="B170" s="9" t="s">
        <v>482</v>
      </c>
      <c r="C170" s="10" t="s">
        <v>471</v>
      </c>
      <c r="D170" s="89">
        <v>45369</v>
      </c>
      <c r="E170" s="70"/>
      <c r="F170" s="9" t="s">
        <v>483</v>
      </c>
      <c r="G170" s="164">
        <v>5350</v>
      </c>
      <c r="H170" s="159"/>
      <c r="I170" s="160">
        <f t="shared" si="6"/>
        <v>5350</v>
      </c>
      <c r="J170" s="160">
        <f t="shared" si="7"/>
        <v>267.5</v>
      </c>
      <c r="K170" s="160">
        <f t="shared" si="8"/>
        <v>5617.5</v>
      </c>
      <c r="L170" s="13" t="s">
        <v>9</v>
      </c>
      <c r="P170">
        <v>1</v>
      </c>
    </row>
    <row r="171" spans="2:16" ht="17.25" hidden="1" customHeight="1" x14ac:dyDescent="0.25">
      <c r="B171" s="9" t="s">
        <v>10</v>
      </c>
      <c r="C171" s="10" t="s">
        <v>472</v>
      </c>
      <c r="D171" s="89">
        <v>45370</v>
      </c>
      <c r="E171" s="70"/>
      <c r="F171" s="9" t="s">
        <v>484</v>
      </c>
      <c r="G171" s="164">
        <v>290</v>
      </c>
      <c r="H171" s="159"/>
      <c r="I171" s="160">
        <f t="shared" si="6"/>
        <v>290</v>
      </c>
      <c r="J171" s="160">
        <f t="shared" si="7"/>
        <v>14.5</v>
      </c>
      <c r="K171" s="160">
        <f t="shared" si="8"/>
        <v>304.5</v>
      </c>
      <c r="L171" s="13" t="s">
        <v>9</v>
      </c>
      <c r="P171">
        <v>1</v>
      </c>
    </row>
    <row r="172" spans="2:16" ht="17.25" hidden="1" customHeight="1" x14ac:dyDescent="0.25">
      <c r="B172" s="9" t="s">
        <v>443</v>
      </c>
      <c r="C172" s="10" t="s">
        <v>473</v>
      </c>
      <c r="D172" s="89">
        <v>45371</v>
      </c>
      <c r="E172" s="70"/>
      <c r="F172" s="9" t="s">
        <v>485</v>
      </c>
      <c r="G172" s="164">
        <v>195</v>
      </c>
      <c r="H172" s="159"/>
      <c r="I172" s="160">
        <f t="shared" si="6"/>
        <v>195</v>
      </c>
      <c r="J172" s="160">
        <f t="shared" si="7"/>
        <v>9.75</v>
      </c>
      <c r="K172" s="160">
        <f t="shared" si="8"/>
        <v>204.75</v>
      </c>
      <c r="L172" s="13" t="s">
        <v>9</v>
      </c>
      <c r="P172">
        <v>1</v>
      </c>
    </row>
    <row r="173" spans="2:16" ht="17.25" hidden="1" customHeight="1" x14ac:dyDescent="0.25">
      <c r="B173" s="9" t="s">
        <v>486</v>
      </c>
      <c r="C173" s="10" t="s">
        <v>474</v>
      </c>
      <c r="D173" s="89">
        <v>45377</v>
      </c>
      <c r="E173" s="70"/>
      <c r="F173" s="9" t="s">
        <v>487</v>
      </c>
      <c r="G173" s="164">
        <v>1725</v>
      </c>
      <c r="H173" s="159"/>
      <c r="I173" s="160">
        <f t="shared" si="6"/>
        <v>1725</v>
      </c>
      <c r="J173" s="160">
        <f t="shared" si="7"/>
        <v>86.25</v>
      </c>
      <c r="K173" s="160">
        <f t="shared" si="8"/>
        <v>1811.25</v>
      </c>
      <c r="L173" s="13" t="s">
        <v>78</v>
      </c>
      <c r="P173">
        <v>1</v>
      </c>
    </row>
    <row r="174" spans="2:16" ht="17.25" hidden="1" customHeight="1" x14ac:dyDescent="0.25">
      <c r="B174" s="9" t="s">
        <v>524</v>
      </c>
      <c r="C174" s="10" t="s">
        <v>475</v>
      </c>
      <c r="D174" s="89">
        <v>45371</v>
      </c>
      <c r="E174" s="70"/>
      <c r="F174" s="9" t="s">
        <v>489</v>
      </c>
      <c r="G174" s="164">
        <v>1925</v>
      </c>
      <c r="H174" s="159"/>
      <c r="I174" s="160">
        <f t="shared" si="6"/>
        <v>1925</v>
      </c>
      <c r="J174" s="160">
        <f t="shared" si="7"/>
        <v>96.25</v>
      </c>
      <c r="K174" s="160">
        <f t="shared" si="8"/>
        <v>2021.25</v>
      </c>
      <c r="L174" s="13" t="s">
        <v>9</v>
      </c>
      <c r="P174">
        <v>1</v>
      </c>
    </row>
    <row r="175" spans="2:16" ht="17.25" hidden="1" customHeight="1" x14ac:dyDescent="0.25">
      <c r="B175" s="9" t="s">
        <v>492</v>
      </c>
      <c r="C175" s="10" t="s">
        <v>476</v>
      </c>
      <c r="D175" s="89">
        <v>45372</v>
      </c>
      <c r="E175" s="70"/>
      <c r="F175" s="9" t="s">
        <v>491</v>
      </c>
      <c r="G175" s="164">
        <v>275</v>
      </c>
      <c r="H175" s="159"/>
      <c r="I175" s="160">
        <f t="shared" si="6"/>
        <v>275</v>
      </c>
      <c r="J175" s="160">
        <f t="shared" si="7"/>
        <v>13.75</v>
      </c>
      <c r="K175" s="160">
        <f t="shared" si="8"/>
        <v>288.75</v>
      </c>
      <c r="L175" s="13" t="s">
        <v>9</v>
      </c>
      <c r="P175">
        <v>1</v>
      </c>
    </row>
    <row r="176" spans="2:16" ht="17.25" hidden="1" customHeight="1" x14ac:dyDescent="0.25">
      <c r="B176" s="9" t="s">
        <v>492</v>
      </c>
      <c r="C176" s="10" t="s">
        <v>477</v>
      </c>
      <c r="D176" s="89">
        <v>45372</v>
      </c>
      <c r="E176" s="70"/>
      <c r="F176" s="9" t="s">
        <v>493</v>
      </c>
      <c r="G176" s="164">
        <v>10260</v>
      </c>
      <c r="H176" s="159"/>
      <c r="I176" s="160">
        <f t="shared" si="6"/>
        <v>10260</v>
      </c>
      <c r="J176" s="160">
        <f t="shared" si="7"/>
        <v>513</v>
      </c>
      <c r="K176" s="160">
        <f t="shared" si="8"/>
        <v>10773</v>
      </c>
      <c r="L176" s="13" t="s">
        <v>9</v>
      </c>
      <c r="P176">
        <v>1</v>
      </c>
    </row>
    <row r="177" spans="2:16" ht="17.25" hidden="1" customHeight="1" x14ac:dyDescent="0.25">
      <c r="B177" s="9" t="s">
        <v>494</v>
      </c>
      <c r="C177" s="10" t="s">
        <v>478</v>
      </c>
      <c r="D177" s="89">
        <v>45374</v>
      </c>
      <c r="E177" s="70"/>
      <c r="F177" s="9" t="s">
        <v>77</v>
      </c>
      <c r="G177" s="164">
        <v>285</v>
      </c>
      <c r="H177" s="159"/>
      <c r="I177" s="160">
        <f t="shared" si="6"/>
        <v>285</v>
      </c>
      <c r="J177" s="160">
        <f t="shared" si="7"/>
        <v>14.25</v>
      </c>
      <c r="K177" s="160">
        <f t="shared" si="8"/>
        <v>299.25</v>
      </c>
      <c r="L177" s="13" t="s">
        <v>9</v>
      </c>
      <c r="P177">
        <v>1</v>
      </c>
    </row>
    <row r="178" spans="2:16" ht="17.25" hidden="1" customHeight="1" x14ac:dyDescent="0.25">
      <c r="B178" s="9" t="s">
        <v>81</v>
      </c>
      <c r="C178" s="10" t="s">
        <v>479</v>
      </c>
      <c r="D178" s="89">
        <v>45376</v>
      </c>
      <c r="E178" s="70" t="s">
        <v>82</v>
      </c>
      <c r="F178" s="9" t="s">
        <v>495</v>
      </c>
      <c r="G178" s="164">
        <v>1250</v>
      </c>
      <c r="H178" s="159"/>
      <c r="I178" s="160">
        <f t="shared" si="6"/>
        <v>1250</v>
      </c>
      <c r="J178" s="160">
        <f t="shared" si="7"/>
        <v>62.5</v>
      </c>
      <c r="K178" s="160">
        <f t="shared" si="8"/>
        <v>1312.5</v>
      </c>
      <c r="L178" s="13" t="s">
        <v>78</v>
      </c>
      <c r="P178">
        <v>1</v>
      </c>
    </row>
    <row r="179" spans="2:16" ht="17.25" hidden="1" customHeight="1" x14ac:dyDescent="0.25">
      <c r="B179" s="9" t="s">
        <v>482</v>
      </c>
      <c r="C179" s="10" t="s">
        <v>480</v>
      </c>
      <c r="D179" s="89">
        <v>45374</v>
      </c>
      <c r="E179" s="70" t="s">
        <v>82</v>
      </c>
      <c r="F179" s="9" t="s">
        <v>483</v>
      </c>
      <c r="G179" s="164">
        <v>1275</v>
      </c>
      <c r="H179" s="159"/>
      <c r="I179" s="160">
        <f t="shared" si="6"/>
        <v>1275</v>
      </c>
      <c r="J179" s="160">
        <f t="shared" si="7"/>
        <v>63.75</v>
      </c>
      <c r="K179" s="160">
        <f t="shared" si="8"/>
        <v>1338.75</v>
      </c>
      <c r="L179" s="13" t="s">
        <v>9</v>
      </c>
      <c r="P179">
        <v>1</v>
      </c>
    </row>
    <row r="180" spans="2:16" ht="17.25" hidden="1" customHeight="1" x14ac:dyDescent="0.25">
      <c r="B180" s="9" t="s">
        <v>492</v>
      </c>
      <c r="C180" s="10" t="s">
        <v>481</v>
      </c>
      <c r="D180" s="89">
        <v>45377</v>
      </c>
      <c r="E180" s="70" t="s">
        <v>82</v>
      </c>
      <c r="F180" s="9" t="s">
        <v>496</v>
      </c>
      <c r="G180" s="164">
        <v>185</v>
      </c>
      <c r="H180" s="159"/>
      <c r="I180" s="160">
        <f t="shared" si="6"/>
        <v>185</v>
      </c>
      <c r="J180" s="160">
        <f t="shared" si="7"/>
        <v>9.25</v>
      </c>
      <c r="K180" s="160">
        <f t="shared" si="8"/>
        <v>194.25</v>
      </c>
      <c r="L180" s="13" t="s">
        <v>9</v>
      </c>
      <c r="P180">
        <v>1</v>
      </c>
    </row>
    <row r="181" spans="2:16" ht="17.25" hidden="1" customHeight="1" x14ac:dyDescent="0.25">
      <c r="B181" s="9" t="s">
        <v>10</v>
      </c>
      <c r="C181" s="10" t="s">
        <v>500</v>
      </c>
      <c r="D181" s="89">
        <v>45378</v>
      </c>
      <c r="E181" s="70" t="s">
        <v>82</v>
      </c>
      <c r="F181" s="9" t="s">
        <v>508</v>
      </c>
      <c r="G181" s="159">
        <v>145</v>
      </c>
      <c r="H181" s="159"/>
      <c r="I181" s="160">
        <f t="shared" si="6"/>
        <v>145</v>
      </c>
      <c r="J181" s="160">
        <f t="shared" si="7"/>
        <v>7.25</v>
      </c>
      <c r="K181" s="160">
        <f t="shared" si="8"/>
        <v>152.25</v>
      </c>
      <c r="L181" s="13" t="s">
        <v>9</v>
      </c>
      <c r="P181">
        <v>1</v>
      </c>
    </row>
    <row r="182" spans="2:16" ht="17.25" hidden="1" customHeight="1" x14ac:dyDescent="0.25">
      <c r="B182" s="9" t="s">
        <v>10</v>
      </c>
      <c r="C182" s="10" t="s">
        <v>501</v>
      </c>
      <c r="D182" s="89">
        <v>45378</v>
      </c>
      <c r="E182" s="70" t="s">
        <v>82</v>
      </c>
      <c r="F182" s="9" t="s">
        <v>509</v>
      </c>
      <c r="G182" s="159">
        <v>450</v>
      </c>
      <c r="H182" s="159"/>
      <c r="I182" s="160">
        <f t="shared" si="6"/>
        <v>450</v>
      </c>
      <c r="J182" s="160">
        <f t="shared" si="7"/>
        <v>22.5</v>
      </c>
      <c r="K182" s="160">
        <f t="shared" si="8"/>
        <v>472.5</v>
      </c>
      <c r="L182" s="13" t="s">
        <v>9</v>
      </c>
      <c r="P182">
        <v>1</v>
      </c>
    </row>
    <row r="183" spans="2:16" ht="17.25" hidden="1" customHeight="1" x14ac:dyDescent="0.25">
      <c r="B183" s="9" t="s">
        <v>10</v>
      </c>
      <c r="C183" s="10" t="s">
        <v>502</v>
      </c>
      <c r="D183" s="89">
        <v>45378</v>
      </c>
      <c r="E183" s="70" t="s">
        <v>82</v>
      </c>
      <c r="F183" s="9" t="s">
        <v>510</v>
      </c>
      <c r="G183" s="159">
        <f>210*3</f>
        <v>630</v>
      </c>
      <c r="H183" s="159"/>
      <c r="I183" s="160">
        <f t="shared" si="6"/>
        <v>630</v>
      </c>
      <c r="J183" s="160">
        <f t="shared" si="7"/>
        <v>31.5</v>
      </c>
      <c r="K183" s="160">
        <f t="shared" si="8"/>
        <v>661.5</v>
      </c>
      <c r="L183" s="13" t="s">
        <v>9</v>
      </c>
      <c r="P183">
        <v>1</v>
      </c>
    </row>
    <row r="184" spans="2:16" ht="17.25" hidden="1" customHeight="1" x14ac:dyDescent="0.25">
      <c r="B184" s="9" t="s">
        <v>512</v>
      </c>
      <c r="C184" s="10" t="s">
        <v>503</v>
      </c>
      <c r="D184" s="89">
        <v>45377</v>
      </c>
      <c r="E184" s="70" t="s">
        <v>82</v>
      </c>
      <c r="F184" s="9" t="s">
        <v>511</v>
      </c>
      <c r="G184" s="159">
        <v>435</v>
      </c>
      <c r="H184" s="159"/>
      <c r="I184" s="160">
        <f t="shared" si="6"/>
        <v>435</v>
      </c>
      <c r="J184" s="160">
        <f t="shared" si="7"/>
        <v>21.75</v>
      </c>
      <c r="K184" s="160">
        <f t="shared" si="8"/>
        <v>456.75</v>
      </c>
      <c r="L184" s="13" t="s">
        <v>9</v>
      </c>
      <c r="P184">
        <v>1</v>
      </c>
    </row>
    <row r="185" spans="2:16" ht="17.25" hidden="1" customHeight="1" x14ac:dyDescent="0.25">
      <c r="B185" s="9" t="s">
        <v>114</v>
      </c>
      <c r="C185" s="10" t="s">
        <v>504</v>
      </c>
      <c r="D185" s="89">
        <v>45378</v>
      </c>
      <c r="E185" s="70" t="s">
        <v>82</v>
      </c>
      <c r="F185" s="9" t="s">
        <v>514</v>
      </c>
      <c r="G185" s="159">
        <f>1190+425</f>
        <v>1615</v>
      </c>
      <c r="H185" s="159"/>
      <c r="I185" s="160">
        <f t="shared" si="6"/>
        <v>1615</v>
      </c>
      <c r="J185" s="160">
        <f t="shared" si="7"/>
        <v>80.75</v>
      </c>
      <c r="K185" s="160">
        <f t="shared" si="8"/>
        <v>1695.75</v>
      </c>
      <c r="L185" s="13" t="s">
        <v>9</v>
      </c>
      <c r="P185">
        <v>1</v>
      </c>
    </row>
    <row r="186" spans="2:16" ht="17.25" hidden="1" customHeight="1" x14ac:dyDescent="0.25">
      <c r="B186" s="9" t="s">
        <v>515</v>
      </c>
      <c r="C186" s="10" t="s">
        <v>505</v>
      </c>
      <c r="D186" s="89">
        <v>45378</v>
      </c>
      <c r="E186" s="70" t="s">
        <v>82</v>
      </c>
      <c r="F186" s="9" t="s">
        <v>516</v>
      </c>
      <c r="G186" s="159">
        <f>3950+2970</f>
        <v>6920</v>
      </c>
      <c r="H186" s="159"/>
      <c r="I186" s="160">
        <f t="shared" si="6"/>
        <v>6920</v>
      </c>
      <c r="J186" s="160">
        <f t="shared" si="7"/>
        <v>346</v>
      </c>
      <c r="K186" s="160">
        <f t="shared" si="8"/>
        <v>7266</v>
      </c>
      <c r="L186" s="13" t="s">
        <v>78</v>
      </c>
      <c r="P186">
        <v>1</v>
      </c>
    </row>
    <row r="187" spans="2:16" ht="17.25" hidden="1" customHeight="1" x14ac:dyDescent="0.25">
      <c r="B187" s="9" t="s">
        <v>81</v>
      </c>
      <c r="C187" s="10" t="s">
        <v>506</v>
      </c>
      <c r="D187" s="89">
        <v>45379</v>
      </c>
      <c r="E187" s="70" t="s">
        <v>82</v>
      </c>
      <c r="F187" s="9" t="s">
        <v>517</v>
      </c>
      <c r="G187" s="159">
        <v>350</v>
      </c>
      <c r="H187" s="159"/>
      <c r="I187" s="160">
        <f t="shared" si="6"/>
        <v>350</v>
      </c>
      <c r="J187" s="160">
        <f t="shared" si="7"/>
        <v>17.5</v>
      </c>
      <c r="K187" s="160">
        <f t="shared" si="8"/>
        <v>367.5</v>
      </c>
      <c r="L187" s="13" t="s">
        <v>78</v>
      </c>
      <c r="P187">
        <v>1</v>
      </c>
    </row>
    <row r="188" spans="2:16" ht="17.25" hidden="1" customHeight="1" x14ac:dyDescent="0.25">
      <c r="B188" s="9" t="s">
        <v>513</v>
      </c>
      <c r="C188" s="10" t="s">
        <v>507</v>
      </c>
      <c r="D188" s="89">
        <v>45379</v>
      </c>
      <c r="E188" s="70" t="s">
        <v>82</v>
      </c>
      <c r="F188" s="9" t="s">
        <v>518</v>
      </c>
      <c r="G188" s="159">
        <f>1440</f>
        <v>1440</v>
      </c>
      <c r="H188" s="159"/>
      <c r="I188" s="160">
        <f t="shared" si="6"/>
        <v>1440</v>
      </c>
      <c r="J188" s="160">
        <f t="shared" si="7"/>
        <v>72</v>
      </c>
      <c r="K188" s="160">
        <f t="shared" si="8"/>
        <v>1512</v>
      </c>
      <c r="L188" s="13" t="s">
        <v>78</v>
      </c>
      <c r="P188">
        <v>1</v>
      </c>
    </row>
    <row r="189" spans="2:16" ht="17.25" hidden="1" customHeight="1" x14ac:dyDescent="0.25">
      <c r="B189" s="9" t="s">
        <v>81</v>
      </c>
      <c r="C189" s="10" t="s">
        <v>519</v>
      </c>
      <c r="D189" s="89">
        <v>45379</v>
      </c>
      <c r="E189" s="70" t="s">
        <v>82</v>
      </c>
      <c r="F189" s="9" t="s">
        <v>523</v>
      </c>
      <c r="G189" s="159">
        <f>1100+6775</f>
        <v>7875</v>
      </c>
      <c r="H189" s="159"/>
      <c r="I189" s="160">
        <f t="shared" si="6"/>
        <v>7875</v>
      </c>
      <c r="J189" s="160">
        <f t="shared" si="7"/>
        <v>393.75</v>
      </c>
      <c r="K189" s="160">
        <f t="shared" si="8"/>
        <v>8268.75</v>
      </c>
      <c r="L189" s="13" t="s">
        <v>78</v>
      </c>
      <c r="P189">
        <v>1</v>
      </c>
    </row>
    <row r="190" spans="2:16" ht="17.25" hidden="1" customHeight="1" x14ac:dyDescent="0.25">
      <c r="B190" s="9" t="s">
        <v>524</v>
      </c>
      <c r="C190" s="10" t="s">
        <v>520</v>
      </c>
      <c r="D190" s="89">
        <v>45381</v>
      </c>
      <c r="E190" s="70"/>
      <c r="F190" s="9" t="s">
        <v>525</v>
      </c>
      <c r="G190" s="159">
        <v>2300</v>
      </c>
      <c r="H190" s="159"/>
      <c r="I190" s="160">
        <f t="shared" si="6"/>
        <v>2300</v>
      </c>
      <c r="J190" s="160">
        <f t="shared" si="7"/>
        <v>115</v>
      </c>
      <c r="K190" s="160">
        <f t="shared" si="8"/>
        <v>2415</v>
      </c>
      <c r="L190" s="13" t="s">
        <v>9</v>
      </c>
      <c r="P190">
        <v>1</v>
      </c>
    </row>
    <row r="191" spans="2:16" ht="17.25" hidden="1" customHeight="1" x14ac:dyDescent="0.25">
      <c r="B191" s="9" t="s">
        <v>43</v>
      </c>
      <c r="C191" s="10" t="s">
        <v>521</v>
      </c>
      <c r="D191" s="89">
        <v>45381</v>
      </c>
      <c r="E191" s="70"/>
      <c r="F191" s="9" t="s">
        <v>526</v>
      </c>
      <c r="G191" s="159">
        <v>792.5</v>
      </c>
      <c r="H191" s="159"/>
      <c r="I191" s="160">
        <f t="shared" si="6"/>
        <v>792.5</v>
      </c>
      <c r="J191" s="160">
        <f t="shared" si="7"/>
        <v>39.625</v>
      </c>
      <c r="K191" s="160">
        <f t="shared" si="8"/>
        <v>832.125</v>
      </c>
      <c r="L191" s="13" t="s">
        <v>9</v>
      </c>
      <c r="P191">
        <v>1</v>
      </c>
    </row>
    <row r="192" spans="2:16" ht="17.25" hidden="1" customHeight="1" x14ac:dyDescent="0.25">
      <c r="B192" s="9" t="s">
        <v>10</v>
      </c>
      <c r="C192" s="10" t="s">
        <v>522</v>
      </c>
      <c r="D192" s="89">
        <v>45381</v>
      </c>
      <c r="E192" s="70"/>
      <c r="F192" s="9" t="s">
        <v>527</v>
      </c>
      <c r="G192" s="159">
        <f>1575</f>
        <v>1575</v>
      </c>
      <c r="H192" s="159"/>
      <c r="I192" s="160">
        <f t="shared" si="6"/>
        <v>1575</v>
      </c>
      <c r="J192" s="160">
        <f t="shared" si="7"/>
        <v>78.75</v>
      </c>
      <c r="K192" s="160">
        <f t="shared" si="8"/>
        <v>1653.75</v>
      </c>
      <c r="L192" s="13" t="s">
        <v>9</v>
      </c>
      <c r="P192">
        <v>1</v>
      </c>
    </row>
    <row r="193" spans="1:16" ht="17.25" hidden="1" customHeight="1" x14ac:dyDescent="0.25">
      <c r="B193" s="9" t="s">
        <v>102</v>
      </c>
      <c r="C193" s="10" t="s">
        <v>528</v>
      </c>
      <c r="D193" s="89">
        <v>45381</v>
      </c>
      <c r="E193" s="70"/>
      <c r="F193" s="9" t="s">
        <v>532</v>
      </c>
      <c r="G193" s="159">
        <f>585</f>
        <v>585</v>
      </c>
      <c r="H193" s="159"/>
      <c r="I193" s="160">
        <f t="shared" si="6"/>
        <v>585</v>
      </c>
      <c r="J193" s="160">
        <f t="shared" si="7"/>
        <v>29.25</v>
      </c>
      <c r="K193" s="160">
        <f t="shared" si="8"/>
        <v>614.25</v>
      </c>
      <c r="L193" s="13" t="s">
        <v>9</v>
      </c>
      <c r="P193">
        <v>1</v>
      </c>
    </row>
    <row r="194" spans="1:16" ht="17.25" hidden="1" customHeight="1" x14ac:dyDescent="0.25">
      <c r="B194" s="9" t="s">
        <v>236</v>
      </c>
      <c r="C194" s="10" t="s">
        <v>529</v>
      </c>
      <c r="D194" s="89">
        <v>45381</v>
      </c>
      <c r="E194" s="70"/>
      <c r="F194" s="9" t="s">
        <v>533</v>
      </c>
      <c r="G194" s="159">
        <v>60</v>
      </c>
      <c r="H194" s="159"/>
      <c r="I194" s="160">
        <f t="shared" si="6"/>
        <v>60</v>
      </c>
      <c r="J194" s="160">
        <f t="shared" si="7"/>
        <v>3</v>
      </c>
      <c r="K194" s="160">
        <f t="shared" si="8"/>
        <v>63</v>
      </c>
      <c r="L194" s="13" t="s">
        <v>9</v>
      </c>
      <c r="P194">
        <v>1</v>
      </c>
    </row>
    <row r="195" spans="1:16" ht="17.25" hidden="1" customHeight="1" x14ac:dyDescent="0.25">
      <c r="B195" s="9" t="s">
        <v>236</v>
      </c>
      <c r="C195" s="10" t="s">
        <v>530</v>
      </c>
      <c r="D195" s="89">
        <v>45381</v>
      </c>
      <c r="E195" s="70"/>
      <c r="F195" s="9" t="s">
        <v>534</v>
      </c>
      <c r="G195" s="159">
        <v>90</v>
      </c>
      <c r="H195" s="159"/>
      <c r="I195" s="160">
        <f t="shared" ref="I195:I333" si="9">G195-H195</f>
        <v>90</v>
      </c>
      <c r="J195" s="160">
        <f t="shared" ref="J195:J333" si="10">G195*5%</f>
        <v>4.5</v>
      </c>
      <c r="K195" s="160">
        <f t="shared" ref="K195:K333" si="11">G195+J195</f>
        <v>94.5</v>
      </c>
      <c r="L195" s="13" t="s">
        <v>9</v>
      </c>
      <c r="P195">
        <v>1</v>
      </c>
    </row>
    <row r="196" spans="1:16" ht="17.25" hidden="1" customHeight="1" x14ac:dyDescent="0.25">
      <c r="A196" t="s">
        <v>1027</v>
      </c>
      <c r="B196" s="9" t="s">
        <v>535</v>
      </c>
      <c r="C196" s="10" t="s">
        <v>531</v>
      </c>
      <c r="D196" s="89">
        <v>45381</v>
      </c>
      <c r="E196" s="71" t="s">
        <v>561</v>
      </c>
      <c r="F196" s="9" t="s">
        <v>536</v>
      </c>
      <c r="G196" s="159">
        <v>2358.75</v>
      </c>
      <c r="H196" s="159"/>
      <c r="I196" s="160">
        <f t="shared" si="9"/>
        <v>2358.75</v>
      </c>
      <c r="J196" s="160">
        <f t="shared" si="10"/>
        <v>117.9375</v>
      </c>
      <c r="K196" s="160">
        <f t="shared" si="11"/>
        <v>2476.6875</v>
      </c>
      <c r="L196" s="13" t="s">
        <v>78</v>
      </c>
      <c r="P196">
        <v>1</v>
      </c>
    </row>
    <row r="197" spans="1:16" ht="17.25" hidden="1" customHeight="1" x14ac:dyDescent="0.25">
      <c r="B197" s="9" t="s">
        <v>552</v>
      </c>
      <c r="C197" s="10" t="s">
        <v>541</v>
      </c>
      <c r="D197" s="89">
        <v>45384</v>
      </c>
      <c r="E197" s="71" t="s">
        <v>553</v>
      </c>
      <c r="F197" s="9" t="s">
        <v>554</v>
      </c>
      <c r="G197" s="160">
        <v>1750.5</v>
      </c>
      <c r="H197" s="160"/>
      <c r="I197" s="160">
        <f t="shared" si="9"/>
        <v>1750.5</v>
      </c>
      <c r="J197" s="160">
        <f t="shared" si="10"/>
        <v>87.525000000000006</v>
      </c>
      <c r="K197" s="160">
        <f t="shared" si="11"/>
        <v>1838.0250000000001</v>
      </c>
      <c r="L197" s="13" t="s">
        <v>78</v>
      </c>
      <c r="P197">
        <v>1</v>
      </c>
    </row>
    <row r="198" spans="1:16" ht="17.25" hidden="1" customHeight="1" x14ac:dyDescent="0.25">
      <c r="B198" s="9" t="s">
        <v>10</v>
      </c>
      <c r="C198" s="10" t="s">
        <v>542</v>
      </c>
      <c r="D198" s="89">
        <v>45385</v>
      </c>
      <c r="E198" s="71" t="s">
        <v>16</v>
      </c>
      <c r="F198" s="9" t="s">
        <v>555</v>
      </c>
      <c r="G198" s="160">
        <v>1506</v>
      </c>
      <c r="H198" s="160"/>
      <c r="I198" s="160">
        <f t="shared" si="9"/>
        <v>1506</v>
      </c>
      <c r="J198" s="160">
        <f t="shared" si="10"/>
        <v>75.3</v>
      </c>
      <c r="K198" s="160">
        <f t="shared" si="11"/>
        <v>1581.3</v>
      </c>
      <c r="L198" s="13" t="s">
        <v>9</v>
      </c>
      <c r="P198">
        <v>1</v>
      </c>
    </row>
    <row r="199" spans="1:16" ht="17.25" hidden="1" customHeight="1" x14ac:dyDescent="0.25">
      <c r="B199" s="9" t="s">
        <v>184</v>
      </c>
      <c r="C199" s="10" t="s">
        <v>543</v>
      </c>
      <c r="D199" s="89">
        <v>45386</v>
      </c>
      <c r="E199" s="71" t="s">
        <v>185</v>
      </c>
      <c r="F199" s="9" t="s">
        <v>556</v>
      </c>
      <c r="G199" s="160">
        <v>1050</v>
      </c>
      <c r="H199" s="160"/>
      <c r="I199" s="160">
        <f t="shared" si="9"/>
        <v>1050</v>
      </c>
      <c r="J199" s="160">
        <f t="shared" si="10"/>
        <v>52.5</v>
      </c>
      <c r="K199" s="160">
        <f t="shared" si="11"/>
        <v>1102.5</v>
      </c>
      <c r="L199" s="13" t="s">
        <v>9</v>
      </c>
      <c r="P199">
        <v>1</v>
      </c>
    </row>
    <row r="200" spans="1:16" ht="17.25" hidden="1" customHeight="1" x14ac:dyDescent="0.25">
      <c r="B200" s="9" t="s">
        <v>10</v>
      </c>
      <c r="C200" s="10" t="s">
        <v>544</v>
      </c>
      <c r="D200" s="89">
        <v>45385</v>
      </c>
      <c r="E200" s="71" t="s">
        <v>16</v>
      </c>
      <c r="F200" s="9" t="s">
        <v>557</v>
      </c>
      <c r="G200" s="160">
        <v>235</v>
      </c>
      <c r="H200" s="160"/>
      <c r="I200" s="160">
        <f t="shared" si="9"/>
        <v>235</v>
      </c>
      <c r="J200" s="160">
        <f t="shared" si="10"/>
        <v>11.75</v>
      </c>
      <c r="K200" s="160">
        <f t="shared" si="11"/>
        <v>246.75</v>
      </c>
      <c r="L200" s="13" t="s">
        <v>9</v>
      </c>
      <c r="P200">
        <v>1</v>
      </c>
    </row>
    <row r="201" spans="1:16" ht="17.25" hidden="1" customHeight="1" x14ac:dyDescent="0.25">
      <c r="B201" s="9" t="s">
        <v>558</v>
      </c>
      <c r="C201" s="10" t="s">
        <v>545</v>
      </c>
      <c r="D201" s="89">
        <v>45387</v>
      </c>
      <c r="E201" s="71" t="s">
        <v>559</v>
      </c>
      <c r="F201" s="9" t="s">
        <v>560</v>
      </c>
      <c r="G201" s="160">
        <v>1167</v>
      </c>
      <c r="H201" s="160"/>
      <c r="I201" s="160">
        <f t="shared" si="9"/>
        <v>1167</v>
      </c>
      <c r="J201" s="160">
        <f t="shared" si="10"/>
        <v>58.35</v>
      </c>
      <c r="K201" s="160">
        <f t="shared" si="11"/>
        <v>1225.3499999999999</v>
      </c>
      <c r="L201" s="13" t="s">
        <v>78</v>
      </c>
      <c r="P201">
        <v>1</v>
      </c>
    </row>
    <row r="202" spans="1:16" ht="17.25" hidden="1" customHeight="1" x14ac:dyDescent="0.25">
      <c r="B202" s="9" t="s">
        <v>535</v>
      </c>
      <c r="C202" s="10" t="s">
        <v>546</v>
      </c>
      <c r="D202" s="89">
        <v>45381</v>
      </c>
      <c r="E202" s="71" t="s">
        <v>561</v>
      </c>
      <c r="F202" s="9" t="s">
        <v>536</v>
      </c>
      <c r="G202" s="160">
        <v>5827.5</v>
      </c>
      <c r="H202" s="160"/>
      <c r="I202" s="160">
        <f t="shared" si="9"/>
        <v>5827.5</v>
      </c>
      <c r="J202" s="160">
        <f t="shared" si="10"/>
        <v>291.375</v>
      </c>
      <c r="K202" s="160">
        <f t="shared" si="11"/>
        <v>6118.875</v>
      </c>
      <c r="L202" s="13" t="s">
        <v>78</v>
      </c>
      <c r="P202">
        <v>1</v>
      </c>
    </row>
    <row r="203" spans="1:16" ht="17.25" hidden="1" customHeight="1" x14ac:dyDescent="0.25">
      <c r="B203" s="9" t="s">
        <v>535</v>
      </c>
      <c r="C203" s="10" t="s">
        <v>547</v>
      </c>
      <c r="D203" s="89">
        <v>45381</v>
      </c>
      <c r="E203" s="71" t="s">
        <v>561</v>
      </c>
      <c r="F203" s="9" t="s">
        <v>536</v>
      </c>
      <c r="G203" s="160">
        <v>4440</v>
      </c>
      <c r="H203" s="160"/>
      <c r="I203" s="160">
        <f t="shared" si="9"/>
        <v>4440</v>
      </c>
      <c r="J203" s="160">
        <f t="shared" si="10"/>
        <v>222</v>
      </c>
      <c r="K203" s="160">
        <f t="shared" si="11"/>
        <v>4662</v>
      </c>
      <c r="L203" s="13" t="s">
        <v>78</v>
      </c>
      <c r="P203">
        <v>1</v>
      </c>
    </row>
    <row r="204" spans="1:16" ht="17.25" hidden="1" customHeight="1" x14ac:dyDescent="0.25">
      <c r="B204" s="9" t="s">
        <v>562</v>
      </c>
      <c r="C204" s="10" t="s">
        <v>548</v>
      </c>
      <c r="D204" s="89">
        <v>45381</v>
      </c>
      <c r="E204" s="71" t="s">
        <v>561</v>
      </c>
      <c r="F204" s="9" t="s">
        <v>536</v>
      </c>
      <c r="G204" s="160">
        <v>8463.75</v>
      </c>
      <c r="H204" s="160"/>
      <c r="I204" s="160">
        <f t="shared" si="9"/>
        <v>8463.75</v>
      </c>
      <c r="J204" s="160">
        <f t="shared" si="10"/>
        <v>423.1875</v>
      </c>
      <c r="K204" s="160">
        <f t="shared" si="11"/>
        <v>8886.9375</v>
      </c>
      <c r="L204" s="13" t="s">
        <v>78</v>
      </c>
      <c r="P204">
        <v>1</v>
      </c>
    </row>
    <row r="205" spans="1:16" ht="17.25" hidden="1" customHeight="1" x14ac:dyDescent="0.25">
      <c r="B205" s="9" t="s">
        <v>563</v>
      </c>
      <c r="C205" s="10" t="s">
        <v>549</v>
      </c>
      <c r="D205" s="89">
        <v>45381</v>
      </c>
      <c r="E205" s="70" t="s">
        <v>74</v>
      </c>
      <c r="F205" s="9" t="s">
        <v>536</v>
      </c>
      <c r="G205" s="160">
        <v>693.81</v>
      </c>
      <c r="H205" s="160"/>
      <c r="I205" s="160">
        <f t="shared" si="9"/>
        <v>693.81</v>
      </c>
      <c r="J205" s="160">
        <f t="shared" si="10"/>
        <v>34.6905</v>
      </c>
      <c r="K205" s="160">
        <f t="shared" si="11"/>
        <v>728.50049999999999</v>
      </c>
      <c r="L205" s="13" t="s">
        <v>78</v>
      </c>
      <c r="P205">
        <v>1</v>
      </c>
    </row>
    <row r="206" spans="1:16" ht="17.25" hidden="1" customHeight="1" x14ac:dyDescent="0.25">
      <c r="B206" s="9" t="s">
        <v>564</v>
      </c>
      <c r="C206" s="10" t="s">
        <v>550</v>
      </c>
      <c r="D206" s="89">
        <v>45381</v>
      </c>
      <c r="E206" s="71" t="s">
        <v>565</v>
      </c>
      <c r="F206" s="9" t="s">
        <v>536</v>
      </c>
      <c r="G206" s="160">
        <v>2497.7199999999998</v>
      </c>
      <c r="H206" s="160"/>
      <c r="I206" s="160">
        <f t="shared" si="9"/>
        <v>2497.7199999999998</v>
      </c>
      <c r="J206" s="160">
        <f t="shared" si="10"/>
        <v>124.886</v>
      </c>
      <c r="K206" s="180">
        <f t="shared" si="11"/>
        <v>2622.6059999999998</v>
      </c>
      <c r="L206" s="13" t="s">
        <v>78</v>
      </c>
      <c r="P206">
        <v>1</v>
      </c>
    </row>
    <row r="207" spans="1:16" ht="17.25" hidden="1" customHeight="1" x14ac:dyDescent="0.25">
      <c r="B207" s="9" t="s">
        <v>563</v>
      </c>
      <c r="C207" s="10" t="s">
        <v>551</v>
      </c>
      <c r="D207" s="89">
        <v>45381</v>
      </c>
      <c r="E207" s="70" t="s">
        <v>74</v>
      </c>
      <c r="F207" s="9" t="s">
        <v>536</v>
      </c>
      <c r="G207" s="160">
        <v>6799.34</v>
      </c>
      <c r="H207" s="160"/>
      <c r="I207" s="160">
        <f t="shared" si="9"/>
        <v>6799.34</v>
      </c>
      <c r="J207" s="160">
        <f t="shared" si="10"/>
        <v>339.96700000000004</v>
      </c>
      <c r="K207" s="180">
        <f t="shared" si="11"/>
        <v>7139.3069999999998</v>
      </c>
      <c r="L207" s="13" t="s">
        <v>78</v>
      </c>
      <c r="P207">
        <v>1</v>
      </c>
    </row>
    <row r="208" spans="1:16" ht="17.25" hidden="1" customHeight="1" x14ac:dyDescent="0.25">
      <c r="B208" s="9" t="s">
        <v>566</v>
      </c>
      <c r="C208" s="10" t="s">
        <v>567</v>
      </c>
      <c r="D208" s="89">
        <v>45404</v>
      </c>
      <c r="E208" s="71" t="s">
        <v>571</v>
      </c>
      <c r="F208" s="9" t="s">
        <v>626</v>
      </c>
      <c r="G208" s="160">
        <v>11000</v>
      </c>
      <c r="H208" s="160"/>
      <c r="I208" s="160">
        <f t="shared" si="9"/>
        <v>11000</v>
      </c>
      <c r="J208" s="160">
        <f t="shared" si="10"/>
        <v>550</v>
      </c>
      <c r="K208" s="160">
        <f t="shared" si="11"/>
        <v>11550</v>
      </c>
      <c r="L208" s="13" t="s">
        <v>78</v>
      </c>
      <c r="P208">
        <v>1</v>
      </c>
    </row>
    <row r="209" spans="2:16" ht="17.25" hidden="1" customHeight="1" x14ac:dyDescent="0.25">
      <c r="B209" s="9" t="s">
        <v>572</v>
      </c>
      <c r="C209" s="10" t="s">
        <v>568</v>
      </c>
      <c r="D209" s="89">
        <v>45397</v>
      </c>
      <c r="E209" s="71" t="s">
        <v>573</v>
      </c>
      <c r="F209" s="9" t="s">
        <v>574</v>
      </c>
      <c r="G209" s="160">
        <v>285.5</v>
      </c>
      <c r="H209" s="160"/>
      <c r="I209" s="160">
        <f t="shared" si="9"/>
        <v>285.5</v>
      </c>
      <c r="J209" s="160">
        <f t="shared" si="10"/>
        <v>14.275</v>
      </c>
      <c r="K209" s="160">
        <f t="shared" si="11"/>
        <v>299.77499999999998</v>
      </c>
      <c r="L209" s="13" t="s">
        <v>9</v>
      </c>
      <c r="P209">
        <v>1</v>
      </c>
    </row>
    <row r="210" spans="2:16" ht="17.25" hidden="1" customHeight="1" x14ac:dyDescent="0.25">
      <c r="B210" s="9" t="s">
        <v>10</v>
      </c>
      <c r="C210" s="10" t="s">
        <v>569</v>
      </c>
      <c r="D210" s="89">
        <v>45388</v>
      </c>
      <c r="E210" s="71" t="s">
        <v>16</v>
      </c>
      <c r="F210" s="9" t="s">
        <v>575</v>
      </c>
      <c r="G210" s="160">
        <v>175</v>
      </c>
      <c r="H210" s="160"/>
      <c r="I210" s="160">
        <f t="shared" si="9"/>
        <v>175</v>
      </c>
      <c r="J210" s="160">
        <f t="shared" si="10"/>
        <v>8.75</v>
      </c>
      <c r="K210" s="160">
        <f t="shared" si="11"/>
        <v>183.75</v>
      </c>
      <c r="L210" s="13" t="s">
        <v>9</v>
      </c>
      <c r="P210">
        <v>1</v>
      </c>
    </row>
    <row r="211" spans="2:16" ht="17.25" hidden="1" customHeight="1" x14ac:dyDescent="0.25">
      <c r="B211" s="9" t="s">
        <v>576</v>
      </c>
      <c r="C211" s="10" t="s">
        <v>570</v>
      </c>
      <c r="D211" s="89">
        <v>45401</v>
      </c>
      <c r="E211" s="71" t="s">
        <v>577</v>
      </c>
      <c r="F211" s="9" t="s">
        <v>578</v>
      </c>
      <c r="G211" s="160">
        <v>27360</v>
      </c>
      <c r="H211" s="160"/>
      <c r="I211" s="160">
        <f t="shared" si="9"/>
        <v>27360</v>
      </c>
      <c r="J211" s="160">
        <f t="shared" si="10"/>
        <v>1368</v>
      </c>
      <c r="K211" s="160">
        <f t="shared" si="11"/>
        <v>28728</v>
      </c>
      <c r="L211" s="13" t="s">
        <v>78</v>
      </c>
      <c r="P211">
        <v>1</v>
      </c>
    </row>
    <row r="212" spans="2:16" ht="17.25" hidden="1" customHeight="1" x14ac:dyDescent="0.25">
      <c r="B212" s="9" t="s">
        <v>199</v>
      </c>
      <c r="C212" s="10" t="s">
        <v>579</v>
      </c>
      <c r="D212" s="89">
        <v>45398</v>
      </c>
      <c r="E212" s="71" t="s">
        <v>201</v>
      </c>
      <c r="F212" s="9" t="s">
        <v>588</v>
      </c>
      <c r="G212" s="160">
        <v>375</v>
      </c>
      <c r="H212" s="160"/>
      <c r="I212" s="160">
        <f t="shared" si="9"/>
        <v>375</v>
      </c>
      <c r="J212" s="160">
        <f t="shared" si="10"/>
        <v>18.75</v>
      </c>
      <c r="K212" s="160">
        <f t="shared" si="11"/>
        <v>393.75</v>
      </c>
      <c r="L212" s="13" t="s">
        <v>78</v>
      </c>
      <c r="P212">
        <v>1</v>
      </c>
    </row>
    <row r="213" spans="2:16" ht="17.25" hidden="1" customHeight="1" x14ac:dyDescent="0.25">
      <c r="B213" s="9" t="s">
        <v>886</v>
      </c>
      <c r="C213" s="10" t="s">
        <v>580</v>
      </c>
      <c r="D213" s="89">
        <v>45404</v>
      </c>
      <c r="E213" s="71" t="s">
        <v>887</v>
      </c>
      <c r="F213" s="9" t="s">
        <v>590</v>
      </c>
      <c r="G213" s="160">
        <v>1205</v>
      </c>
      <c r="H213" s="160"/>
      <c r="I213" s="160">
        <f t="shared" si="9"/>
        <v>1205</v>
      </c>
      <c r="J213" s="160">
        <f t="shared" si="10"/>
        <v>60.25</v>
      </c>
      <c r="K213" s="160">
        <f t="shared" si="11"/>
        <v>1265.25</v>
      </c>
      <c r="L213" s="13" t="s">
        <v>78</v>
      </c>
      <c r="P213">
        <v>1</v>
      </c>
    </row>
    <row r="214" spans="2:16" ht="17.25" hidden="1" customHeight="1" x14ac:dyDescent="0.25">
      <c r="B214" s="9" t="s">
        <v>591</v>
      </c>
      <c r="C214" s="10" t="s">
        <v>581</v>
      </c>
      <c r="D214" s="89">
        <v>45400</v>
      </c>
      <c r="E214" s="71" t="s">
        <v>592</v>
      </c>
      <c r="F214" s="9" t="s">
        <v>593</v>
      </c>
      <c r="G214" s="160">
        <v>380</v>
      </c>
      <c r="H214" s="160"/>
      <c r="I214" s="160">
        <f t="shared" si="9"/>
        <v>380</v>
      </c>
      <c r="J214" s="160">
        <f t="shared" si="10"/>
        <v>19</v>
      </c>
      <c r="K214" s="160">
        <f t="shared" si="11"/>
        <v>399</v>
      </c>
      <c r="L214" s="13" t="s">
        <v>78</v>
      </c>
      <c r="P214">
        <v>1</v>
      </c>
    </row>
    <row r="215" spans="2:16" ht="17.25" hidden="1" customHeight="1" x14ac:dyDescent="0.25">
      <c r="B215" s="9" t="s">
        <v>119</v>
      </c>
      <c r="C215" s="10" t="s">
        <v>582</v>
      </c>
      <c r="D215" s="89">
        <v>45400</v>
      </c>
      <c r="E215" s="70" t="s">
        <v>74</v>
      </c>
      <c r="F215" s="9" t="s">
        <v>532</v>
      </c>
      <c r="G215" s="160">
        <v>325</v>
      </c>
      <c r="H215" s="160"/>
      <c r="I215" s="160">
        <f t="shared" si="9"/>
        <v>325</v>
      </c>
      <c r="J215" s="160">
        <f t="shared" si="10"/>
        <v>16.25</v>
      </c>
      <c r="K215" s="160">
        <f t="shared" si="11"/>
        <v>341.25</v>
      </c>
      <c r="L215" s="13" t="s">
        <v>78</v>
      </c>
      <c r="P215">
        <v>1</v>
      </c>
    </row>
    <row r="216" spans="2:16" ht="17.25" hidden="1" customHeight="1" x14ac:dyDescent="0.25">
      <c r="B216" s="9" t="s">
        <v>566</v>
      </c>
      <c r="C216" s="10" t="s">
        <v>583</v>
      </c>
      <c r="D216" s="89">
        <v>45404</v>
      </c>
      <c r="E216" s="71" t="s">
        <v>571</v>
      </c>
      <c r="F216" s="9" t="s">
        <v>594</v>
      </c>
      <c r="G216" s="160">
        <v>2100</v>
      </c>
      <c r="H216" s="160"/>
      <c r="I216" s="160">
        <f t="shared" si="9"/>
        <v>2100</v>
      </c>
      <c r="J216" s="160">
        <f t="shared" si="10"/>
        <v>105</v>
      </c>
      <c r="K216" s="160">
        <f t="shared" si="11"/>
        <v>2205</v>
      </c>
      <c r="L216" s="13" t="s">
        <v>78</v>
      </c>
      <c r="P216">
        <v>1</v>
      </c>
    </row>
    <row r="217" spans="2:16" ht="17.25" hidden="1" customHeight="1" x14ac:dyDescent="0.25">
      <c r="B217" s="9" t="s">
        <v>81</v>
      </c>
      <c r="C217" s="10" t="s">
        <v>584</v>
      </c>
      <c r="D217" s="89">
        <v>45397</v>
      </c>
      <c r="E217" s="71" t="s">
        <v>82</v>
      </c>
      <c r="F217" s="9" t="s">
        <v>95</v>
      </c>
      <c r="G217" s="160">
        <v>1100</v>
      </c>
      <c r="H217" s="160"/>
      <c r="I217" s="160">
        <f t="shared" si="9"/>
        <v>1100</v>
      </c>
      <c r="J217" s="160">
        <f t="shared" si="10"/>
        <v>55</v>
      </c>
      <c r="K217" s="160">
        <f t="shared" si="11"/>
        <v>1155</v>
      </c>
      <c r="L217" s="13" t="s">
        <v>78</v>
      </c>
      <c r="P217">
        <v>1</v>
      </c>
    </row>
    <row r="218" spans="2:16" ht="17.25" hidden="1" customHeight="1" x14ac:dyDescent="0.25">
      <c r="B218" s="9" t="s">
        <v>595</v>
      </c>
      <c r="C218" s="10" t="s">
        <v>585</v>
      </c>
      <c r="D218" s="89">
        <v>45400</v>
      </c>
      <c r="E218" s="70" t="s">
        <v>74</v>
      </c>
      <c r="F218" s="9" t="s">
        <v>596</v>
      </c>
      <c r="G218" s="160">
        <v>2850</v>
      </c>
      <c r="H218" s="160"/>
      <c r="I218" s="160">
        <f t="shared" si="9"/>
        <v>2850</v>
      </c>
      <c r="J218" s="160">
        <f t="shared" si="10"/>
        <v>142.5</v>
      </c>
      <c r="K218" s="160">
        <f t="shared" si="11"/>
        <v>2992.5</v>
      </c>
      <c r="L218" s="13" t="s">
        <v>9</v>
      </c>
      <c r="P218">
        <v>1</v>
      </c>
    </row>
    <row r="219" spans="2:16" ht="17.25" hidden="1" customHeight="1" x14ac:dyDescent="0.25">
      <c r="B219" s="9" t="s">
        <v>86</v>
      </c>
      <c r="C219" s="10" t="s">
        <v>586</v>
      </c>
      <c r="D219" s="89">
        <v>45402</v>
      </c>
      <c r="E219" s="71" t="s">
        <v>597</v>
      </c>
      <c r="F219" s="9" t="s">
        <v>598</v>
      </c>
      <c r="G219" s="160">
        <v>825</v>
      </c>
      <c r="H219" s="160"/>
      <c r="I219" s="160">
        <f t="shared" si="9"/>
        <v>825</v>
      </c>
      <c r="J219" s="160">
        <f t="shared" si="10"/>
        <v>41.25</v>
      </c>
      <c r="K219" s="160">
        <f t="shared" si="11"/>
        <v>866.25</v>
      </c>
      <c r="L219" s="13" t="s">
        <v>9</v>
      </c>
      <c r="P219">
        <v>1</v>
      </c>
    </row>
    <row r="220" spans="2:16" ht="17.25" hidden="1" customHeight="1" x14ac:dyDescent="0.25">
      <c r="B220" s="9" t="s">
        <v>10</v>
      </c>
      <c r="C220" s="10" t="s">
        <v>587</v>
      </c>
      <c r="D220" s="89">
        <v>45402</v>
      </c>
      <c r="E220" s="71" t="s">
        <v>16</v>
      </c>
      <c r="F220" s="9" t="s">
        <v>599</v>
      </c>
      <c r="G220" s="160">
        <v>550</v>
      </c>
      <c r="H220" s="160"/>
      <c r="I220" s="160">
        <f t="shared" si="9"/>
        <v>550</v>
      </c>
      <c r="J220" s="160">
        <f t="shared" si="10"/>
        <v>27.5</v>
      </c>
      <c r="K220" s="160">
        <f t="shared" si="11"/>
        <v>577.5</v>
      </c>
      <c r="L220" s="13" t="s">
        <v>9</v>
      </c>
      <c r="P220">
        <v>1</v>
      </c>
    </row>
    <row r="221" spans="2:16" ht="17.25" hidden="1" customHeight="1" x14ac:dyDescent="0.25">
      <c r="B221" s="9" t="s">
        <v>122</v>
      </c>
      <c r="C221" s="10" t="s">
        <v>603</v>
      </c>
      <c r="D221" s="89">
        <v>45401</v>
      </c>
      <c r="E221" s="70" t="s">
        <v>74</v>
      </c>
      <c r="F221" s="9" t="s">
        <v>598</v>
      </c>
      <c r="G221" s="160">
        <v>310</v>
      </c>
      <c r="H221" s="160"/>
      <c r="I221" s="160">
        <f t="shared" si="9"/>
        <v>310</v>
      </c>
      <c r="J221" s="160">
        <f t="shared" si="10"/>
        <v>15.5</v>
      </c>
      <c r="K221" s="160">
        <f t="shared" si="11"/>
        <v>325.5</v>
      </c>
      <c r="L221" s="13" t="s">
        <v>9</v>
      </c>
      <c r="P221">
        <v>1</v>
      </c>
    </row>
    <row r="222" spans="2:16" ht="17.25" hidden="1" customHeight="1" x14ac:dyDescent="0.25">
      <c r="B222" s="9" t="s">
        <v>10</v>
      </c>
      <c r="C222" s="10" t="s">
        <v>604</v>
      </c>
      <c r="D222" s="89">
        <v>45402</v>
      </c>
      <c r="E222" s="71" t="s">
        <v>16</v>
      </c>
      <c r="F222" s="9" t="s">
        <v>610</v>
      </c>
      <c r="G222" s="160">
        <v>575</v>
      </c>
      <c r="H222" s="160"/>
      <c r="I222" s="160">
        <f t="shared" si="9"/>
        <v>575</v>
      </c>
      <c r="J222" s="160">
        <f t="shared" si="10"/>
        <v>28.75</v>
      </c>
      <c r="K222" s="160">
        <f t="shared" si="11"/>
        <v>603.75</v>
      </c>
      <c r="L222" s="13" t="s">
        <v>9</v>
      </c>
      <c r="P222">
        <v>1</v>
      </c>
    </row>
    <row r="223" spans="2:16" ht="17.25" hidden="1" customHeight="1" x14ac:dyDescent="0.25">
      <c r="B223" s="9" t="s">
        <v>114</v>
      </c>
      <c r="C223" s="10" t="s">
        <v>605</v>
      </c>
      <c r="D223" s="89">
        <v>45401</v>
      </c>
      <c r="E223" s="71" t="s">
        <v>115</v>
      </c>
      <c r="F223" s="9" t="s">
        <v>598</v>
      </c>
      <c r="G223" s="160">
        <v>405</v>
      </c>
      <c r="H223" s="160"/>
      <c r="I223" s="160">
        <f t="shared" si="9"/>
        <v>405</v>
      </c>
      <c r="J223" s="160">
        <f t="shared" si="10"/>
        <v>20.25</v>
      </c>
      <c r="K223" s="160">
        <f t="shared" si="11"/>
        <v>425.25</v>
      </c>
      <c r="L223" s="13" t="s">
        <v>9</v>
      </c>
      <c r="P223">
        <v>1</v>
      </c>
    </row>
    <row r="224" spans="2:16" ht="17.25" hidden="1" customHeight="1" x14ac:dyDescent="0.25">
      <c r="B224" s="9" t="s">
        <v>22</v>
      </c>
      <c r="C224" s="10" t="s">
        <v>606</v>
      </c>
      <c r="D224" s="89">
        <v>45401</v>
      </c>
      <c r="E224" s="71" t="s">
        <v>23</v>
      </c>
      <c r="F224" s="9" t="s">
        <v>598</v>
      </c>
      <c r="G224" s="160">
        <f>470+375</f>
        <v>845</v>
      </c>
      <c r="H224" s="160"/>
      <c r="I224" s="160">
        <f t="shared" si="9"/>
        <v>845</v>
      </c>
      <c r="J224" s="160">
        <f t="shared" si="10"/>
        <v>42.25</v>
      </c>
      <c r="K224" s="160">
        <f t="shared" si="11"/>
        <v>887.25</v>
      </c>
      <c r="L224" s="13" t="s">
        <v>9</v>
      </c>
      <c r="P224">
        <v>1</v>
      </c>
    </row>
    <row r="225" spans="1:17" ht="17.25" hidden="1" customHeight="1" x14ac:dyDescent="0.25">
      <c r="A225" s="146"/>
      <c r="B225" s="141" t="s">
        <v>22</v>
      </c>
      <c r="C225" s="142" t="s">
        <v>607</v>
      </c>
      <c r="D225" s="143">
        <v>45401</v>
      </c>
      <c r="E225" s="144" t="s">
        <v>74</v>
      </c>
      <c r="F225" s="141"/>
      <c r="G225" s="165">
        <v>0</v>
      </c>
      <c r="H225" s="165"/>
      <c r="I225" s="165">
        <f t="shared" si="9"/>
        <v>0</v>
      </c>
      <c r="J225" s="165">
        <f t="shared" si="10"/>
        <v>0</v>
      </c>
      <c r="K225" s="165">
        <f t="shared" si="11"/>
        <v>0</v>
      </c>
      <c r="L225" s="145" t="s">
        <v>9</v>
      </c>
      <c r="M225" s="146"/>
      <c r="N225" s="146"/>
      <c r="O225" s="146"/>
      <c r="P225" s="146">
        <v>1</v>
      </c>
      <c r="Q225" s="146"/>
    </row>
    <row r="226" spans="1:17" ht="17.25" hidden="1" customHeight="1" x14ac:dyDescent="0.25">
      <c r="B226" s="9" t="s">
        <v>102</v>
      </c>
      <c r="C226" s="10" t="s">
        <v>608</v>
      </c>
      <c r="D226" s="89">
        <v>45401</v>
      </c>
      <c r="E226" s="71" t="s">
        <v>104</v>
      </c>
      <c r="F226" s="9" t="s">
        <v>611</v>
      </c>
      <c r="G226" s="160">
        <v>2850</v>
      </c>
      <c r="H226" s="160"/>
      <c r="I226" s="160">
        <f t="shared" si="9"/>
        <v>2850</v>
      </c>
      <c r="J226" s="160">
        <f t="shared" si="10"/>
        <v>142.5</v>
      </c>
      <c r="K226" s="160">
        <f t="shared" si="11"/>
        <v>2992.5</v>
      </c>
      <c r="L226" s="13" t="s">
        <v>9</v>
      </c>
      <c r="P226">
        <v>1</v>
      </c>
    </row>
    <row r="227" spans="1:17" ht="17.25" hidden="1" customHeight="1" x14ac:dyDescent="0.25">
      <c r="B227" s="9" t="s">
        <v>102</v>
      </c>
      <c r="C227" s="10" t="s">
        <v>609</v>
      </c>
      <c r="D227" s="89">
        <v>45401</v>
      </c>
      <c r="E227" s="71" t="s">
        <v>104</v>
      </c>
      <c r="F227" s="9" t="s">
        <v>612</v>
      </c>
      <c r="G227" s="160">
        <v>972</v>
      </c>
      <c r="H227" s="160"/>
      <c r="I227" s="160">
        <f t="shared" si="9"/>
        <v>972</v>
      </c>
      <c r="J227" s="160">
        <f t="shared" si="10"/>
        <v>48.6</v>
      </c>
      <c r="K227" s="160">
        <f t="shared" si="11"/>
        <v>1020.6</v>
      </c>
      <c r="L227" s="13" t="s">
        <v>9</v>
      </c>
      <c r="P227">
        <v>1</v>
      </c>
    </row>
    <row r="228" spans="1:17" ht="17.25" hidden="1" customHeight="1" x14ac:dyDescent="0.25">
      <c r="B228" s="9" t="s">
        <v>199</v>
      </c>
      <c r="C228" s="10" t="s">
        <v>687</v>
      </c>
      <c r="D228" s="89">
        <v>45421</v>
      </c>
      <c r="E228" s="71" t="s">
        <v>201</v>
      </c>
      <c r="F228" s="9" t="s">
        <v>688</v>
      </c>
      <c r="G228" s="160">
        <v>1628.75</v>
      </c>
      <c r="H228" s="160"/>
      <c r="I228" s="160">
        <f t="shared" si="9"/>
        <v>1628.75</v>
      </c>
      <c r="J228" s="160">
        <f t="shared" si="10"/>
        <v>81.4375</v>
      </c>
      <c r="K228" s="160">
        <f t="shared" si="11"/>
        <v>1710.1875</v>
      </c>
      <c r="L228" s="13" t="s">
        <v>78</v>
      </c>
      <c r="P228">
        <v>1</v>
      </c>
    </row>
    <row r="229" spans="1:17" ht="17.25" hidden="1" customHeight="1" x14ac:dyDescent="0.25">
      <c r="B229" s="9" t="s">
        <v>29</v>
      </c>
      <c r="C229" s="10" t="s">
        <v>613</v>
      </c>
      <c r="D229" s="89">
        <v>45405</v>
      </c>
      <c r="E229" s="71" t="s">
        <v>128</v>
      </c>
      <c r="F229" s="9" t="s">
        <v>624</v>
      </c>
      <c r="G229" s="160">
        <v>3704</v>
      </c>
      <c r="H229" s="160"/>
      <c r="I229" s="160">
        <f t="shared" si="9"/>
        <v>3704</v>
      </c>
      <c r="J229" s="160">
        <f t="shared" si="10"/>
        <v>185.20000000000002</v>
      </c>
      <c r="K229" s="160">
        <f t="shared" si="11"/>
        <v>3889.2</v>
      </c>
      <c r="L229" s="13" t="s">
        <v>9</v>
      </c>
      <c r="P229">
        <v>1</v>
      </c>
    </row>
    <row r="230" spans="1:17" ht="17.25" customHeight="1" x14ac:dyDescent="0.25">
      <c r="B230" s="9" t="s">
        <v>177</v>
      </c>
      <c r="C230" s="10" t="s">
        <v>689</v>
      </c>
      <c r="D230" s="89">
        <v>45419</v>
      </c>
      <c r="E230" s="71" t="s">
        <v>690</v>
      </c>
      <c r="F230" s="9" t="s">
        <v>164</v>
      </c>
      <c r="G230" s="160">
        <v>85</v>
      </c>
      <c r="H230" s="160"/>
      <c r="I230" s="160">
        <f t="shared" si="9"/>
        <v>85</v>
      </c>
      <c r="J230" s="160">
        <f t="shared" si="10"/>
        <v>4.25</v>
      </c>
      <c r="K230" s="160">
        <f t="shared" si="11"/>
        <v>89.25</v>
      </c>
      <c r="L230" s="13" t="s">
        <v>78</v>
      </c>
      <c r="P230">
        <v>1</v>
      </c>
    </row>
    <row r="231" spans="1:17" ht="17.25" hidden="1" customHeight="1" x14ac:dyDescent="0.25">
      <c r="B231" s="9" t="s">
        <v>10</v>
      </c>
      <c r="C231" s="10" t="s">
        <v>614</v>
      </c>
      <c r="D231" s="89">
        <v>45405</v>
      </c>
      <c r="E231" s="71" t="s">
        <v>16</v>
      </c>
      <c r="F231" s="9" t="s">
        <v>625</v>
      </c>
      <c r="G231" s="160">
        <v>702</v>
      </c>
      <c r="H231" s="160"/>
      <c r="I231" s="160">
        <f t="shared" si="9"/>
        <v>702</v>
      </c>
      <c r="J231" s="160">
        <f t="shared" si="10"/>
        <v>35.1</v>
      </c>
      <c r="K231" s="160">
        <f t="shared" si="11"/>
        <v>737.1</v>
      </c>
      <c r="L231" s="13" t="s">
        <v>9</v>
      </c>
      <c r="P231">
        <v>1</v>
      </c>
    </row>
    <row r="232" spans="1:17" ht="17.25" customHeight="1" x14ac:dyDescent="0.25">
      <c r="B232" s="9" t="s">
        <v>182</v>
      </c>
      <c r="C232" s="10" t="s">
        <v>691</v>
      </c>
      <c r="D232" s="89">
        <v>45419</v>
      </c>
      <c r="E232" s="71" t="s">
        <v>183</v>
      </c>
      <c r="F232" s="9" t="s">
        <v>164</v>
      </c>
      <c r="G232" s="160">
        <v>85</v>
      </c>
      <c r="H232" s="160"/>
      <c r="I232" s="160">
        <f t="shared" si="9"/>
        <v>85</v>
      </c>
      <c r="J232" s="160">
        <f t="shared" si="10"/>
        <v>4.25</v>
      </c>
      <c r="K232" s="160">
        <f t="shared" si="11"/>
        <v>89.25</v>
      </c>
      <c r="L232" s="13" t="s">
        <v>78</v>
      </c>
      <c r="P232">
        <v>1</v>
      </c>
    </row>
    <row r="233" spans="1:17" ht="17.25" hidden="1" customHeight="1" x14ac:dyDescent="0.25">
      <c r="B233" s="9" t="s">
        <v>566</v>
      </c>
      <c r="C233" s="10" t="s">
        <v>615</v>
      </c>
      <c r="D233" s="89">
        <v>45407</v>
      </c>
      <c r="E233" s="71" t="s">
        <v>571</v>
      </c>
      <c r="F233" s="9" t="s">
        <v>627</v>
      </c>
      <c r="G233" s="160">
        <v>11000</v>
      </c>
      <c r="H233" s="160"/>
      <c r="I233" s="160">
        <f t="shared" si="9"/>
        <v>11000</v>
      </c>
      <c r="J233" s="160">
        <f t="shared" si="10"/>
        <v>550</v>
      </c>
      <c r="K233" s="160">
        <f t="shared" si="11"/>
        <v>11550</v>
      </c>
      <c r="L233" s="13" t="s">
        <v>78</v>
      </c>
      <c r="P233">
        <v>1</v>
      </c>
    </row>
    <row r="234" spans="1:17" ht="17.25" customHeight="1" x14ac:dyDescent="0.25">
      <c r="B234" s="9" t="s">
        <v>692</v>
      </c>
      <c r="C234" s="10" t="s">
        <v>693</v>
      </c>
      <c r="D234" s="89">
        <v>45419</v>
      </c>
      <c r="E234" s="71" t="s">
        <v>694</v>
      </c>
      <c r="F234" s="9" t="s">
        <v>695</v>
      </c>
      <c r="G234" s="160">
        <v>260</v>
      </c>
      <c r="H234" s="160"/>
      <c r="I234" s="160">
        <f t="shared" si="9"/>
        <v>260</v>
      </c>
      <c r="J234" s="160">
        <f t="shared" si="10"/>
        <v>13</v>
      </c>
      <c r="K234" s="160">
        <f t="shared" si="11"/>
        <v>273</v>
      </c>
      <c r="L234" s="13" t="s">
        <v>78</v>
      </c>
      <c r="P234">
        <v>1</v>
      </c>
    </row>
    <row r="235" spans="1:17" ht="17.25" hidden="1" customHeight="1" x14ac:dyDescent="0.25">
      <c r="B235" s="9" t="s">
        <v>628</v>
      </c>
      <c r="C235" s="10" t="s">
        <v>616</v>
      </c>
      <c r="D235" s="89">
        <v>45407</v>
      </c>
      <c r="E235" s="71" t="s">
        <v>629</v>
      </c>
      <c r="F235" s="9" t="s">
        <v>630</v>
      </c>
      <c r="G235" s="160">
        <v>202.95</v>
      </c>
      <c r="H235" s="160"/>
      <c r="I235" s="160">
        <f t="shared" si="9"/>
        <v>202.95</v>
      </c>
      <c r="J235" s="160">
        <f t="shared" si="10"/>
        <v>10.147500000000001</v>
      </c>
      <c r="K235" s="160">
        <f t="shared" si="11"/>
        <v>213.0975</v>
      </c>
      <c r="L235" s="13" t="s">
        <v>9</v>
      </c>
      <c r="P235">
        <v>1</v>
      </c>
    </row>
    <row r="236" spans="1:17" ht="17.25" hidden="1" customHeight="1" x14ac:dyDescent="0.25">
      <c r="B236" s="9" t="s">
        <v>290</v>
      </c>
      <c r="C236" s="10" t="s">
        <v>696</v>
      </c>
      <c r="D236" s="89">
        <v>45421</v>
      </c>
      <c r="E236" s="71" t="s">
        <v>74</v>
      </c>
      <c r="F236" s="9" t="s">
        <v>598</v>
      </c>
      <c r="G236" s="160">
        <v>375</v>
      </c>
      <c r="H236" s="160"/>
      <c r="I236" s="160">
        <f t="shared" si="9"/>
        <v>375</v>
      </c>
      <c r="J236" s="160">
        <f t="shared" si="10"/>
        <v>18.75</v>
      </c>
      <c r="K236" s="160">
        <f t="shared" si="11"/>
        <v>393.75</v>
      </c>
      <c r="L236" s="13" t="s">
        <v>78</v>
      </c>
      <c r="P236">
        <v>1</v>
      </c>
    </row>
    <row r="237" spans="1:17" ht="17.25" hidden="1" customHeight="1" x14ac:dyDescent="0.25">
      <c r="B237" s="9" t="s">
        <v>29</v>
      </c>
      <c r="C237" s="10" t="s">
        <v>617</v>
      </c>
      <c r="D237" s="89">
        <v>45406</v>
      </c>
      <c r="E237" s="71" t="s">
        <v>128</v>
      </c>
      <c r="F237" s="9" t="s">
        <v>52</v>
      </c>
      <c r="G237" s="160">
        <v>190</v>
      </c>
      <c r="H237" s="160"/>
      <c r="I237" s="160">
        <f t="shared" si="9"/>
        <v>190</v>
      </c>
      <c r="J237" s="160">
        <f t="shared" si="10"/>
        <v>9.5</v>
      </c>
      <c r="K237" s="160">
        <f t="shared" si="11"/>
        <v>199.5</v>
      </c>
      <c r="L237" s="13" t="s">
        <v>9</v>
      </c>
      <c r="P237">
        <v>1</v>
      </c>
    </row>
    <row r="238" spans="1:17" ht="17.25" hidden="1" customHeight="1" x14ac:dyDescent="0.25">
      <c r="B238" s="9" t="s">
        <v>10</v>
      </c>
      <c r="C238" s="10" t="s">
        <v>618</v>
      </c>
      <c r="D238" s="89">
        <v>45407</v>
      </c>
      <c r="E238" s="71" t="s">
        <v>16</v>
      </c>
      <c r="F238" s="9" t="s">
        <v>510</v>
      </c>
      <c r="G238" s="160">
        <v>780</v>
      </c>
      <c r="H238" s="160"/>
      <c r="I238" s="160">
        <f t="shared" si="9"/>
        <v>780</v>
      </c>
      <c r="J238" s="160">
        <f t="shared" si="10"/>
        <v>39</v>
      </c>
      <c r="K238" s="160">
        <f t="shared" si="11"/>
        <v>819</v>
      </c>
      <c r="L238" s="13" t="s">
        <v>9</v>
      </c>
      <c r="P238">
        <v>1</v>
      </c>
    </row>
    <row r="239" spans="1:17" ht="17.25" hidden="1" customHeight="1" x14ac:dyDescent="0.25">
      <c r="B239" s="9" t="s">
        <v>29</v>
      </c>
      <c r="C239" s="10" t="s">
        <v>619</v>
      </c>
      <c r="D239" s="89">
        <v>45408</v>
      </c>
      <c r="E239" s="71" t="s">
        <v>128</v>
      </c>
      <c r="F239" s="9" t="s">
        <v>598</v>
      </c>
      <c r="G239" s="160">
        <v>270</v>
      </c>
      <c r="H239" s="160"/>
      <c r="I239" s="160">
        <f t="shared" si="9"/>
        <v>270</v>
      </c>
      <c r="J239" s="160">
        <f t="shared" si="10"/>
        <v>13.5</v>
      </c>
      <c r="K239" s="160">
        <f t="shared" si="11"/>
        <v>283.5</v>
      </c>
      <c r="L239" s="13" t="s">
        <v>9</v>
      </c>
      <c r="P239">
        <v>1</v>
      </c>
    </row>
    <row r="240" spans="1:17" ht="17.25" hidden="1" customHeight="1" x14ac:dyDescent="0.25">
      <c r="B240" s="9" t="s">
        <v>631</v>
      </c>
      <c r="C240" s="10" t="s">
        <v>620</v>
      </c>
      <c r="D240" s="89">
        <v>45411</v>
      </c>
      <c r="E240" s="71" t="s">
        <v>632</v>
      </c>
      <c r="F240" s="9" t="s">
        <v>633</v>
      </c>
      <c r="G240" s="160">
        <v>1249.5</v>
      </c>
      <c r="H240" s="160"/>
      <c r="I240" s="160">
        <f t="shared" si="9"/>
        <v>1249.5</v>
      </c>
      <c r="J240" s="160">
        <f t="shared" si="10"/>
        <v>62.475000000000001</v>
      </c>
      <c r="K240" s="160">
        <f t="shared" si="11"/>
        <v>1311.9749999999999</v>
      </c>
      <c r="L240" s="13" t="s">
        <v>78</v>
      </c>
      <c r="P240">
        <v>1</v>
      </c>
    </row>
    <row r="241" spans="2:16" ht="17.25" hidden="1" customHeight="1" x14ac:dyDescent="0.25">
      <c r="B241" s="9" t="s">
        <v>221</v>
      </c>
      <c r="C241" s="10" t="s">
        <v>621</v>
      </c>
      <c r="D241" s="89">
        <v>45411</v>
      </c>
      <c r="E241" s="71" t="s">
        <v>222</v>
      </c>
      <c r="F241" s="9" t="s">
        <v>634</v>
      </c>
      <c r="G241" s="160">
        <v>6000</v>
      </c>
      <c r="H241" s="160"/>
      <c r="I241" s="160">
        <f t="shared" si="9"/>
        <v>6000</v>
      </c>
      <c r="J241" s="160">
        <f t="shared" si="10"/>
        <v>300</v>
      </c>
      <c r="K241" s="160">
        <f t="shared" si="11"/>
        <v>6300</v>
      </c>
      <c r="L241" s="13" t="s">
        <v>78</v>
      </c>
      <c r="P241">
        <v>1</v>
      </c>
    </row>
    <row r="242" spans="2:16" ht="17.25" hidden="1" customHeight="1" x14ac:dyDescent="0.25">
      <c r="B242" s="9" t="s">
        <v>29</v>
      </c>
      <c r="C242" s="10" t="s">
        <v>622</v>
      </c>
      <c r="D242" s="89">
        <v>45408</v>
      </c>
      <c r="E242" s="71" t="s">
        <v>128</v>
      </c>
      <c r="F242" s="9" t="s">
        <v>635</v>
      </c>
      <c r="G242" s="160">
        <v>505</v>
      </c>
      <c r="H242" s="160"/>
      <c r="I242" s="160">
        <f t="shared" si="9"/>
        <v>505</v>
      </c>
      <c r="J242" s="160">
        <f t="shared" si="10"/>
        <v>25.25</v>
      </c>
      <c r="K242" s="160">
        <f t="shared" si="11"/>
        <v>530.25</v>
      </c>
      <c r="L242" s="13" t="s">
        <v>9</v>
      </c>
      <c r="P242">
        <v>1</v>
      </c>
    </row>
    <row r="243" spans="2:16" ht="17.25" hidden="1" customHeight="1" x14ac:dyDescent="0.25">
      <c r="B243" s="9" t="s">
        <v>576</v>
      </c>
      <c r="C243" s="10" t="s">
        <v>623</v>
      </c>
      <c r="D243" s="89">
        <v>45411</v>
      </c>
      <c r="E243" s="71" t="s">
        <v>577</v>
      </c>
      <c r="F243" s="9" t="s">
        <v>636</v>
      </c>
      <c r="G243" s="160">
        <v>1972.5</v>
      </c>
      <c r="H243" s="160"/>
      <c r="I243" s="160">
        <f t="shared" si="9"/>
        <v>1972.5</v>
      </c>
      <c r="J243" s="160">
        <f t="shared" si="10"/>
        <v>98.625</v>
      </c>
      <c r="K243" s="160">
        <f t="shared" si="11"/>
        <v>2071.125</v>
      </c>
      <c r="L243" s="13" t="s">
        <v>78</v>
      </c>
      <c r="P243">
        <v>1</v>
      </c>
    </row>
    <row r="244" spans="2:16" ht="17.25" hidden="1" customHeight="1" x14ac:dyDescent="0.25">
      <c r="B244" s="9" t="s">
        <v>10</v>
      </c>
      <c r="C244" s="10" t="s">
        <v>637</v>
      </c>
      <c r="D244" s="89">
        <v>45411</v>
      </c>
      <c r="E244" s="71" t="s">
        <v>16</v>
      </c>
      <c r="F244" s="9" t="s">
        <v>643</v>
      </c>
      <c r="G244" s="160">
        <v>3890</v>
      </c>
      <c r="H244" s="160"/>
      <c r="I244" s="160">
        <f t="shared" si="9"/>
        <v>3890</v>
      </c>
      <c r="J244" s="160">
        <f t="shared" si="10"/>
        <v>194.5</v>
      </c>
      <c r="K244" s="160">
        <f t="shared" si="11"/>
        <v>4084.5</v>
      </c>
      <c r="L244" s="13" t="s">
        <v>9</v>
      </c>
      <c r="P244">
        <v>1</v>
      </c>
    </row>
    <row r="245" spans="2:16" ht="17.25" hidden="1" customHeight="1" x14ac:dyDescent="0.25">
      <c r="B245" s="9" t="s">
        <v>10</v>
      </c>
      <c r="C245" s="10" t="s">
        <v>638</v>
      </c>
      <c r="D245" s="89">
        <v>45411</v>
      </c>
      <c r="E245" s="71" t="s">
        <v>16</v>
      </c>
      <c r="F245" s="9" t="s">
        <v>433</v>
      </c>
      <c r="G245" s="160">
        <v>1008</v>
      </c>
      <c r="H245" s="160"/>
      <c r="I245" s="160">
        <f t="shared" si="9"/>
        <v>1008</v>
      </c>
      <c r="J245" s="160">
        <f t="shared" si="10"/>
        <v>50.400000000000006</v>
      </c>
      <c r="K245" s="160">
        <f t="shared" si="11"/>
        <v>1058.4000000000001</v>
      </c>
      <c r="L245" s="13" t="s">
        <v>9</v>
      </c>
      <c r="P245">
        <v>1</v>
      </c>
    </row>
    <row r="246" spans="2:16" ht="17.25" hidden="1" customHeight="1" x14ac:dyDescent="0.25">
      <c r="B246" s="9" t="s">
        <v>644</v>
      </c>
      <c r="C246" s="10" t="s">
        <v>639</v>
      </c>
      <c r="D246" s="89">
        <v>45412</v>
      </c>
      <c r="E246" s="71" t="s">
        <v>645</v>
      </c>
      <c r="F246" s="9" t="s">
        <v>646</v>
      </c>
      <c r="G246" s="160">
        <v>380</v>
      </c>
      <c r="H246" s="160"/>
      <c r="I246" s="160">
        <f t="shared" si="9"/>
        <v>380</v>
      </c>
      <c r="J246" s="160">
        <f t="shared" si="10"/>
        <v>19</v>
      </c>
      <c r="K246" s="160">
        <f t="shared" si="11"/>
        <v>399</v>
      </c>
      <c r="L246" s="13" t="s">
        <v>9</v>
      </c>
      <c r="P246">
        <v>1</v>
      </c>
    </row>
    <row r="247" spans="2:16" ht="17.25" hidden="1" customHeight="1" x14ac:dyDescent="0.25">
      <c r="B247" s="9" t="s">
        <v>10</v>
      </c>
      <c r="C247" s="10" t="s">
        <v>640</v>
      </c>
      <c r="D247" s="89">
        <v>45412</v>
      </c>
      <c r="E247" s="71" t="s">
        <v>16</v>
      </c>
      <c r="F247" s="9" t="s">
        <v>647</v>
      </c>
      <c r="G247" s="160">
        <v>450</v>
      </c>
      <c r="H247" s="160"/>
      <c r="I247" s="160">
        <f t="shared" si="9"/>
        <v>450</v>
      </c>
      <c r="J247" s="160">
        <f t="shared" si="10"/>
        <v>22.5</v>
      </c>
      <c r="K247" s="160">
        <f t="shared" si="11"/>
        <v>472.5</v>
      </c>
      <c r="L247" s="13" t="s">
        <v>9</v>
      </c>
      <c r="P247">
        <v>1</v>
      </c>
    </row>
    <row r="248" spans="2:16" ht="17.25" hidden="1" customHeight="1" x14ac:dyDescent="0.25">
      <c r="B248" s="9" t="s">
        <v>102</v>
      </c>
      <c r="C248" s="10" t="s">
        <v>641</v>
      </c>
      <c r="D248" s="89">
        <v>45412</v>
      </c>
      <c r="E248" s="71" t="s">
        <v>104</v>
      </c>
      <c r="F248" s="9" t="s">
        <v>648</v>
      </c>
      <c r="G248" s="160">
        <v>375</v>
      </c>
      <c r="H248" s="160"/>
      <c r="I248" s="160">
        <f t="shared" si="9"/>
        <v>375</v>
      </c>
      <c r="J248" s="160">
        <f t="shared" si="10"/>
        <v>18.75</v>
      </c>
      <c r="K248" s="160">
        <f t="shared" si="11"/>
        <v>393.75</v>
      </c>
      <c r="L248" s="13" t="s">
        <v>9</v>
      </c>
      <c r="P248">
        <v>1</v>
      </c>
    </row>
    <row r="249" spans="2:16" ht="17.25" hidden="1" customHeight="1" x14ac:dyDescent="0.25">
      <c r="B249" s="9" t="s">
        <v>649</v>
      </c>
      <c r="C249" s="10" t="s">
        <v>642</v>
      </c>
      <c r="D249" s="89">
        <v>45412</v>
      </c>
      <c r="E249" s="70" t="s">
        <v>74</v>
      </c>
      <c r="F249" s="9" t="s">
        <v>650</v>
      </c>
      <c r="G249" s="160">
        <v>900</v>
      </c>
      <c r="H249" s="160"/>
      <c r="I249" s="160">
        <f t="shared" si="9"/>
        <v>900</v>
      </c>
      <c r="J249" s="160">
        <f t="shared" si="10"/>
        <v>45</v>
      </c>
      <c r="K249" s="160">
        <f t="shared" si="11"/>
        <v>945</v>
      </c>
      <c r="L249" s="13" t="s">
        <v>9</v>
      </c>
      <c r="P249">
        <v>1</v>
      </c>
    </row>
    <row r="250" spans="2:16" ht="17.25" hidden="1" customHeight="1" x14ac:dyDescent="0.25">
      <c r="B250" s="9" t="s">
        <v>664</v>
      </c>
      <c r="C250" s="10" t="s">
        <v>651</v>
      </c>
      <c r="D250" s="89">
        <v>45412</v>
      </c>
      <c r="E250" s="71" t="s">
        <v>237</v>
      </c>
      <c r="F250" s="9" t="s">
        <v>665</v>
      </c>
      <c r="G250" s="160">
        <v>180</v>
      </c>
      <c r="H250" s="160"/>
      <c r="I250" s="160">
        <f t="shared" si="9"/>
        <v>180</v>
      </c>
      <c r="J250" s="160">
        <f t="shared" si="10"/>
        <v>9</v>
      </c>
      <c r="K250" s="160">
        <f t="shared" si="11"/>
        <v>189</v>
      </c>
      <c r="L250" s="13" t="s">
        <v>9</v>
      </c>
      <c r="P250">
        <v>1</v>
      </c>
    </row>
    <row r="251" spans="2:16" ht="17.25" hidden="1" customHeight="1" x14ac:dyDescent="0.25">
      <c r="B251" s="9" t="s">
        <v>666</v>
      </c>
      <c r="C251" s="10" t="s">
        <v>652</v>
      </c>
      <c r="D251" s="89">
        <v>45412</v>
      </c>
      <c r="E251" s="71" t="s">
        <v>237</v>
      </c>
      <c r="F251" s="9" t="s">
        <v>665</v>
      </c>
      <c r="G251" s="160">
        <v>90</v>
      </c>
      <c r="H251" s="160"/>
      <c r="I251" s="160">
        <f t="shared" si="9"/>
        <v>90</v>
      </c>
      <c r="J251" s="160">
        <f t="shared" si="10"/>
        <v>4.5</v>
      </c>
      <c r="K251" s="160">
        <f t="shared" si="11"/>
        <v>94.5</v>
      </c>
      <c r="L251" s="13" t="s">
        <v>9</v>
      </c>
      <c r="P251">
        <v>1</v>
      </c>
    </row>
    <row r="252" spans="2:16" ht="17.25" hidden="1" customHeight="1" x14ac:dyDescent="0.25">
      <c r="B252" s="9" t="s">
        <v>29</v>
      </c>
      <c r="C252" s="10" t="s">
        <v>653</v>
      </c>
      <c r="D252" s="89">
        <v>45413</v>
      </c>
      <c r="E252" s="71" t="s">
        <v>128</v>
      </c>
      <c r="F252" s="9" t="s">
        <v>667</v>
      </c>
      <c r="G252" s="160">
        <v>932</v>
      </c>
      <c r="H252" s="160"/>
      <c r="I252" s="160">
        <f t="shared" si="9"/>
        <v>932</v>
      </c>
      <c r="J252" s="160">
        <f t="shared" si="10"/>
        <v>46.6</v>
      </c>
      <c r="K252" s="160">
        <f t="shared" si="11"/>
        <v>978.6</v>
      </c>
      <c r="L252" s="13" t="s">
        <v>9</v>
      </c>
      <c r="P252">
        <v>1</v>
      </c>
    </row>
    <row r="253" spans="2:16" ht="17.25" hidden="1" customHeight="1" x14ac:dyDescent="0.25">
      <c r="B253" s="9" t="s">
        <v>114</v>
      </c>
      <c r="C253" s="10" t="s">
        <v>654</v>
      </c>
      <c r="D253" s="89">
        <v>45413</v>
      </c>
      <c r="E253" s="71" t="s">
        <v>115</v>
      </c>
      <c r="F253" s="9" t="s">
        <v>668</v>
      </c>
      <c r="G253" s="160">
        <v>405</v>
      </c>
      <c r="H253" s="160"/>
      <c r="I253" s="160">
        <f t="shared" si="9"/>
        <v>405</v>
      </c>
      <c r="J253" s="160">
        <f t="shared" si="10"/>
        <v>20.25</v>
      </c>
      <c r="K253" s="160">
        <f t="shared" si="11"/>
        <v>425.25</v>
      </c>
      <c r="L253" s="13" t="s">
        <v>9</v>
      </c>
      <c r="P253">
        <v>1</v>
      </c>
    </row>
    <row r="254" spans="2:16" ht="17.25" hidden="1" customHeight="1" x14ac:dyDescent="0.25">
      <c r="B254" s="9" t="s">
        <v>669</v>
      </c>
      <c r="C254" s="10" t="s">
        <v>655</v>
      </c>
      <c r="D254" s="89">
        <v>45414</v>
      </c>
      <c r="E254" s="70" t="s">
        <v>74</v>
      </c>
      <c r="F254" s="9" t="s">
        <v>483</v>
      </c>
      <c r="G254" s="160">
        <v>2225</v>
      </c>
      <c r="H254" s="160"/>
      <c r="I254" s="160">
        <f t="shared" si="9"/>
        <v>2225</v>
      </c>
      <c r="J254" s="160">
        <f t="shared" si="10"/>
        <v>111.25</v>
      </c>
      <c r="K254" s="160">
        <f t="shared" si="11"/>
        <v>2336.25</v>
      </c>
      <c r="L254" s="13" t="s">
        <v>9</v>
      </c>
      <c r="P254">
        <v>1</v>
      </c>
    </row>
    <row r="255" spans="2:16" ht="17.25" hidden="1" customHeight="1" x14ac:dyDescent="0.25">
      <c r="B255" s="9" t="s">
        <v>670</v>
      </c>
      <c r="C255" s="10" t="s">
        <v>656</v>
      </c>
      <c r="D255" s="89">
        <v>45415</v>
      </c>
      <c r="E255" s="71" t="s">
        <v>671</v>
      </c>
      <c r="F255" s="9" t="s">
        <v>672</v>
      </c>
      <c r="G255" s="160">
        <v>350</v>
      </c>
      <c r="H255" s="160"/>
      <c r="I255" s="160">
        <f t="shared" si="9"/>
        <v>350</v>
      </c>
      <c r="J255" s="160">
        <f t="shared" si="10"/>
        <v>17.5</v>
      </c>
      <c r="K255" s="160">
        <f t="shared" si="11"/>
        <v>367.5</v>
      </c>
      <c r="L255" s="13" t="s">
        <v>78</v>
      </c>
      <c r="P255">
        <v>1</v>
      </c>
    </row>
    <row r="256" spans="2:16" ht="17.25" hidden="1" customHeight="1" x14ac:dyDescent="0.25">
      <c r="B256" s="9" t="s">
        <v>94</v>
      </c>
      <c r="C256" s="10" t="s">
        <v>657</v>
      </c>
      <c r="D256" s="89">
        <v>45415</v>
      </c>
      <c r="E256" s="71" t="s">
        <v>96</v>
      </c>
      <c r="F256" s="9" t="s">
        <v>673</v>
      </c>
      <c r="G256" s="160">
        <v>570</v>
      </c>
      <c r="H256" s="160"/>
      <c r="I256" s="160">
        <f t="shared" si="9"/>
        <v>570</v>
      </c>
      <c r="J256" s="160">
        <f t="shared" si="10"/>
        <v>28.5</v>
      </c>
      <c r="K256" s="160">
        <f t="shared" si="11"/>
        <v>598.5</v>
      </c>
      <c r="L256" s="13" t="s">
        <v>78</v>
      </c>
      <c r="P256">
        <v>1</v>
      </c>
    </row>
    <row r="257" spans="2:16" ht="17.25" hidden="1" customHeight="1" x14ac:dyDescent="0.25">
      <c r="B257" s="9" t="s">
        <v>29</v>
      </c>
      <c r="C257" s="10" t="s">
        <v>658</v>
      </c>
      <c r="D257" s="89">
        <v>45415</v>
      </c>
      <c r="E257" s="71" t="s">
        <v>128</v>
      </c>
      <c r="F257" s="9" t="s">
        <v>674</v>
      </c>
      <c r="G257" s="160">
        <v>512</v>
      </c>
      <c r="H257" s="160"/>
      <c r="I257" s="160">
        <f t="shared" si="9"/>
        <v>512</v>
      </c>
      <c r="J257" s="160">
        <f t="shared" si="10"/>
        <v>25.6</v>
      </c>
      <c r="K257" s="160">
        <f t="shared" si="11"/>
        <v>537.6</v>
      </c>
      <c r="L257" s="13" t="s">
        <v>9</v>
      </c>
      <c r="P257">
        <v>1</v>
      </c>
    </row>
    <row r="258" spans="2:16" ht="17.25" hidden="1" customHeight="1" x14ac:dyDescent="0.25">
      <c r="B258" s="9" t="s">
        <v>398</v>
      </c>
      <c r="C258" s="10" t="s">
        <v>659</v>
      </c>
      <c r="D258" s="89">
        <v>45418</v>
      </c>
      <c r="E258" s="71" t="s">
        <v>128</v>
      </c>
      <c r="F258" s="9" t="s">
        <v>675</v>
      </c>
      <c r="G258" s="160">
        <v>3425</v>
      </c>
      <c r="H258" s="160"/>
      <c r="I258" s="160">
        <f t="shared" si="9"/>
        <v>3425</v>
      </c>
      <c r="J258" s="160">
        <f t="shared" si="10"/>
        <v>171.25</v>
      </c>
      <c r="K258" s="160">
        <f t="shared" si="11"/>
        <v>3596.25</v>
      </c>
      <c r="L258" s="13" t="s">
        <v>9</v>
      </c>
      <c r="P258">
        <v>1</v>
      </c>
    </row>
    <row r="259" spans="2:16" ht="17.25" hidden="1" customHeight="1" x14ac:dyDescent="0.25">
      <c r="B259" s="9" t="s">
        <v>10</v>
      </c>
      <c r="C259" s="10" t="s">
        <v>660</v>
      </c>
      <c r="D259" s="89">
        <v>45418</v>
      </c>
      <c r="E259" s="71" t="s">
        <v>16</v>
      </c>
      <c r="F259" s="9" t="s">
        <v>676</v>
      </c>
      <c r="G259" s="160">
        <v>1380</v>
      </c>
      <c r="H259" s="160"/>
      <c r="I259" s="160">
        <f t="shared" si="9"/>
        <v>1380</v>
      </c>
      <c r="J259" s="160">
        <f t="shared" si="10"/>
        <v>69</v>
      </c>
      <c r="K259" s="160">
        <f t="shared" si="11"/>
        <v>1449</v>
      </c>
      <c r="L259" s="13" t="s">
        <v>9</v>
      </c>
      <c r="P259">
        <v>1</v>
      </c>
    </row>
    <row r="260" spans="2:16" ht="17.25" hidden="1" customHeight="1" x14ac:dyDescent="0.25">
      <c r="B260" s="9" t="s">
        <v>10</v>
      </c>
      <c r="C260" s="10" t="s">
        <v>661</v>
      </c>
      <c r="D260" s="89">
        <v>45418</v>
      </c>
      <c r="E260" s="71" t="s">
        <v>16</v>
      </c>
      <c r="F260" s="9" t="s">
        <v>677</v>
      </c>
      <c r="G260" s="160">
        <v>340</v>
      </c>
      <c r="H260" s="160"/>
      <c r="I260" s="160">
        <f t="shared" si="9"/>
        <v>340</v>
      </c>
      <c r="J260" s="160">
        <f t="shared" si="10"/>
        <v>17</v>
      </c>
      <c r="K260" s="160">
        <f t="shared" si="11"/>
        <v>357</v>
      </c>
      <c r="L260" s="13" t="s">
        <v>9</v>
      </c>
      <c r="P260">
        <v>1</v>
      </c>
    </row>
    <row r="261" spans="2:16" ht="17.25" hidden="1" customHeight="1" x14ac:dyDescent="0.25">
      <c r="B261" s="9" t="s">
        <v>10</v>
      </c>
      <c r="C261" s="10" t="s">
        <v>662</v>
      </c>
      <c r="D261" s="89">
        <v>45418</v>
      </c>
      <c r="E261" s="71" t="s">
        <v>16</v>
      </c>
      <c r="F261" s="9" t="s">
        <v>678</v>
      </c>
      <c r="G261" s="160">
        <v>371.5</v>
      </c>
      <c r="H261" s="160"/>
      <c r="I261" s="160">
        <f t="shared" si="9"/>
        <v>371.5</v>
      </c>
      <c r="J261" s="160">
        <f t="shared" si="10"/>
        <v>18.574999999999999</v>
      </c>
      <c r="K261" s="160">
        <f t="shared" si="11"/>
        <v>390.07499999999999</v>
      </c>
      <c r="L261" s="13" t="s">
        <v>9</v>
      </c>
      <c r="P261">
        <v>1</v>
      </c>
    </row>
    <row r="262" spans="2:16" ht="17.25" hidden="1" customHeight="1" x14ac:dyDescent="0.25">
      <c r="B262" s="9" t="s">
        <v>10</v>
      </c>
      <c r="C262" s="10" t="s">
        <v>663</v>
      </c>
      <c r="D262" s="89">
        <v>45418</v>
      </c>
      <c r="E262" s="71" t="s">
        <v>16</v>
      </c>
      <c r="F262" s="9" t="s">
        <v>679</v>
      </c>
      <c r="G262" s="160">
        <v>2510</v>
      </c>
      <c r="H262" s="160"/>
      <c r="I262" s="160">
        <f t="shared" si="9"/>
        <v>2510</v>
      </c>
      <c r="J262" s="160">
        <f t="shared" si="10"/>
        <v>125.5</v>
      </c>
      <c r="K262" s="160">
        <f t="shared" si="11"/>
        <v>2635.5</v>
      </c>
      <c r="L262" s="13" t="s">
        <v>9</v>
      </c>
      <c r="P262">
        <v>1</v>
      </c>
    </row>
    <row r="263" spans="2:16" ht="17.25" hidden="1" customHeight="1" x14ac:dyDescent="0.25">
      <c r="B263" s="9" t="s">
        <v>524</v>
      </c>
      <c r="C263" s="10" t="s">
        <v>681</v>
      </c>
      <c r="D263" s="89">
        <v>45422</v>
      </c>
      <c r="E263" s="71" t="s">
        <v>697</v>
      </c>
      <c r="F263" s="9" t="s">
        <v>698</v>
      </c>
      <c r="G263" s="160">
        <v>350</v>
      </c>
      <c r="H263" s="160"/>
      <c r="I263" s="160">
        <f t="shared" si="9"/>
        <v>350</v>
      </c>
      <c r="J263" s="160">
        <f t="shared" si="10"/>
        <v>17.5</v>
      </c>
      <c r="K263" s="160">
        <f t="shared" si="11"/>
        <v>367.5</v>
      </c>
      <c r="L263" s="13" t="s">
        <v>9</v>
      </c>
      <c r="P263">
        <v>1</v>
      </c>
    </row>
    <row r="264" spans="2:16" ht="17.25" hidden="1" customHeight="1" x14ac:dyDescent="0.25">
      <c r="B264" s="9" t="s">
        <v>699</v>
      </c>
      <c r="C264" s="10" t="s">
        <v>682</v>
      </c>
      <c r="D264" s="89">
        <v>45422</v>
      </c>
      <c r="E264" s="71" t="s">
        <v>700</v>
      </c>
      <c r="F264" s="9" t="s">
        <v>701</v>
      </c>
      <c r="G264" s="160">
        <v>175</v>
      </c>
      <c r="H264" s="160"/>
      <c r="I264" s="160">
        <f t="shared" si="9"/>
        <v>175</v>
      </c>
      <c r="J264" s="160">
        <f t="shared" si="10"/>
        <v>8.75</v>
      </c>
      <c r="K264" s="160">
        <f t="shared" si="11"/>
        <v>183.75</v>
      </c>
      <c r="L264" s="13" t="s">
        <v>9</v>
      </c>
      <c r="P264">
        <v>1</v>
      </c>
    </row>
    <row r="265" spans="2:16" ht="17.25" hidden="1" customHeight="1" x14ac:dyDescent="0.25">
      <c r="B265" s="9" t="s">
        <v>398</v>
      </c>
      <c r="C265" s="10" t="s">
        <v>683</v>
      </c>
      <c r="D265" s="89">
        <v>45422</v>
      </c>
      <c r="E265" s="71" t="s">
        <v>418</v>
      </c>
      <c r="F265" s="9" t="s">
        <v>702</v>
      </c>
      <c r="G265" s="160">
        <v>1020</v>
      </c>
      <c r="H265" s="160"/>
      <c r="I265" s="160">
        <f t="shared" si="9"/>
        <v>1020</v>
      </c>
      <c r="J265" s="160">
        <f t="shared" si="10"/>
        <v>51</v>
      </c>
      <c r="K265" s="160">
        <f t="shared" si="11"/>
        <v>1071</v>
      </c>
      <c r="L265" s="13" t="s">
        <v>9</v>
      </c>
      <c r="P265">
        <v>1</v>
      </c>
    </row>
    <row r="266" spans="2:16" ht="17.25" hidden="1" customHeight="1" x14ac:dyDescent="0.25">
      <c r="B266" s="9" t="s">
        <v>114</v>
      </c>
      <c r="C266" s="10" t="s">
        <v>684</v>
      </c>
      <c r="D266" s="89">
        <v>45421</v>
      </c>
      <c r="E266" s="71" t="s">
        <v>115</v>
      </c>
      <c r="F266" s="9" t="s">
        <v>703</v>
      </c>
      <c r="G266" s="160">
        <v>405</v>
      </c>
      <c r="H266" s="160"/>
      <c r="I266" s="160">
        <f t="shared" si="9"/>
        <v>405</v>
      </c>
      <c r="J266" s="160">
        <f t="shared" si="10"/>
        <v>20.25</v>
      </c>
      <c r="K266" s="160">
        <f t="shared" si="11"/>
        <v>425.25</v>
      </c>
      <c r="L266" s="13" t="s">
        <v>9</v>
      </c>
      <c r="P266">
        <v>1</v>
      </c>
    </row>
    <row r="267" spans="2:16" ht="17.25" hidden="1" customHeight="1" x14ac:dyDescent="0.25">
      <c r="B267" s="9" t="s">
        <v>29</v>
      </c>
      <c r="C267" s="10" t="s">
        <v>685</v>
      </c>
      <c r="D267" s="89">
        <v>45421</v>
      </c>
      <c r="E267" s="71" t="s">
        <v>128</v>
      </c>
      <c r="F267" s="9" t="s">
        <v>704</v>
      </c>
      <c r="G267" s="160">
        <v>1600</v>
      </c>
      <c r="H267" s="160"/>
      <c r="I267" s="160">
        <f t="shared" si="9"/>
        <v>1600</v>
      </c>
      <c r="J267" s="160">
        <f t="shared" si="10"/>
        <v>80</v>
      </c>
      <c r="K267" s="160">
        <f t="shared" si="11"/>
        <v>1680</v>
      </c>
      <c r="L267" s="13" t="s">
        <v>9</v>
      </c>
      <c r="P267">
        <v>1</v>
      </c>
    </row>
    <row r="268" spans="2:16" ht="17.25" hidden="1" customHeight="1" x14ac:dyDescent="0.25">
      <c r="B268" s="9" t="s">
        <v>10</v>
      </c>
      <c r="C268" s="62" t="s">
        <v>686</v>
      </c>
      <c r="D268" s="90">
        <v>45421</v>
      </c>
      <c r="E268" s="99" t="s">
        <v>16</v>
      </c>
      <c r="F268" s="61" t="s">
        <v>870</v>
      </c>
      <c r="G268" s="161" t="s">
        <v>74</v>
      </c>
      <c r="H268" s="161" t="s">
        <v>74</v>
      </c>
      <c r="I268" s="161" t="s">
        <v>74</v>
      </c>
      <c r="J268" s="161" t="s">
        <v>74</v>
      </c>
      <c r="K268" s="161" t="s">
        <v>74</v>
      </c>
      <c r="L268" s="64" t="s">
        <v>9</v>
      </c>
      <c r="P268">
        <v>1</v>
      </c>
    </row>
    <row r="269" spans="2:16" ht="17.25" hidden="1" customHeight="1" x14ac:dyDescent="0.25">
      <c r="B269" s="9" t="s">
        <v>731</v>
      </c>
      <c r="C269" s="10" t="s">
        <v>705</v>
      </c>
      <c r="D269" s="89">
        <v>45423</v>
      </c>
      <c r="E269" s="70" t="s">
        <v>74</v>
      </c>
      <c r="F269" s="9" t="s">
        <v>732</v>
      </c>
      <c r="G269" s="160">
        <v>6085</v>
      </c>
      <c r="H269" s="160"/>
      <c r="I269" s="160">
        <f t="shared" si="9"/>
        <v>6085</v>
      </c>
      <c r="J269" s="160">
        <f t="shared" si="10"/>
        <v>304.25</v>
      </c>
      <c r="K269" s="160">
        <f t="shared" si="11"/>
        <v>6389.25</v>
      </c>
      <c r="L269" s="13" t="s">
        <v>9</v>
      </c>
      <c r="P269">
        <v>1</v>
      </c>
    </row>
    <row r="270" spans="2:16" ht="17.25" hidden="1" customHeight="1" x14ac:dyDescent="0.25">
      <c r="B270" s="9" t="s">
        <v>357</v>
      </c>
      <c r="C270" s="10" t="s">
        <v>706</v>
      </c>
      <c r="D270" s="89">
        <v>45426</v>
      </c>
      <c r="E270" s="71" t="s">
        <v>447</v>
      </c>
      <c r="F270" s="9" t="s">
        <v>598</v>
      </c>
      <c r="G270" s="160">
        <v>125</v>
      </c>
      <c r="H270" s="160"/>
      <c r="I270" s="160">
        <f t="shared" si="9"/>
        <v>125</v>
      </c>
      <c r="J270" s="160">
        <f t="shared" si="10"/>
        <v>6.25</v>
      </c>
      <c r="K270" s="160">
        <f t="shared" si="11"/>
        <v>131.25</v>
      </c>
      <c r="L270" s="13" t="s">
        <v>9</v>
      </c>
      <c r="P270">
        <v>1</v>
      </c>
    </row>
    <row r="271" spans="2:16" ht="17.25" hidden="1" customHeight="1" x14ac:dyDescent="0.25">
      <c r="B271" s="9" t="s">
        <v>558</v>
      </c>
      <c r="C271" s="10" t="s">
        <v>707</v>
      </c>
      <c r="D271" s="89">
        <v>45429</v>
      </c>
      <c r="E271" s="71" t="s">
        <v>559</v>
      </c>
      <c r="F271" s="9" t="s">
        <v>560</v>
      </c>
      <c r="G271" s="160">
        <v>250</v>
      </c>
      <c r="H271" s="160"/>
      <c r="I271" s="160">
        <f t="shared" si="9"/>
        <v>250</v>
      </c>
      <c r="J271" s="160">
        <f t="shared" si="10"/>
        <v>12.5</v>
      </c>
      <c r="K271" s="160">
        <f t="shared" si="11"/>
        <v>262.5</v>
      </c>
      <c r="L271" s="13" t="s">
        <v>78</v>
      </c>
      <c r="P271">
        <v>1</v>
      </c>
    </row>
    <row r="272" spans="2:16" ht="17.25" hidden="1" customHeight="1" x14ac:dyDescent="0.25">
      <c r="B272" s="9" t="s">
        <v>515</v>
      </c>
      <c r="C272" s="10" t="s">
        <v>708</v>
      </c>
      <c r="D272" s="89">
        <v>45427</v>
      </c>
      <c r="E272" s="71" t="s">
        <v>733</v>
      </c>
      <c r="F272" s="9" t="s">
        <v>734</v>
      </c>
      <c r="G272" s="160">
        <v>12375</v>
      </c>
      <c r="H272" s="160"/>
      <c r="I272" s="160">
        <f t="shared" si="9"/>
        <v>12375</v>
      </c>
      <c r="J272" s="160">
        <f t="shared" si="10"/>
        <v>618.75</v>
      </c>
      <c r="K272" s="160">
        <f t="shared" si="11"/>
        <v>12993.75</v>
      </c>
      <c r="L272" s="13" t="s">
        <v>78</v>
      </c>
      <c r="P272">
        <v>1</v>
      </c>
    </row>
    <row r="273" spans="2:16" ht="17.25" hidden="1" customHeight="1" x14ac:dyDescent="0.25">
      <c r="B273" s="9" t="s">
        <v>266</v>
      </c>
      <c r="C273" s="10" t="s">
        <v>709</v>
      </c>
      <c r="D273" s="89">
        <v>45429</v>
      </c>
      <c r="E273" s="71" t="s">
        <v>267</v>
      </c>
      <c r="F273" s="9" t="s">
        <v>735</v>
      </c>
      <c r="G273" s="160">
        <v>944</v>
      </c>
      <c r="H273" s="160"/>
      <c r="I273" s="160">
        <f t="shared" si="9"/>
        <v>944</v>
      </c>
      <c r="J273" s="160">
        <f t="shared" si="10"/>
        <v>47.2</v>
      </c>
      <c r="K273" s="160">
        <f t="shared" si="11"/>
        <v>991.2</v>
      </c>
      <c r="L273" s="13" t="s">
        <v>78</v>
      </c>
      <c r="P273">
        <v>1</v>
      </c>
    </row>
    <row r="274" spans="2:16" ht="17.25" hidden="1" customHeight="1" x14ac:dyDescent="0.25">
      <c r="B274" s="9" t="s">
        <v>290</v>
      </c>
      <c r="C274" s="10" t="s">
        <v>710</v>
      </c>
      <c r="D274" s="89">
        <v>45429</v>
      </c>
      <c r="E274" s="70" t="s">
        <v>74</v>
      </c>
      <c r="F274" s="9" t="s">
        <v>129</v>
      </c>
      <c r="G274" s="160">
        <v>395</v>
      </c>
      <c r="H274" s="160"/>
      <c r="I274" s="160">
        <f t="shared" si="9"/>
        <v>395</v>
      </c>
      <c r="J274" s="160">
        <f t="shared" si="10"/>
        <v>19.75</v>
      </c>
      <c r="K274" s="160">
        <f t="shared" si="11"/>
        <v>414.75</v>
      </c>
      <c r="L274" s="13" t="s">
        <v>78</v>
      </c>
      <c r="P274">
        <v>1</v>
      </c>
    </row>
    <row r="275" spans="2:16" ht="17.25" hidden="1" customHeight="1" x14ac:dyDescent="0.25">
      <c r="B275" s="9" t="s">
        <v>736</v>
      </c>
      <c r="C275" s="10" t="s">
        <v>711</v>
      </c>
      <c r="D275" s="89">
        <v>45429</v>
      </c>
      <c r="E275" s="70" t="s">
        <v>74</v>
      </c>
      <c r="F275" s="9" t="s">
        <v>737</v>
      </c>
      <c r="G275" s="160">
        <v>2195</v>
      </c>
      <c r="H275" s="160"/>
      <c r="I275" s="160">
        <f t="shared" si="9"/>
        <v>2195</v>
      </c>
      <c r="J275" s="160">
        <f t="shared" si="10"/>
        <v>109.75</v>
      </c>
      <c r="K275" s="160">
        <f t="shared" si="11"/>
        <v>2304.75</v>
      </c>
      <c r="L275" s="13" t="s">
        <v>78</v>
      </c>
      <c r="P275">
        <v>1</v>
      </c>
    </row>
    <row r="276" spans="2:16" ht="17.25" hidden="1" customHeight="1" x14ac:dyDescent="0.25">
      <c r="B276" s="9" t="s">
        <v>199</v>
      </c>
      <c r="C276" s="10" t="s">
        <v>712</v>
      </c>
      <c r="D276" s="89">
        <v>45429</v>
      </c>
      <c r="E276" s="71" t="s">
        <v>201</v>
      </c>
      <c r="F276" s="9" t="s">
        <v>738</v>
      </c>
      <c r="G276" s="160">
        <v>2726.25</v>
      </c>
      <c r="H276" s="160"/>
      <c r="I276" s="160">
        <f t="shared" si="9"/>
        <v>2726.25</v>
      </c>
      <c r="J276" s="160">
        <f t="shared" si="10"/>
        <v>136.3125</v>
      </c>
      <c r="K276" s="160">
        <f t="shared" si="11"/>
        <v>2862.5625</v>
      </c>
      <c r="L276" s="13" t="s">
        <v>78</v>
      </c>
      <c r="P276">
        <v>1</v>
      </c>
    </row>
    <row r="277" spans="2:16" ht="17.25" hidden="1" customHeight="1" x14ac:dyDescent="0.25">
      <c r="B277" s="9" t="s">
        <v>739</v>
      </c>
      <c r="C277" s="10" t="s">
        <v>713</v>
      </c>
      <c r="D277" s="89">
        <v>45427</v>
      </c>
      <c r="E277" s="70" t="s">
        <v>74</v>
      </c>
      <c r="F277" s="9" t="s">
        <v>740</v>
      </c>
      <c r="G277" s="160">
        <v>8385</v>
      </c>
      <c r="H277" s="160"/>
      <c r="I277" s="160">
        <f t="shared" si="9"/>
        <v>8385</v>
      </c>
      <c r="J277" s="160">
        <f t="shared" si="10"/>
        <v>419.25</v>
      </c>
      <c r="K277" s="160">
        <f t="shared" si="11"/>
        <v>8804.25</v>
      </c>
      <c r="L277" s="13" t="s">
        <v>78</v>
      </c>
      <c r="P277">
        <v>1</v>
      </c>
    </row>
    <row r="278" spans="2:16" ht="17.25" hidden="1" customHeight="1" x14ac:dyDescent="0.25">
      <c r="B278" s="9" t="s">
        <v>10</v>
      </c>
      <c r="C278" s="10" t="s">
        <v>714</v>
      </c>
      <c r="D278" s="89">
        <v>45425</v>
      </c>
      <c r="E278" s="71" t="s">
        <v>16</v>
      </c>
      <c r="F278" s="9" t="s">
        <v>417</v>
      </c>
      <c r="G278" s="160">
        <v>450</v>
      </c>
      <c r="H278" s="160"/>
      <c r="I278" s="160">
        <f t="shared" si="9"/>
        <v>450</v>
      </c>
      <c r="J278" s="160">
        <f t="shared" si="10"/>
        <v>22.5</v>
      </c>
      <c r="K278" s="160">
        <f t="shared" si="11"/>
        <v>472.5</v>
      </c>
      <c r="L278" s="13" t="s">
        <v>9</v>
      </c>
      <c r="P278">
        <v>1</v>
      </c>
    </row>
    <row r="279" spans="2:16" ht="17.25" hidden="1" customHeight="1" x14ac:dyDescent="0.25">
      <c r="B279" s="9" t="s">
        <v>10</v>
      </c>
      <c r="C279" s="10" t="s">
        <v>715</v>
      </c>
      <c r="D279" s="89">
        <v>45425</v>
      </c>
      <c r="E279" s="71" t="s">
        <v>16</v>
      </c>
      <c r="F279" s="9" t="s">
        <v>741</v>
      </c>
      <c r="G279" s="160">
        <v>875</v>
      </c>
      <c r="H279" s="160"/>
      <c r="I279" s="160">
        <f t="shared" si="9"/>
        <v>875</v>
      </c>
      <c r="J279" s="160">
        <f t="shared" si="10"/>
        <v>43.75</v>
      </c>
      <c r="K279" s="160">
        <f t="shared" si="11"/>
        <v>918.75</v>
      </c>
      <c r="L279" s="13" t="s">
        <v>9</v>
      </c>
      <c r="P279">
        <v>1</v>
      </c>
    </row>
    <row r="280" spans="2:16" ht="17.25" hidden="1" customHeight="1" x14ac:dyDescent="0.25">
      <c r="B280" s="9" t="s">
        <v>10</v>
      </c>
      <c r="C280" s="10" t="s">
        <v>716</v>
      </c>
      <c r="D280" s="89">
        <v>45425</v>
      </c>
      <c r="E280" s="71" t="s">
        <v>16</v>
      </c>
      <c r="F280" s="9" t="s">
        <v>742</v>
      </c>
      <c r="G280" s="160">
        <v>985</v>
      </c>
      <c r="H280" s="160"/>
      <c r="I280" s="160">
        <f t="shared" si="9"/>
        <v>985</v>
      </c>
      <c r="J280" s="160">
        <f t="shared" si="10"/>
        <v>49.25</v>
      </c>
      <c r="K280" s="160">
        <f t="shared" si="11"/>
        <v>1034.25</v>
      </c>
      <c r="L280" s="13" t="s">
        <v>9</v>
      </c>
      <c r="P280">
        <v>1</v>
      </c>
    </row>
    <row r="281" spans="2:16" ht="17.25" hidden="1" customHeight="1" x14ac:dyDescent="0.25">
      <c r="B281" s="9" t="s">
        <v>142</v>
      </c>
      <c r="C281" s="10" t="s">
        <v>717</v>
      </c>
      <c r="D281" s="89">
        <v>45432</v>
      </c>
      <c r="E281" s="71" t="s">
        <v>143</v>
      </c>
      <c r="F281" s="9" t="s">
        <v>743</v>
      </c>
      <c r="G281" s="160">
        <v>1266</v>
      </c>
      <c r="H281" s="160"/>
      <c r="I281" s="160">
        <f t="shared" si="9"/>
        <v>1266</v>
      </c>
      <c r="J281" s="160">
        <f t="shared" si="10"/>
        <v>63.300000000000004</v>
      </c>
      <c r="K281" s="160">
        <f t="shared" si="11"/>
        <v>1329.3</v>
      </c>
      <c r="L281" s="13" t="s">
        <v>9</v>
      </c>
      <c r="P281">
        <v>1</v>
      </c>
    </row>
    <row r="282" spans="2:16" ht="17.25" hidden="1" customHeight="1" x14ac:dyDescent="0.25">
      <c r="B282" s="9" t="s">
        <v>114</v>
      </c>
      <c r="C282" s="10" t="s">
        <v>718</v>
      </c>
      <c r="D282" s="89">
        <v>45427</v>
      </c>
      <c r="E282" s="71" t="s">
        <v>115</v>
      </c>
      <c r="F282" s="9" t="s">
        <v>744</v>
      </c>
      <c r="G282" s="160">
        <v>144</v>
      </c>
      <c r="H282" s="160"/>
      <c r="I282" s="160">
        <f t="shared" si="9"/>
        <v>144</v>
      </c>
      <c r="J282" s="160">
        <f t="shared" si="10"/>
        <v>7.2</v>
      </c>
      <c r="K282" s="160">
        <f t="shared" si="11"/>
        <v>151.19999999999999</v>
      </c>
      <c r="L282" s="13" t="s">
        <v>9</v>
      </c>
      <c r="P282">
        <v>1</v>
      </c>
    </row>
    <row r="283" spans="2:16" ht="17.25" hidden="1" customHeight="1" x14ac:dyDescent="0.25">
      <c r="B283" s="9" t="s">
        <v>29</v>
      </c>
      <c r="C283" s="10" t="s">
        <v>719</v>
      </c>
      <c r="D283" s="89">
        <v>45427</v>
      </c>
      <c r="E283" s="71" t="s">
        <v>128</v>
      </c>
      <c r="F283" s="9" t="s">
        <v>704</v>
      </c>
      <c r="G283" s="160">
        <v>1645</v>
      </c>
      <c r="H283" s="160"/>
      <c r="I283" s="160">
        <f t="shared" si="9"/>
        <v>1645</v>
      </c>
      <c r="J283" s="160">
        <f t="shared" si="10"/>
        <v>82.25</v>
      </c>
      <c r="K283" s="160">
        <f t="shared" si="11"/>
        <v>1727.25</v>
      </c>
      <c r="L283" s="13" t="s">
        <v>9</v>
      </c>
      <c r="P283">
        <v>1</v>
      </c>
    </row>
    <row r="284" spans="2:16" ht="17.25" hidden="1" customHeight="1" x14ac:dyDescent="0.25">
      <c r="B284" s="9" t="s">
        <v>10</v>
      </c>
      <c r="C284" s="10" t="s">
        <v>720</v>
      </c>
      <c r="D284" s="89">
        <v>45427</v>
      </c>
      <c r="E284" s="71" t="s">
        <v>16</v>
      </c>
      <c r="F284" s="9" t="s">
        <v>745</v>
      </c>
      <c r="G284" s="160">
        <v>1465.75</v>
      </c>
      <c r="H284" s="160"/>
      <c r="I284" s="160">
        <f t="shared" si="9"/>
        <v>1465.75</v>
      </c>
      <c r="J284" s="160">
        <f t="shared" si="10"/>
        <v>73.287500000000009</v>
      </c>
      <c r="K284" s="160">
        <f t="shared" si="11"/>
        <v>1539.0374999999999</v>
      </c>
      <c r="L284" s="13" t="s">
        <v>9</v>
      </c>
      <c r="P284">
        <v>1</v>
      </c>
    </row>
    <row r="285" spans="2:16" ht="17.25" hidden="1" customHeight="1" x14ac:dyDescent="0.25">
      <c r="B285" s="9" t="s">
        <v>731</v>
      </c>
      <c r="C285" s="10" t="s">
        <v>721</v>
      </c>
      <c r="D285" s="89">
        <v>45427</v>
      </c>
      <c r="E285" s="70" t="s">
        <v>74</v>
      </c>
      <c r="F285" s="9" t="s">
        <v>746</v>
      </c>
      <c r="G285" s="160">
        <v>4955.5</v>
      </c>
      <c r="H285" s="160"/>
      <c r="I285" s="160">
        <f t="shared" si="9"/>
        <v>4955.5</v>
      </c>
      <c r="J285" s="160">
        <f t="shared" si="10"/>
        <v>247.77500000000001</v>
      </c>
      <c r="K285" s="160">
        <f t="shared" si="11"/>
        <v>5203.2749999999996</v>
      </c>
      <c r="L285" s="13" t="s">
        <v>9</v>
      </c>
      <c r="P285">
        <v>1</v>
      </c>
    </row>
    <row r="286" spans="2:16" ht="17.25" hidden="1" customHeight="1" x14ac:dyDescent="0.25">
      <c r="B286" s="9" t="s">
        <v>10</v>
      </c>
      <c r="C286" s="10" t="s">
        <v>722</v>
      </c>
      <c r="D286" s="89">
        <v>45427</v>
      </c>
      <c r="E286" s="71" t="s">
        <v>16</v>
      </c>
      <c r="F286" s="9" t="s">
        <v>747</v>
      </c>
      <c r="G286" s="160">
        <v>960</v>
      </c>
      <c r="H286" s="160"/>
      <c r="I286" s="160">
        <f t="shared" si="9"/>
        <v>960</v>
      </c>
      <c r="J286" s="160">
        <f t="shared" si="10"/>
        <v>48</v>
      </c>
      <c r="K286" s="160">
        <f t="shared" si="11"/>
        <v>1008</v>
      </c>
      <c r="L286" s="13" t="s">
        <v>9</v>
      </c>
      <c r="P286">
        <v>1</v>
      </c>
    </row>
    <row r="287" spans="2:16" ht="17.25" hidden="1" customHeight="1" x14ac:dyDescent="0.25">
      <c r="B287" s="9" t="s">
        <v>10</v>
      </c>
      <c r="C287" s="10" t="s">
        <v>723</v>
      </c>
      <c r="D287" s="89">
        <v>45427</v>
      </c>
      <c r="E287" s="71" t="s">
        <v>16</v>
      </c>
      <c r="F287" s="9" t="s">
        <v>748</v>
      </c>
      <c r="G287" s="160">
        <v>300</v>
      </c>
      <c r="H287" s="160"/>
      <c r="I287" s="160">
        <f t="shared" si="9"/>
        <v>300</v>
      </c>
      <c r="J287" s="160">
        <f t="shared" si="10"/>
        <v>15</v>
      </c>
      <c r="K287" s="160">
        <f t="shared" si="11"/>
        <v>315</v>
      </c>
      <c r="L287" s="13" t="s">
        <v>9</v>
      </c>
      <c r="P287">
        <v>1</v>
      </c>
    </row>
    <row r="288" spans="2:16" ht="17.25" hidden="1" customHeight="1" x14ac:dyDescent="0.25">
      <c r="B288" s="9" t="s">
        <v>10</v>
      </c>
      <c r="C288" s="10" t="s">
        <v>724</v>
      </c>
      <c r="D288" s="89">
        <v>45427</v>
      </c>
      <c r="E288" s="71" t="s">
        <v>16</v>
      </c>
      <c r="F288" s="9" t="s">
        <v>749</v>
      </c>
      <c r="G288" s="160">
        <v>3787.5</v>
      </c>
      <c r="H288" s="160"/>
      <c r="I288" s="160">
        <f t="shared" si="9"/>
        <v>3787.5</v>
      </c>
      <c r="J288" s="160">
        <f t="shared" si="10"/>
        <v>189.375</v>
      </c>
      <c r="K288" s="160">
        <f t="shared" si="11"/>
        <v>3976.875</v>
      </c>
      <c r="L288" s="13" t="s">
        <v>9</v>
      </c>
      <c r="P288">
        <v>1</v>
      </c>
    </row>
    <row r="289" spans="1:17" ht="17.25" hidden="1" customHeight="1" x14ac:dyDescent="0.25">
      <c r="B289" s="9" t="s">
        <v>750</v>
      </c>
      <c r="C289" s="10" t="s">
        <v>725</v>
      </c>
      <c r="D289" s="89">
        <v>45428</v>
      </c>
      <c r="E289" s="70" t="s">
        <v>74</v>
      </c>
      <c r="F289" s="9" t="s">
        <v>751</v>
      </c>
      <c r="G289" s="160">
        <v>285.70999999999998</v>
      </c>
      <c r="H289" s="160"/>
      <c r="I289" s="160">
        <f t="shared" si="9"/>
        <v>285.70999999999998</v>
      </c>
      <c r="J289" s="160">
        <f t="shared" si="10"/>
        <v>14.285499999999999</v>
      </c>
      <c r="K289" s="160">
        <f t="shared" si="11"/>
        <v>299.99549999999999</v>
      </c>
      <c r="L289" s="13" t="s">
        <v>78</v>
      </c>
      <c r="P289">
        <v>1</v>
      </c>
    </row>
    <row r="290" spans="1:17" ht="17.25" hidden="1" customHeight="1" x14ac:dyDescent="0.25">
      <c r="B290" s="9" t="s">
        <v>731</v>
      </c>
      <c r="C290" s="10" t="s">
        <v>726</v>
      </c>
      <c r="D290" s="89">
        <v>45428</v>
      </c>
      <c r="E290" s="70" t="s">
        <v>74</v>
      </c>
      <c r="F290" s="9" t="s">
        <v>752</v>
      </c>
      <c r="G290" s="160">
        <v>450</v>
      </c>
      <c r="H290" s="160"/>
      <c r="I290" s="160">
        <f t="shared" si="9"/>
        <v>450</v>
      </c>
      <c r="J290" s="160">
        <f t="shared" si="10"/>
        <v>22.5</v>
      </c>
      <c r="K290" s="160">
        <f t="shared" si="11"/>
        <v>472.5</v>
      </c>
      <c r="L290" s="13" t="s">
        <v>9</v>
      </c>
      <c r="P290">
        <v>1</v>
      </c>
    </row>
    <row r="291" spans="1:17" ht="17.25" hidden="1" customHeight="1" x14ac:dyDescent="0.25">
      <c r="B291" s="9" t="s">
        <v>184</v>
      </c>
      <c r="C291" s="10" t="s">
        <v>727</v>
      </c>
      <c r="D291" s="89">
        <v>45429</v>
      </c>
      <c r="E291" s="71" t="s">
        <v>185</v>
      </c>
      <c r="F291" s="9" t="s">
        <v>598</v>
      </c>
      <c r="G291" s="160">
        <v>190</v>
      </c>
      <c r="H291" s="160"/>
      <c r="I291" s="160">
        <f t="shared" si="9"/>
        <v>190</v>
      </c>
      <c r="J291" s="160">
        <f t="shared" si="10"/>
        <v>9.5</v>
      </c>
      <c r="K291" s="160">
        <f t="shared" si="11"/>
        <v>199.5</v>
      </c>
      <c r="L291" s="13" t="s">
        <v>9</v>
      </c>
      <c r="P291">
        <v>1</v>
      </c>
    </row>
    <row r="292" spans="1:17" ht="17.25" hidden="1" customHeight="1" x14ac:dyDescent="0.25">
      <c r="B292" s="9" t="s">
        <v>29</v>
      </c>
      <c r="C292" s="10" t="s">
        <v>728</v>
      </c>
      <c r="D292" s="89">
        <v>45432</v>
      </c>
      <c r="E292" s="71" t="s">
        <v>128</v>
      </c>
      <c r="F292" s="9" t="s">
        <v>704</v>
      </c>
      <c r="G292" s="160">
        <v>1892</v>
      </c>
      <c r="H292" s="160"/>
      <c r="I292" s="160">
        <f t="shared" si="9"/>
        <v>1892</v>
      </c>
      <c r="J292" s="160">
        <f t="shared" si="10"/>
        <v>94.600000000000009</v>
      </c>
      <c r="K292" s="160">
        <f t="shared" si="11"/>
        <v>1986.6</v>
      </c>
      <c r="L292" s="13" t="s">
        <v>9</v>
      </c>
      <c r="P292">
        <v>1</v>
      </c>
    </row>
    <row r="293" spans="1:17" ht="17.25" hidden="1" customHeight="1" x14ac:dyDescent="0.25">
      <c r="B293" s="9" t="s">
        <v>753</v>
      </c>
      <c r="C293" s="10" t="s">
        <v>729</v>
      </c>
      <c r="D293" s="89">
        <v>45432</v>
      </c>
      <c r="E293" s="70" t="s">
        <v>74</v>
      </c>
      <c r="F293" s="9" t="s">
        <v>754</v>
      </c>
      <c r="G293" s="160">
        <v>2173.75</v>
      </c>
      <c r="H293" s="160"/>
      <c r="I293" s="160">
        <f t="shared" si="9"/>
        <v>2173.75</v>
      </c>
      <c r="J293" s="160">
        <f t="shared" si="10"/>
        <v>108.6875</v>
      </c>
      <c r="K293" s="160">
        <f t="shared" si="11"/>
        <v>2282.4375</v>
      </c>
      <c r="L293" s="13" t="s">
        <v>78</v>
      </c>
      <c r="P293">
        <v>1</v>
      </c>
    </row>
    <row r="294" spans="1:17" ht="17.25" hidden="1" customHeight="1" x14ac:dyDescent="0.25">
      <c r="B294" s="9" t="s">
        <v>75</v>
      </c>
      <c r="C294" s="10" t="s">
        <v>730</v>
      </c>
      <c r="D294" s="89">
        <v>45432</v>
      </c>
      <c r="E294" s="71" t="s">
        <v>76</v>
      </c>
      <c r="F294" s="9" t="s">
        <v>598</v>
      </c>
      <c r="G294" s="160">
        <v>1060</v>
      </c>
      <c r="H294" s="160"/>
      <c r="I294" s="160">
        <f t="shared" si="9"/>
        <v>1060</v>
      </c>
      <c r="J294" s="160">
        <f t="shared" si="10"/>
        <v>53</v>
      </c>
      <c r="K294" s="160">
        <f t="shared" si="11"/>
        <v>1113</v>
      </c>
      <c r="L294" s="13" t="s">
        <v>78</v>
      </c>
      <c r="P294">
        <v>1</v>
      </c>
    </row>
    <row r="295" spans="1:17" ht="17.25" hidden="1" customHeight="1" x14ac:dyDescent="0.25">
      <c r="B295" s="9" t="s">
        <v>203</v>
      </c>
      <c r="C295" s="10" t="s">
        <v>755</v>
      </c>
      <c r="D295" s="89">
        <v>45433</v>
      </c>
      <c r="E295" s="71" t="s">
        <v>205</v>
      </c>
      <c r="F295" s="9" t="s">
        <v>769</v>
      </c>
      <c r="G295" s="160">
        <v>3207.6</v>
      </c>
      <c r="H295" s="160"/>
      <c r="I295" s="160">
        <f t="shared" si="9"/>
        <v>3207.6</v>
      </c>
      <c r="J295" s="160">
        <f t="shared" si="10"/>
        <v>160.38</v>
      </c>
      <c r="K295" s="160">
        <f t="shared" si="11"/>
        <v>3367.98</v>
      </c>
      <c r="L295" s="13" t="s">
        <v>78</v>
      </c>
      <c r="P295">
        <v>1</v>
      </c>
    </row>
    <row r="296" spans="1:17" ht="17.25" hidden="1" customHeight="1" x14ac:dyDescent="0.25">
      <c r="B296" s="9" t="s">
        <v>203</v>
      </c>
      <c r="C296" s="10" t="s">
        <v>756</v>
      </c>
      <c r="D296" s="89">
        <v>45433</v>
      </c>
      <c r="E296" s="71" t="s">
        <v>205</v>
      </c>
      <c r="F296" s="9" t="s">
        <v>769</v>
      </c>
      <c r="G296" s="160">
        <v>89.1</v>
      </c>
      <c r="H296" s="160"/>
      <c r="I296" s="160">
        <f t="shared" si="9"/>
        <v>89.1</v>
      </c>
      <c r="J296" s="160">
        <f t="shared" si="10"/>
        <v>4.4550000000000001</v>
      </c>
      <c r="K296" s="160">
        <f t="shared" si="11"/>
        <v>93.554999999999993</v>
      </c>
      <c r="L296" s="13" t="s">
        <v>78</v>
      </c>
      <c r="P296">
        <v>1</v>
      </c>
    </row>
    <row r="297" spans="1:17" ht="17.25" hidden="1" customHeight="1" x14ac:dyDescent="0.25">
      <c r="B297" s="9" t="s">
        <v>770</v>
      </c>
      <c r="C297" s="10" t="s">
        <v>757</v>
      </c>
      <c r="D297" s="89">
        <v>45432</v>
      </c>
      <c r="E297" s="70" t="s">
        <v>74</v>
      </c>
      <c r="F297" s="9" t="s">
        <v>771</v>
      </c>
      <c r="G297" s="160">
        <v>1183</v>
      </c>
      <c r="H297" s="160"/>
      <c r="I297" s="160">
        <f t="shared" si="9"/>
        <v>1183</v>
      </c>
      <c r="J297" s="160">
        <f t="shared" si="10"/>
        <v>59.150000000000006</v>
      </c>
      <c r="K297" s="160">
        <f t="shared" si="11"/>
        <v>1242.1500000000001</v>
      </c>
      <c r="L297" s="13" t="s">
        <v>9</v>
      </c>
      <c r="P297">
        <v>1</v>
      </c>
    </row>
    <row r="298" spans="1:17" ht="17.25" hidden="1" customHeight="1" x14ac:dyDescent="0.25">
      <c r="A298" s="133"/>
      <c r="B298" s="76" t="s">
        <v>114</v>
      </c>
      <c r="C298" s="77" t="s">
        <v>758</v>
      </c>
      <c r="D298" s="134">
        <v>45432</v>
      </c>
      <c r="E298" s="135"/>
      <c r="F298" s="76" t="s">
        <v>821</v>
      </c>
      <c r="G298" s="166"/>
      <c r="H298" s="166"/>
      <c r="I298" s="166">
        <f t="shared" si="9"/>
        <v>0</v>
      </c>
      <c r="J298" s="166">
        <f t="shared" si="10"/>
        <v>0</v>
      </c>
      <c r="K298" s="166">
        <f t="shared" si="11"/>
        <v>0</v>
      </c>
      <c r="L298" s="78" t="s">
        <v>9</v>
      </c>
      <c r="M298" s="133"/>
      <c r="N298" s="133"/>
      <c r="O298" s="133"/>
      <c r="P298" s="133">
        <v>1</v>
      </c>
      <c r="Q298" s="133"/>
    </row>
    <row r="299" spans="1:17" ht="17.25" hidden="1" customHeight="1" x14ac:dyDescent="0.25">
      <c r="B299" s="9" t="s">
        <v>114</v>
      </c>
      <c r="C299" s="10" t="s">
        <v>759</v>
      </c>
      <c r="D299" s="89">
        <v>45432</v>
      </c>
      <c r="E299" s="71" t="s">
        <v>115</v>
      </c>
      <c r="F299" s="9" t="s">
        <v>129</v>
      </c>
      <c r="G299" s="160">
        <v>1190</v>
      </c>
      <c r="H299" s="160"/>
      <c r="I299" s="160">
        <f t="shared" si="9"/>
        <v>1190</v>
      </c>
      <c r="J299" s="160">
        <f t="shared" si="10"/>
        <v>59.5</v>
      </c>
      <c r="K299" s="160">
        <f t="shared" si="11"/>
        <v>1249.5</v>
      </c>
      <c r="L299" s="13" t="s">
        <v>9</v>
      </c>
      <c r="P299">
        <v>1</v>
      </c>
    </row>
    <row r="300" spans="1:17" ht="17.25" hidden="1" customHeight="1" x14ac:dyDescent="0.25">
      <c r="B300" s="9" t="s">
        <v>114</v>
      </c>
      <c r="C300" s="10" t="s">
        <v>760</v>
      </c>
      <c r="D300" s="89">
        <v>45432</v>
      </c>
      <c r="E300" s="71" t="s">
        <v>115</v>
      </c>
      <c r="F300" s="9" t="s">
        <v>598</v>
      </c>
      <c r="G300" s="160">
        <v>470</v>
      </c>
      <c r="H300" s="160"/>
      <c r="I300" s="160">
        <f t="shared" si="9"/>
        <v>470</v>
      </c>
      <c r="J300" s="160">
        <f t="shared" si="10"/>
        <v>23.5</v>
      </c>
      <c r="K300" s="160">
        <f t="shared" si="11"/>
        <v>493.5</v>
      </c>
      <c r="L300" s="13" t="s">
        <v>9</v>
      </c>
      <c r="P300">
        <v>1</v>
      </c>
    </row>
    <row r="301" spans="1:17" ht="17.25" hidden="1" customHeight="1" x14ac:dyDescent="0.25">
      <c r="B301" s="9" t="s">
        <v>122</v>
      </c>
      <c r="C301" s="10" t="s">
        <v>761</v>
      </c>
      <c r="D301" s="89">
        <v>45433</v>
      </c>
      <c r="E301" s="70" t="s">
        <v>74</v>
      </c>
      <c r="F301" s="9" t="s">
        <v>772</v>
      </c>
      <c r="G301" s="160">
        <v>975</v>
      </c>
      <c r="H301" s="160"/>
      <c r="I301" s="160">
        <f t="shared" si="9"/>
        <v>975</v>
      </c>
      <c r="J301" s="160">
        <f t="shared" si="10"/>
        <v>48.75</v>
      </c>
      <c r="K301" s="160">
        <f t="shared" si="11"/>
        <v>1023.75</v>
      </c>
      <c r="L301" s="13" t="s">
        <v>9</v>
      </c>
      <c r="P301">
        <v>1</v>
      </c>
    </row>
    <row r="302" spans="1:17" ht="17.25" hidden="1" customHeight="1" x14ac:dyDescent="0.25">
      <c r="B302" s="9" t="s">
        <v>29</v>
      </c>
      <c r="C302" s="10" t="s">
        <v>762</v>
      </c>
      <c r="D302" s="89">
        <v>45433</v>
      </c>
      <c r="E302" s="71" t="s">
        <v>128</v>
      </c>
      <c r="F302" s="9" t="s">
        <v>225</v>
      </c>
      <c r="G302" s="160">
        <v>275</v>
      </c>
      <c r="H302" s="160"/>
      <c r="I302" s="160">
        <f t="shared" si="9"/>
        <v>275</v>
      </c>
      <c r="J302" s="160">
        <f t="shared" si="10"/>
        <v>13.75</v>
      </c>
      <c r="K302" s="160">
        <f t="shared" si="11"/>
        <v>288.75</v>
      </c>
      <c r="L302" s="13" t="s">
        <v>9</v>
      </c>
      <c r="P302">
        <v>1</v>
      </c>
    </row>
    <row r="303" spans="1:17" ht="17.25" hidden="1" customHeight="1" x14ac:dyDescent="0.25">
      <c r="B303" s="9" t="s">
        <v>10</v>
      </c>
      <c r="C303" s="10" t="s">
        <v>763</v>
      </c>
      <c r="D303" s="89">
        <v>45430</v>
      </c>
      <c r="E303" s="71" t="s">
        <v>16</v>
      </c>
      <c r="F303" s="9" t="s">
        <v>796</v>
      </c>
      <c r="G303" s="160">
        <v>875</v>
      </c>
      <c r="H303" s="160"/>
      <c r="I303" s="160">
        <f t="shared" si="9"/>
        <v>875</v>
      </c>
      <c r="J303" s="160">
        <f t="shared" si="10"/>
        <v>43.75</v>
      </c>
      <c r="K303" s="160">
        <f t="shared" si="11"/>
        <v>918.75</v>
      </c>
      <c r="L303" s="13" t="s">
        <v>9</v>
      </c>
      <c r="P303">
        <v>1</v>
      </c>
    </row>
    <row r="304" spans="1:17" ht="17.25" hidden="1" customHeight="1" x14ac:dyDescent="0.25">
      <c r="B304" s="9" t="s">
        <v>10</v>
      </c>
      <c r="C304" s="10" t="s">
        <v>764</v>
      </c>
      <c r="D304" s="89">
        <v>45433</v>
      </c>
      <c r="E304" s="71" t="s">
        <v>16</v>
      </c>
      <c r="F304" s="9" t="s">
        <v>797</v>
      </c>
      <c r="G304" s="160">
        <v>105</v>
      </c>
      <c r="H304" s="160"/>
      <c r="I304" s="160">
        <f t="shared" si="9"/>
        <v>105</v>
      </c>
      <c r="J304" s="160">
        <f t="shared" si="10"/>
        <v>5.25</v>
      </c>
      <c r="K304" s="160">
        <f t="shared" si="11"/>
        <v>110.25</v>
      </c>
      <c r="L304" s="13" t="s">
        <v>9</v>
      </c>
      <c r="P304">
        <v>1</v>
      </c>
    </row>
    <row r="305" spans="2:16" ht="17.25" hidden="1" customHeight="1" x14ac:dyDescent="0.25">
      <c r="B305" s="9" t="s">
        <v>10</v>
      </c>
      <c r="C305" s="10" t="s">
        <v>765</v>
      </c>
      <c r="D305" s="89">
        <v>45433</v>
      </c>
      <c r="E305" s="71" t="s">
        <v>16</v>
      </c>
      <c r="F305" s="9" t="s">
        <v>798</v>
      </c>
      <c r="G305" s="160">
        <v>540</v>
      </c>
      <c r="H305" s="160"/>
      <c r="I305" s="160">
        <f t="shared" si="9"/>
        <v>540</v>
      </c>
      <c r="J305" s="160">
        <f t="shared" si="10"/>
        <v>27</v>
      </c>
      <c r="K305" s="160">
        <f t="shared" si="11"/>
        <v>567</v>
      </c>
      <c r="L305" s="13" t="s">
        <v>9</v>
      </c>
      <c r="P305">
        <v>1</v>
      </c>
    </row>
    <row r="306" spans="2:16" ht="17.25" hidden="1" customHeight="1" x14ac:dyDescent="0.25">
      <c r="B306" s="9" t="s">
        <v>100</v>
      </c>
      <c r="C306" s="10" t="s">
        <v>766</v>
      </c>
      <c r="D306" s="89">
        <v>45433</v>
      </c>
      <c r="E306" s="70" t="s">
        <v>74</v>
      </c>
      <c r="F306" s="9" t="s">
        <v>598</v>
      </c>
      <c r="G306" s="160">
        <v>1145</v>
      </c>
      <c r="H306" s="160"/>
      <c r="I306" s="160">
        <f t="shared" si="9"/>
        <v>1145</v>
      </c>
      <c r="J306" s="160">
        <f t="shared" si="10"/>
        <v>57.25</v>
      </c>
      <c r="K306" s="160">
        <f t="shared" si="11"/>
        <v>1202.25</v>
      </c>
      <c r="L306" s="13" t="s">
        <v>9</v>
      </c>
      <c r="P306">
        <v>1</v>
      </c>
    </row>
    <row r="307" spans="2:16" ht="17.25" hidden="1" customHeight="1" x14ac:dyDescent="0.25">
      <c r="B307" s="9" t="s">
        <v>94</v>
      </c>
      <c r="C307" s="10" t="s">
        <v>767</v>
      </c>
      <c r="D307" s="89">
        <v>45435</v>
      </c>
      <c r="E307" s="71" t="s">
        <v>96</v>
      </c>
      <c r="F307" s="9" t="s">
        <v>598</v>
      </c>
      <c r="G307" s="160">
        <v>440</v>
      </c>
      <c r="H307" s="160"/>
      <c r="I307" s="160">
        <f t="shared" si="9"/>
        <v>440</v>
      </c>
      <c r="J307" s="160">
        <f t="shared" si="10"/>
        <v>22</v>
      </c>
      <c r="K307" s="160">
        <f t="shared" si="11"/>
        <v>462</v>
      </c>
      <c r="L307" s="13" t="s">
        <v>78</v>
      </c>
      <c r="P307">
        <v>1</v>
      </c>
    </row>
    <row r="308" spans="2:16" ht="17.25" hidden="1" customHeight="1" x14ac:dyDescent="0.25">
      <c r="B308" s="9" t="s">
        <v>203</v>
      </c>
      <c r="C308" s="10" t="s">
        <v>768</v>
      </c>
      <c r="D308" s="89">
        <v>45439</v>
      </c>
      <c r="E308" s="71" t="s">
        <v>205</v>
      </c>
      <c r="F308" s="9" t="s">
        <v>769</v>
      </c>
      <c r="G308" s="160">
        <v>178.2</v>
      </c>
      <c r="H308" s="160"/>
      <c r="I308" s="160">
        <f t="shared" si="9"/>
        <v>178.2</v>
      </c>
      <c r="J308" s="160">
        <f t="shared" si="10"/>
        <v>8.91</v>
      </c>
      <c r="K308" s="160">
        <f t="shared" si="11"/>
        <v>187.10999999999999</v>
      </c>
      <c r="L308" s="13" t="s">
        <v>78</v>
      </c>
      <c r="P308">
        <v>1</v>
      </c>
    </row>
    <row r="309" spans="2:16" ht="17.25" hidden="1" customHeight="1" x14ac:dyDescent="0.25">
      <c r="B309" s="9" t="s">
        <v>29</v>
      </c>
      <c r="C309" s="10" t="s">
        <v>773</v>
      </c>
      <c r="D309" s="89">
        <v>45439</v>
      </c>
      <c r="E309" s="71" t="s">
        <v>128</v>
      </c>
      <c r="F309" s="9" t="s">
        <v>799</v>
      </c>
      <c r="G309" s="160">
        <v>5242.5</v>
      </c>
      <c r="H309" s="160"/>
      <c r="I309" s="160">
        <f t="shared" si="9"/>
        <v>5242.5</v>
      </c>
      <c r="J309" s="160">
        <f t="shared" si="10"/>
        <v>262.125</v>
      </c>
      <c r="K309" s="160">
        <f t="shared" si="11"/>
        <v>5504.625</v>
      </c>
      <c r="L309" s="13" t="s">
        <v>9</v>
      </c>
      <c r="P309">
        <v>1</v>
      </c>
    </row>
    <row r="310" spans="2:16" ht="17.25" hidden="1" customHeight="1" x14ac:dyDescent="0.25">
      <c r="B310" s="9" t="s">
        <v>114</v>
      </c>
      <c r="C310" s="10" t="s">
        <v>774</v>
      </c>
      <c r="D310" s="89">
        <v>45439</v>
      </c>
      <c r="E310" s="71" t="s">
        <v>115</v>
      </c>
      <c r="F310" s="9" t="s">
        <v>134</v>
      </c>
      <c r="G310" s="160">
        <v>2250</v>
      </c>
      <c r="H310" s="160"/>
      <c r="I310" s="160">
        <f t="shared" si="9"/>
        <v>2250</v>
      </c>
      <c r="J310" s="160">
        <f t="shared" si="10"/>
        <v>112.5</v>
      </c>
      <c r="K310" s="160">
        <f t="shared" si="11"/>
        <v>2362.5</v>
      </c>
      <c r="L310" s="13" t="s">
        <v>9</v>
      </c>
      <c r="P310">
        <v>1</v>
      </c>
    </row>
    <row r="311" spans="2:16" ht="17.25" hidden="1" customHeight="1" x14ac:dyDescent="0.25">
      <c r="B311" s="9" t="s">
        <v>26</v>
      </c>
      <c r="C311" s="10" t="s">
        <v>775</v>
      </c>
      <c r="D311" s="89">
        <v>45439</v>
      </c>
      <c r="E311" s="71" t="s">
        <v>21</v>
      </c>
      <c r="F311" s="9" t="s">
        <v>225</v>
      </c>
      <c r="G311" s="160">
        <v>450</v>
      </c>
      <c r="H311" s="160"/>
      <c r="I311" s="160">
        <f t="shared" si="9"/>
        <v>450</v>
      </c>
      <c r="J311" s="160">
        <f t="shared" si="10"/>
        <v>22.5</v>
      </c>
      <c r="K311" s="160">
        <f t="shared" si="11"/>
        <v>472.5</v>
      </c>
      <c r="L311" s="13" t="s">
        <v>9</v>
      </c>
      <c r="P311">
        <v>1</v>
      </c>
    </row>
    <row r="312" spans="2:16" ht="17.25" hidden="1" customHeight="1" x14ac:dyDescent="0.25">
      <c r="B312" s="9" t="s">
        <v>102</v>
      </c>
      <c r="C312" s="10" t="s">
        <v>776</v>
      </c>
      <c r="D312" s="89">
        <v>45435</v>
      </c>
      <c r="E312" s="71" t="s">
        <v>104</v>
      </c>
      <c r="F312" s="9" t="s">
        <v>800</v>
      </c>
      <c r="G312" s="160">
        <v>1060</v>
      </c>
      <c r="H312" s="160"/>
      <c r="I312" s="160">
        <f t="shared" si="9"/>
        <v>1060</v>
      </c>
      <c r="J312" s="160">
        <f t="shared" si="10"/>
        <v>53</v>
      </c>
      <c r="K312" s="160">
        <f t="shared" si="11"/>
        <v>1113</v>
      </c>
      <c r="L312" s="13" t="s">
        <v>9</v>
      </c>
      <c r="P312">
        <v>1</v>
      </c>
    </row>
    <row r="313" spans="2:16" ht="17.25" hidden="1" customHeight="1" x14ac:dyDescent="0.25">
      <c r="B313" s="9" t="s">
        <v>10</v>
      </c>
      <c r="C313" s="10" t="s">
        <v>777</v>
      </c>
      <c r="D313" s="89">
        <v>45437</v>
      </c>
      <c r="E313" s="71" t="s">
        <v>16</v>
      </c>
      <c r="F313" s="9" t="s">
        <v>801</v>
      </c>
      <c r="G313" s="160">
        <v>666.25</v>
      </c>
      <c r="H313" s="160"/>
      <c r="I313" s="160">
        <f t="shared" si="9"/>
        <v>666.25</v>
      </c>
      <c r="J313" s="160">
        <f t="shared" si="10"/>
        <v>33.3125</v>
      </c>
      <c r="K313" s="160">
        <f t="shared" si="11"/>
        <v>699.5625</v>
      </c>
      <c r="L313" s="13" t="s">
        <v>9</v>
      </c>
      <c r="P313">
        <v>1</v>
      </c>
    </row>
    <row r="314" spans="2:16" ht="17.25" hidden="1" customHeight="1" x14ac:dyDescent="0.25">
      <c r="B314" s="9" t="s">
        <v>10</v>
      </c>
      <c r="C314" s="10" t="s">
        <v>778</v>
      </c>
      <c r="D314" s="89">
        <v>45437</v>
      </c>
      <c r="E314" s="71" t="s">
        <v>16</v>
      </c>
      <c r="F314" s="9" t="s">
        <v>802</v>
      </c>
      <c r="G314" s="160">
        <v>550</v>
      </c>
      <c r="H314" s="160"/>
      <c r="I314" s="160">
        <f t="shared" si="9"/>
        <v>550</v>
      </c>
      <c r="J314" s="160">
        <f t="shared" si="10"/>
        <v>27.5</v>
      </c>
      <c r="K314" s="160">
        <f t="shared" si="11"/>
        <v>577.5</v>
      </c>
      <c r="L314" s="13" t="s">
        <v>9</v>
      </c>
      <c r="P314">
        <v>1</v>
      </c>
    </row>
    <row r="315" spans="2:16" ht="17.25" hidden="1" customHeight="1" x14ac:dyDescent="0.25">
      <c r="B315" s="9" t="s">
        <v>535</v>
      </c>
      <c r="C315" s="10" t="s">
        <v>779</v>
      </c>
      <c r="D315" s="89">
        <v>45439</v>
      </c>
      <c r="E315" s="71" t="s">
        <v>561</v>
      </c>
      <c r="F315" s="9" t="s">
        <v>803</v>
      </c>
      <c r="G315" s="160">
        <v>1240</v>
      </c>
      <c r="H315" s="160"/>
      <c r="I315" s="160">
        <f t="shared" si="9"/>
        <v>1240</v>
      </c>
      <c r="J315" s="160">
        <f t="shared" si="10"/>
        <v>62</v>
      </c>
      <c r="K315" s="160">
        <f t="shared" si="11"/>
        <v>1302</v>
      </c>
      <c r="L315" s="13" t="s">
        <v>78</v>
      </c>
      <c r="P315">
        <v>1</v>
      </c>
    </row>
    <row r="316" spans="2:16" ht="17.25" hidden="1" customHeight="1" x14ac:dyDescent="0.25">
      <c r="B316" s="9" t="s">
        <v>43</v>
      </c>
      <c r="C316" s="10" t="s">
        <v>780</v>
      </c>
      <c r="D316" s="89">
        <v>45440</v>
      </c>
      <c r="E316" s="71" t="s">
        <v>30</v>
      </c>
      <c r="F316" s="9" t="s">
        <v>804</v>
      </c>
      <c r="G316" s="160">
        <v>869</v>
      </c>
      <c r="H316" s="160"/>
      <c r="I316" s="160">
        <f t="shared" si="9"/>
        <v>869</v>
      </c>
      <c r="J316" s="160">
        <f t="shared" si="10"/>
        <v>43.45</v>
      </c>
      <c r="K316" s="160">
        <f t="shared" si="11"/>
        <v>912.45</v>
      </c>
      <c r="L316" s="13" t="s">
        <v>9</v>
      </c>
      <c r="P316">
        <v>1</v>
      </c>
    </row>
    <row r="317" spans="2:16" ht="17.25" hidden="1" customHeight="1" x14ac:dyDescent="0.25">
      <c r="B317" s="9" t="s">
        <v>357</v>
      </c>
      <c r="C317" s="10" t="s">
        <v>781</v>
      </c>
      <c r="D317" s="89">
        <v>45440</v>
      </c>
      <c r="E317" s="71" t="s">
        <v>805</v>
      </c>
      <c r="F317" s="9" t="s">
        <v>95</v>
      </c>
      <c r="G317" s="160">
        <v>295</v>
      </c>
      <c r="H317" s="160"/>
      <c r="I317" s="160">
        <f t="shared" si="9"/>
        <v>295</v>
      </c>
      <c r="J317" s="160">
        <f t="shared" si="10"/>
        <v>14.75</v>
      </c>
      <c r="K317" s="160">
        <f t="shared" si="11"/>
        <v>309.75</v>
      </c>
      <c r="L317" s="13" t="s">
        <v>9</v>
      </c>
      <c r="P317">
        <v>1</v>
      </c>
    </row>
    <row r="318" spans="2:16" ht="17.25" hidden="1" customHeight="1" x14ac:dyDescent="0.25">
      <c r="B318" s="9" t="s">
        <v>10</v>
      </c>
      <c r="C318" s="10" t="s">
        <v>782</v>
      </c>
      <c r="D318" s="89">
        <v>45441</v>
      </c>
      <c r="E318" s="71" t="s">
        <v>16</v>
      </c>
      <c r="F318" s="9" t="s">
        <v>806</v>
      </c>
      <c r="G318" s="160">
        <v>685.02</v>
      </c>
      <c r="H318" s="160"/>
      <c r="I318" s="160">
        <f t="shared" si="9"/>
        <v>685.02</v>
      </c>
      <c r="J318" s="160">
        <f t="shared" si="10"/>
        <v>34.250999999999998</v>
      </c>
      <c r="K318" s="160">
        <f t="shared" si="11"/>
        <v>719.27099999999996</v>
      </c>
      <c r="L318" s="13" t="s">
        <v>9</v>
      </c>
      <c r="P318">
        <v>1</v>
      </c>
    </row>
    <row r="319" spans="2:16" ht="17.25" hidden="1" customHeight="1" x14ac:dyDescent="0.25">
      <c r="B319" s="9" t="s">
        <v>102</v>
      </c>
      <c r="C319" s="10" t="s">
        <v>783</v>
      </c>
      <c r="D319" s="89">
        <v>45439</v>
      </c>
      <c r="E319" s="71" t="s">
        <v>104</v>
      </c>
      <c r="F319" s="9" t="s">
        <v>807</v>
      </c>
      <c r="G319" s="160">
        <v>2507</v>
      </c>
      <c r="H319" s="160"/>
      <c r="I319" s="160">
        <f t="shared" si="9"/>
        <v>2507</v>
      </c>
      <c r="J319" s="160">
        <f t="shared" si="10"/>
        <v>125.35000000000001</v>
      </c>
      <c r="K319" s="160">
        <f t="shared" si="11"/>
        <v>2632.35</v>
      </c>
      <c r="L319" s="13" t="s">
        <v>9</v>
      </c>
      <c r="P319">
        <v>1</v>
      </c>
    </row>
    <row r="320" spans="2:16" ht="17.25" hidden="1" customHeight="1" x14ac:dyDescent="0.25">
      <c r="B320" s="9" t="s">
        <v>102</v>
      </c>
      <c r="C320" s="10" t="s">
        <v>784</v>
      </c>
      <c r="D320" s="89">
        <v>45439</v>
      </c>
      <c r="E320" s="71" t="s">
        <v>104</v>
      </c>
      <c r="F320" s="9" t="s">
        <v>808</v>
      </c>
      <c r="G320" s="160">
        <v>5685</v>
      </c>
      <c r="H320" s="160"/>
      <c r="I320" s="160">
        <f t="shared" si="9"/>
        <v>5685</v>
      </c>
      <c r="J320" s="160">
        <f t="shared" si="10"/>
        <v>284.25</v>
      </c>
      <c r="K320" s="160">
        <f t="shared" si="11"/>
        <v>5969.25</v>
      </c>
      <c r="L320" s="13" t="s">
        <v>9</v>
      </c>
      <c r="P320">
        <v>1</v>
      </c>
    </row>
    <row r="321" spans="2:16" ht="17.25" hidden="1" customHeight="1" x14ac:dyDescent="0.25">
      <c r="B321" s="9" t="s">
        <v>102</v>
      </c>
      <c r="C321" s="10" t="s">
        <v>785</v>
      </c>
      <c r="D321" s="89">
        <v>45440</v>
      </c>
      <c r="E321" s="71" t="s">
        <v>104</v>
      </c>
      <c r="F321" s="9" t="s">
        <v>809</v>
      </c>
      <c r="G321" s="160">
        <v>590</v>
      </c>
      <c r="H321" s="160"/>
      <c r="I321" s="160">
        <f t="shared" si="9"/>
        <v>590</v>
      </c>
      <c r="J321" s="160">
        <f t="shared" si="10"/>
        <v>29.5</v>
      </c>
      <c r="K321" s="160">
        <f t="shared" si="11"/>
        <v>619.5</v>
      </c>
      <c r="L321" s="13" t="s">
        <v>9</v>
      </c>
      <c r="P321">
        <v>1</v>
      </c>
    </row>
    <row r="322" spans="2:16" ht="17.25" hidden="1" customHeight="1" x14ac:dyDescent="0.25">
      <c r="B322" s="9" t="s">
        <v>102</v>
      </c>
      <c r="C322" s="10" t="s">
        <v>786</v>
      </c>
      <c r="D322" s="89">
        <v>45439</v>
      </c>
      <c r="E322" s="71" t="s">
        <v>104</v>
      </c>
      <c r="F322" s="9" t="s">
        <v>810</v>
      </c>
      <c r="G322" s="160">
        <v>284.92</v>
      </c>
      <c r="H322" s="160"/>
      <c r="I322" s="160">
        <f t="shared" si="9"/>
        <v>284.92</v>
      </c>
      <c r="J322" s="160">
        <f t="shared" si="10"/>
        <v>14.246000000000002</v>
      </c>
      <c r="K322" s="160">
        <f t="shared" si="11"/>
        <v>299.166</v>
      </c>
      <c r="L322" s="13" t="s">
        <v>9</v>
      </c>
      <c r="P322">
        <v>1</v>
      </c>
    </row>
    <row r="323" spans="2:16" ht="17.25" hidden="1" customHeight="1" x14ac:dyDescent="0.25">
      <c r="B323" s="9" t="s">
        <v>628</v>
      </c>
      <c r="C323" s="10" t="s">
        <v>787</v>
      </c>
      <c r="D323" s="89">
        <v>45441</v>
      </c>
      <c r="E323" s="71" t="s">
        <v>629</v>
      </c>
      <c r="F323" s="9" t="s">
        <v>630</v>
      </c>
      <c r="G323" s="160">
        <v>195</v>
      </c>
      <c r="H323" s="160"/>
      <c r="I323" s="160">
        <f t="shared" si="9"/>
        <v>195</v>
      </c>
      <c r="J323" s="160">
        <f t="shared" si="10"/>
        <v>9.75</v>
      </c>
      <c r="K323" s="160">
        <f t="shared" si="11"/>
        <v>204.75</v>
      </c>
      <c r="L323" s="13" t="s">
        <v>9</v>
      </c>
      <c r="P323">
        <v>1</v>
      </c>
    </row>
    <row r="324" spans="2:16" ht="17.25" hidden="1" customHeight="1" x14ac:dyDescent="0.25">
      <c r="B324" s="9" t="s">
        <v>29</v>
      </c>
      <c r="C324" s="10" t="s">
        <v>788</v>
      </c>
      <c r="D324" s="89">
        <v>45441</v>
      </c>
      <c r="E324" s="71" t="s">
        <v>128</v>
      </c>
      <c r="F324" s="9" t="s">
        <v>225</v>
      </c>
      <c r="G324" s="160">
        <v>275</v>
      </c>
      <c r="H324" s="160"/>
      <c r="I324" s="160">
        <f t="shared" si="9"/>
        <v>275</v>
      </c>
      <c r="J324" s="160">
        <f t="shared" si="10"/>
        <v>13.75</v>
      </c>
      <c r="K324" s="160">
        <f t="shared" si="11"/>
        <v>288.75</v>
      </c>
      <c r="L324" s="13" t="s">
        <v>9</v>
      </c>
      <c r="P324">
        <v>1</v>
      </c>
    </row>
    <row r="325" spans="2:16" ht="17.25" hidden="1" customHeight="1" x14ac:dyDescent="0.25">
      <c r="B325" s="9" t="s">
        <v>10</v>
      </c>
      <c r="C325" s="10" t="s">
        <v>789</v>
      </c>
      <c r="D325" s="89">
        <v>45442</v>
      </c>
      <c r="E325" s="71" t="s">
        <v>16</v>
      </c>
      <c r="F325" s="9" t="s">
        <v>510</v>
      </c>
      <c r="G325" s="160">
        <v>420</v>
      </c>
      <c r="H325" s="160"/>
      <c r="I325" s="160">
        <f t="shared" si="9"/>
        <v>420</v>
      </c>
      <c r="J325" s="160">
        <f t="shared" si="10"/>
        <v>21</v>
      </c>
      <c r="K325" s="160">
        <f t="shared" si="11"/>
        <v>441</v>
      </c>
      <c r="L325" s="13" t="s">
        <v>9</v>
      </c>
      <c r="P325">
        <v>1</v>
      </c>
    </row>
    <row r="326" spans="2:16" ht="17.25" hidden="1" customHeight="1" x14ac:dyDescent="0.25">
      <c r="B326" s="9" t="s">
        <v>10</v>
      </c>
      <c r="C326" s="10" t="s">
        <v>790</v>
      </c>
      <c r="D326" s="89">
        <v>45442</v>
      </c>
      <c r="E326" s="71" t="s">
        <v>16</v>
      </c>
      <c r="F326" s="9" t="s">
        <v>811</v>
      </c>
      <c r="G326" s="160">
        <v>350</v>
      </c>
      <c r="H326" s="160"/>
      <c r="I326" s="160">
        <f t="shared" si="9"/>
        <v>350</v>
      </c>
      <c r="J326" s="160">
        <f t="shared" si="10"/>
        <v>17.5</v>
      </c>
      <c r="K326" s="160">
        <f t="shared" si="11"/>
        <v>367.5</v>
      </c>
      <c r="L326" s="13" t="s">
        <v>9</v>
      </c>
      <c r="P326">
        <v>1</v>
      </c>
    </row>
    <row r="327" spans="2:16" ht="17.25" hidden="1" customHeight="1" x14ac:dyDescent="0.25">
      <c r="B327" s="9" t="s">
        <v>97</v>
      </c>
      <c r="C327" s="10" t="s">
        <v>791</v>
      </c>
      <c r="D327" s="89">
        <v>45443</v>
      </c>
      <c r="E327" s="71" t="s">
        <v>98</v>
      </c>
      <c r="F327" s="9" t="s">
        <v>812</v>
      </c>
      <c r="G327" s="160">
        <v>1612.5</v>
      </c>
      <c r="H327" s="160"/>
      <c r="I327" s="160">
        <f t="shared" si="9"/>
        <v>1612.5</v>
      </c>
      <c r="J327" s="160">
        <f t="shared" si="10"/>
        <v>80.625</v>
      </c>
      <c r="K327" s="160">
        <f t="shared" si="11"/>
        <v>1693.125</v>
      </c>
      <c r="L327" s="13" t="s">
        <v>78</v>
      </c>
      <c r="P327">
        <v>1</v>
      </c>
    </row>
    <row r="328" spans="2:16" ht="17.25" hidden="1" customHeight="1" x14ac:dyDescent="0.25">
      <c r="B328" s="9" t="s">
        <v>49</v>
      </c>
      <c r="C328" s="10" t="s">
        <v>792</v>
      </c>
      <c r="D328" s="89">
        <v>45442</v>
      </c>
      <c r="E328" s="71" t="s">
        <v>50</v>
      </c>
      <c r="F328" s="9" t="s">
        <v>598</v>
      </c>
      <c r="G328" s="160">
        <v>217.5</v>
      </c>
      <c r="H328" s="160"/>
      <c r="I328" s="160">
        <f t="shared" si="9"/>
        <v>217.5</v>
      </c>
      <c r="J328" s="160">
        <f t="shared" si="10"/>
        <v>10.875</v>
      </c>
      <c r="K328" s="160">
        <f t="shared" si="11"/>
        <v>228.375</v>
      </c>
      <c r="L328" s="13" t="s">
        <v>9</v>
      </c>
      <c r="P328">
        <v>1</v>
      </c>
    </row>
    <row r="329" spans="2:16" ht="17.25" hidden="1" customHeight="1" x14ac:dyDescent="0.25">
      <c r="B329" s="9" t="s">
        <v>664</v>
      </c>
      <c r="C329" s="10" t="s">
        <v>793</v>
      </c>
      <c r="D329" s="89">
        <v>45442</v>
      </c>
      <c r="E329" s="71" t="s">
        <v>237</v>
      </c>
      <c r="F329" s="9" t="s">
        <v>813</v>
      </c>
      <c r="G329" s="160">
        <v>210</v>
      </c>
      <c r="H329" s="160"/>
      <c r="I329" s="160">
        <f t="shared" si="9"/>
        <v>210</v>
      </c>
      <c r="J329" s="160">
        <f t="shared" si="10"/>
        <v>10.5</v>
      </c>
      <c r="K329" s="160">
        <f t="shared" si="11"/>
        <v>220.5</v>
      </c>
      <c r="L329" s="13" t="s">
        <v>9</v>
      </c>
      <c r="P329">
        <v>1</v>
      </c>
    </row>
    <row r="330" spans="2:16" ht="17.25" hidden="1" customHeight="1" x14ac:dyDescent="0.25">
      <c r="B330" s="9" t="s">
        <v>666</v>
      </c>
      <c r="C330" s="10" t="s">
        <v>794</v>
      </c>
      <c r="D330" s="89">
        <v>45442</v>
      </c>
      <c r="E330" s="71" t="s">
        <v>237</v>
      </c>
      <c r="F330" s="9" t="s">
        <v>813</v>
      </c>
      <c r="G330" s="160">
        <v>60</v>
      </c>
      <c r="H330" s="160"/>
      <c r="I330" s="160">
        <f t="shared" si="9"/>
        <v>60</v>
      </c>
      <c r="J330" s="160">
        <f t="shared" si="10"/>
        <v>3</v>
      </c>
      <c r="K330" s="160">
        <f t="shared" si="11"/>
        <v>63</v>
      </c>
      <c r="L330" s="13" t="s">
        <v>9</v>
      </c>
      <c r="P330">
        <v>1</v>
      </c>
    </row>
    <row r="331" spans="2:16" ht="17.25" hidden="1" customHeight="1" x14ac:dyDescent="0.25">
      <c r="B331" s="9" t="s">
        <v>814</v>
      </c>
      <c r="C331" s="10" t="s">
        <v>795</v>
      </c>
      <c r="D331" s="89">
        <v>45442</v>
      </c>
      <c r="E331" s="70" t="s">
        <v>74</v>
      </c>
      <c r="F331" s="9" t="s">
        <v>815</v>
      </c>
      <c r="G331" s="160">
        <v>2000</v>
      </c>
      <c r="H331" s="160"/>
      <c r="I331" s="160">
        <f t="shared" si="9"/>
        <v>2000</v>
      </c>
      <c r="J331" s="160">
        <f t="shared" si="10"/>
        <v>100</v>
      </c>
      <c r="K331" s="160">
        <f t="shared" si="11"/>
        <v>2100</v>
      </c>
      <c r="L331" s="13" t="s">
        <v>9</v>
      </c>
      <c r="P331">
        <v>1</v>
      </c>
    </row>
    <row r="332" spans="2:16" ht="17.25" hidden="1" customHeight="1" x14ac:dyDescent="0.25">
      <c r="B332" s="9" t="s">
        <v>297</v>
      </c>
      <c r="C332" s="10" t="s">
        <v>816</v>
      </c>
      <c r="D332" s="89">
        <v>45442</v>
      </c>
      <c r="E332" s="71" t="s">
        <v>301</v>
      </c>
      <c r="F332" s="9" t="s">
        <v>819</v>
      </c>
      <c r="G332" s="160">
        <v>7425</v>
      </c>
      <c r="H332" s="160"/>
      <c r="I332" s="160">
        <f t="shared" si="9"/>
        <v>7425</v>
      </c>
      <c r="J332" s="160">
        <f t="shared" si="10"/>
        <v>371.25</v>
      </c>
      <c r="K332" s="160">
        <f t="shared" si="11"/>
        <v>7796.25</v>
      </c>
      <c r="L332" s="13" t="s">
        <v>78</v>
      </c>
      <c r="P332">
        <v>1</v>
      </c>
    </row>
    <row r="333" spans="2:16" ht="17.25" hidden="1" customHeight="1" x14ac:dyDescent="0.25">
      <c r="B333" s="9" t="s">
        <v>398</v>
      </c>
      <c r="C333" s="10" t="s">
        <v>817</v>
      </c>
      <c r="D333" s="89">
        <v>45443</v>
      </c>
      <c r="E333" s="71" t="s">
        <v>418</v>
      </c>
      <c r="F333" s="9" t="s">
        <v>820</v>
      </c>
      <c r="G333" s="160">
        <v>1757.5</v>
      </c>
      <c r="H333" s="160"/>
      <c r="I333" s="160">
        <f t="shared" si="9"/>
        <v>1757.5</v>
      </c>
      <c r="J333" s="160">
        <f t="shared" si="10"/>
        <v>87.875</v>
      </c>
      <c r="K333" s="160">
        <f t="shared" si="11"/>
        <v>1845.375</v>
      </c>
      <c r="L333" s="13" t="s">
        <v>9</v>
      </c>
      <c r="P333">
        <v>1</v>
      </c>
    </row>
    <row r="334" spans="2:16" ht="17.25" hidden="1" customHeight="1" x14ac:dyDescent="0.25">
      <c r="B334" s="9" t="s">
        <v>203</v>
      </c>
      <c r="C334" s="10" t="s">
        <v>818</v>
      </c>
      <c r="D334" s="89">
        <v>45443</v>
      </c>
      <c r="E334" s="71" t="s">
        <v>418</v>
      </c>
      <c r="F334" s="9" t="s">
        <v>769</v>
      </c>
      <c r="G334" s="160">
        <v>356.4</v>
      </c>
      <c r="H334" s="160"/>
      <c r="I334" s="160">
        <f t="shared" ref="I334:I397" si="12">G334-H334</f>
        <v>356.4</v>
      </c>
      <c r="J334" s="160">
        <f t="shared" ref="J334:J397" si="13">G334*5%</f>
        <v>17.82</v>
      </c>
      <c r="K334" s="160">
        <f t="shared" ref="K334:K397" si="14">G334+J334</f>
        <v>374.21999999999997</v>
      </c>
      <c r="L334" s="13" t="s">
        <v>78</v>
      </c>
      <c r="P334">
        <v>1</v>
      </c>
    </row>
    <row r="335" spans="2:16" ht="17.25" hidden="1" customHeight="1" x14ac:dyDescent="0.25">
      <c r="B335" s="9" t="s">
        <v>29</v>
      </c>
      <c r="C335" s="10" t="s">
        <v>822</v>
      </c>
      <c r="D335" s="89">
        <v>45443</v>
      </c>
      <c r="E335" s="71" t="s">
        <v>128</v>
      </c>
      <c r="F335" s="9" t="s">
        <v>73</v>
      </c>
      <c r="G335" s="160">
        <v>124</v>
      </c>
      <c r="H335" s="160"/>
      <c r="I335" s="160">
        <f t="shared" si="12"/>
        <v>124</v>
      </c>
      <c r="J335" s="160">
        <f t="shared" si="13"/>
        <v>6.2</v>
      </c>
      <c r="K335" s="160">
        <f t="shared" si="14"/>
        <v>130.19999999999999</v>
      </c>
      <c r="L335" s="13" t="s">
        <v>9</v>
      </c>
      <c r="P335">
        <v>1</v>
      </c>
    </row>
    <row r="336" spans="2:16" ht="17.25" hidden="1" customHeight="1" x14ac:dyDescent="0.25">
      <c r="B336" s="9" t="s">
        <v>102</v>
      </c>
      <c r="C336" s="10" t="s">
        <v>823</v>
      </c>
      <c r="D336" s="89">
        <v>45443</v>
      </c>
      <c r="E336" s="94" t="s">
        <v>104</v>
      </c>
      <c r="F336" s="9" t="s">
        <v>824</v>
      </c>
      <c r="G336" s="160">
        <v>6020</v>
      </c>
      <c r="H336" s="160"/>
      <c r="I336" s="160">
        <f t="shared" si="12"/>
        <v>6020</v>
      </c>
      <c r="J336" s="160">
        <f t="shared" si="13"/>
        <v>301</v>
      </c>
      <c r="K336" s="160">
        <f t="shared" si="14"/>
        <v>6321</v>
      </c>
      <c r="L336" s="13" t="s">
        <v>9</v>
      </c>
      <c r="P336">
        <v>1</v>
      </c>
    </row>
    <row r="337" spans="1:17" ht="17.25" hidden="1" customHeight="1" x14ac:dyDescent="0.25">
      <c r="A337" s="148"/>
      <c r="B337" s="61" t="s">
        <v>102</v>
      </c>
      <c r="C337" s="62" t="s">
        <v>825</v>
      </c>
      <c r="D337" s="90">
        <v>45443</v>
      </c>
      <c r="E337" s="147" t="s">
        <v>104</v>
      </c>
      <c r="F337" s="61" t="s">
        <v>74</v>
      </c>
      <c r="G337" s="161" t="s">
        <v>74</v>
      </c>
      <c r="H337" s="161"/>
      <c r="I337" s="161" t="s">
        <v>74</v>
      </c>
      <c r="J337" s="161" t="s">
        <v>74</v>
      </c>
      <c r="K337" s="161" t="s">
        <v>74</v>
      </c>
      <c r="L337" s="64" t="s">
        <v>9</v>
      </c>
      <c r="M337" s="148"/>
      <c r="N337" s="148"/>
      <c r="O337" s="148"/>
      <c r="P337" s="148">
        <v>1</v>
      </c>
      <c r="Q337" s="148"/>
    </row>
    <row r="338" spans="1:17" ht="17.25" hidden="1" customHeight="1" x14ac:dyDescent="0.25">
      <c r="B338" s="9" t="s">
        <v>102</v>
      </c>
      <c r="C338" s="10" t="s">
        <v>827</v>
      </c>
      <c r="D338" s="89">
        <v>45443</v>
      </c>
      <c r="E338" s="94" t="s">
        <v>104</v>
      </c>
      <c r="F338" s="9" t="s">
        <v>828</v>
      </c>
      <c r="G338" s="160">
        <v>381.25</v>
      </c>
      <c r="H338" s="160"/>
      <c r="I338" s="160">
        <f t="shared" si="12"/>
        <v>381.25</v>
      </c>
      <c r="J338" s="160">
        <f t="shared" si="13"/>
        <v>19.0625</v>
      </c>
      <c r="K338" s="160">
        <f t="shared" si="14"/>
        <v>400.3125</v>
      </c>
      <c r="L338" s="13" t="s">
        <v>9</v>
      </c>
      <c r="P338">
        <v>1</v>
      </c>
    </row>
    <row r="339" spans="1:17" ht="17.25" hidden="1" customHeight="1" x14ac:dyDescent="0.25">
      <c r="B339" s="9" t="s">
        <v>102</v>
      </c>
      <c r="C339" s="10" t="s">
        <v>829</v>
      </c>
      <c r="D339" s="89">
        <v>45443</v>
      </c>
      <c r="E339" s="94" t="s">
        <v>104</v>
      </c>
      <c r="F339" s="9" t="s">
        <v>830</v>
      </c>
      <c r="G339" s="160">
        <v>187.5</v>
      </c>
      <c r="H339" s="160"/>
      <c r="I339" s="160">
        <f t="shared" si="12"/>
        <v>187.5</v>
      </c>
      <c r="J339" s="160">
        <f t="shared" si="13"/>
        <v>9.375</v>
      </c>
      <c r="K339" s="160">
        <f t="shared" si="14"/>
        <v>196.875</v>
      </c>
      <c r="L339" s="13" t="s">
        <v>9</v>
      </c>
      <c r="P339">
        <v>1</v>
      </c>
    </row>
    <row r="340" spans="1:17" ht="17.25" hidden="1" customHeight="1" x14ac:dyDescent="0.25">
      <c r="B340" s="9" t="s">
        <v>10</v>
      </c>
      <c r="C340" s="10" t="s">
        <v>831</v>
      </c>
      <c r="D340" s="89">
        <v>45443</v>
      </c>
      <c r="E340" s="94" t="s">
        <v>16</v>
      </c>
      <c r="F340" s="9" t="s">
        <v>832</v>
      </c>
      <c r="G340" s="160">
        <v>2550</v>
      </c>
      <c r="H340" s="160"/>
      <c r="I340" s="160">
        <f t="shared" si="12"/>
        <v>2550</v>
      </c>
      <c r="J340" s="160">
        <f t="shared" si="13"/>
        <v>127.5</v>
      </c>
      <c r="K340" s="160">
        <f t="shared" si="14"/>
        <v>2677.5</v>
      </c>
      <c r="L340" s="13" t="s">
        <v>9</v>
      </c>
      <c r="P340">
        <v>1</v>
      </c>
    </row>
    <row r="341" spans="1:17" ht="17.25" hidden="1" customHeight="1" x14ac:dyDescent="0.25">
      <c r="B341" s="95" t="s">
        <v>199</v>
      </c>
      <c r="C341" s="14" t="s">
        <v>833</v>
      </c>
      <c r="D341" s="93">
        <v>45450</v>
      </c>
      <c r="E341" s="94" t="s">
        <v>201</v>
      </c>
      <c r="F341" s="9" t="s">
        <v>834</v>
      </c>
      <c r="G341" s="160">
        <v>1233.75</v>
      </c>
      <c r="H341" s="160"/>
      <c r="I341" s="160">
        <f t="shared" si="12"/>
        <v>1233.75</v>
      </c>
      <c r="J341" s="160">
        <f t="shared" si="13"/>
        <v>61.6875</v>
      </c>
      <c r="K341" s="160">
        <f t="shared" si="14"/>
        <v>1295.4375</v>
      </c>
      <c r="L341" s="13" t="s">
        <v>78</v>
      </c>
      <c r="P341">
        <v>1</v>
      </c>
    </row>
    <row r="342" spans="1:17" ht="17.25" hidden="1" customHeight="1" x14ac:dyDescent="0.25">
      <c r="B342" s="9" t="s">
        <v>835</v>
      </c>
      <c r="C342" s="10" t="s">
        <v>836</v>
      </c>
      <c r="D342" s="89">
        <v>45447</v>
      </c>
      <c r="E342" s="71"/>
      <c r="F342" s="9" t="s">
        <v>95</v>
      </c>
      <c r="G342" s="160">
        <v>90</v>
      </c>
      <c r="H342" s="160"/>
      <c r="I342" s="160">
        <f t="shared" si="12"/>
        <v>90</v>
      </c>
      <c r="J342" s="160">
        <f t="shared" si="13"/>
        <v>4.5</v>
      </c>
      <c r="K342" s="160">
        <f t="shared" si="14"/>
        <v>94.5</v>
      </c>
      <c r="L342" s="13" t="s">
        <v>9</v>
      </c>
      <c r="P342">
        <v>1</v>
      </c>
    </row>
    <row r="343" spans="1:17" ht="17.25" hidden="1" customHeight="1" x14ac:dyDescent="0.25">
      <c r="B343" s="9" t="s">
        <v>10</v>
      </c>
      <c r="C343" s="10" t="s">
        <v>837</v>
      </c>
      <c r="D343" s="89">
        <v>45449</v>
      </c>
      <c r="E343" s="94" t="s">
        <v>104</v>
      </c>
      <c r="F343" s="9" t="s">
        <v>840</v>
      </c>
      <c r="G343" s="160">
        <v>705</v>
      </c>
      <c r="H343" s="160"/>
      <c r="I343" s="160">
        <f t="shared" si="12"/>
        <v>705</v>
      </c>
      <c r="J343" s="160">
        <f t="shared" si="13"/>
        <v>35.25</v>
      </c>
      <c r="K343" s="160">
        <f t="shared" si="14"/>
        <v>740.25</v>
      </c>
      <c r="L343" s="13" t="s">
        <v>9</v>
      </c>
      <c r="P343">
        <v>1</v>
      </c>
    </row>
    <row r="344" spans="1:17" ht="17.25" hidden="1" customHeight="1" x14ac:dyDescent="0.25">
      <c r="B344" s="9" t="s">
        <v>10</v>
      </c>
      <c r="C344" s="10" t="s">
        <v>838</v>
      </c>
      <c r="D344" s="89">
        <v>45449</v>
      </c>
      <c r="E344" s="94" t="s">
        <v>104</v>
      </c>
      <c r="F344" s="9" t="s">
        <v>841</v>
      </c>
      <c r="G344" s="160">
        <v>18962.5</v>
      </c>
      <c r="H344" s="160"/>
      <c r="I344" s="160">
        <f t="shared" si="12"/>
        <v>18962.5</v>
      </c>
      <c r="J344" s="160">
        <f t="shared" si="13"/>
        <v>948.125</v>
      </c>
      <c r="K344" s="160">
        <f t="shared" si="14"/>
        <v>19910.625</v>
      </c>
      <c r="L344" s="13" t="s">
        <v>9</v>
      </c>
      <c r="P344">
        <v>1</v>
      </c>
    </row>
    <row r="345" spans="1:17" ht="17.25" hidden="1" customHeight="1" x14ac:dyDescent="0.25">
      <c r="B345" s="9" t="s">
        <v>10</v>
      </c>
      <c r="C345" s="10" t="s">
        <v>839</v>
      </c>
      <c r="D345" s="89">
        <v>45449</v>
      </c>
      <c r="E345" s="94" t="s">
        <v>104</v>
      </c>
      <c r="F345" s="9" t="s">
        <v>842</v>
      </c>
      <c r="G345" s="160">
        <v>945</v>
      </c>
      <c r="H345" s="160"/>
      <c r="I345" s="160">
        <f t="shared" si="12"/>
        <v>945</v>
      </c>
      <c r="J345" s="160">
        <f t="shared" si="13"/>
        <v>47.25</v>
      </c>
      <c r="K345" s="160">
        <f t="shared" si="14"/>
        <v>992.25</v>
      </c>
      <c r="L345" s="13" t="s">
        <v>9</v>
      </c>
      <c r="P345">
        <v>1</v>
      </c>
    </row>
    <row r="346" spans="1:17" ht="17.25" hidden="1" customHeight="1" x14ac:dyDescent="0.25">
      <c r="B346" s="9" t="s">
        <v>122</v>
      </c>
      <c r="C346" s="10" t="s">
        <v>843</v>
      </c>
      <c r="D346" s="89">
        <v>45449</v>
      </c>
      <c r="E346" s="70" t="s">
        <v>74</v>
      </c>
      <c r="F346" s="9" t="s">
        <v>844</v>
      </c>
      <c r="G346" s="160">
        <v>2260</v>
      </c>
      <c r="H346" s="160"/>
      <c r="I346" s="160">
        <f t="shared" si="12"/>
        <v>2260</v>
      </c>
      <c r="J346" s="160">
        <f t="shared" si="13"/>
        <v>113</v>
      </c>
      <c r="K346" s="160">
        <f t="shared" si="14"/>
        <v>2373</v>
      </c>
      <c r="L346" s="13" t="s">
        <v>9</v>
      </c>
      <c r="P346">
        <v>1</v>
      </c>
    </row>
    <row r="347" spans="1:17" ht="17.25" hidden="1" customHeight="1" x14ac:dyDescent="0.25">
      <c r="B347" s="9" t="s">
        <v>10</v>
      </c>
      <c r="C347" s="10" t="s">
        <v>845</v>
      </c>
      <c r="D347" s="89">
        <v>45449</v>
      </c>
      <c r="E347" s="94" t="s">
        <v>104</v>
      </c>
      <c r="F347" s="9" t="s">
        <v>846</v>
      </c>
      <c r="G347" s="160">
        <v>4000</v>
      </c>
      <c r="H347" s="160"/>
      <c r="I347" s="160">
        <f t="shared" si="12"/>
        <v>4000</v>
      </c>
      <c r="J347" s="160">
        <f t="shared" si="13"/>
        <v>200</v>
      </c>
      <c r="K347" s="160">
        <f t="shared" si="14"/>
        <v>4200</v>
      </c>
      <c r="L347" s="13" t="s">
        <v>9</v>
      </c>
      <c r="P347">
        <v>1</v>
      </c>
    </row>
    <row r="348" spans="1:17" ht="17.25" hidden="1" customHeight="1" x14ac:dyDescent="0.25">
      <c r="B348" s="9" t="s">
        <v>114</v>
      </c>
      <c r="C348" s="10" t="s">
        <v>848</v>
      </c>
      <c r="D348" s="89">
        <v>45450</v>
      </c>
      <c r="E348" s="94" t="s">
        <v>115</v>
      </c>
      <c r="F348" s="9" t="s">
        <v>850</v>
      </c>
      <c r="G348" s="160">
        <v>1311</v>
      </c>
      <c r="H348" s="160"/>
      <c r="I348" s="160">
        <f t="shared" si="12"/>
        <v>1311</v>
      </c>
      <c r="J348" s="160">
        <f t="shared" si="13"/>
        <v>65.55</v>
      </c>
      <c r="K348" s="160">
        <f t="shared" si="14"/>
        <v>1376.55</v>
      </c>
      <c r="L348" s="13" t="s">
        <v>9</v>
      </c>
      <c r="P348">
        <v>1</v>
      </c>
    </row>
    <row r="349" spans="1:17" ht="17.25" hidden="1" customHeight="1" x14ac:dyDescent="0.25">
      <c r="B349" s="96" t="s">
        <v>203</v>
      </c>
      <c r="C349" s="97" t="s">
        <v>852</v>
      </c>
      <c r="D349" s="98">
        <v>45455</v>
      </c>
      <c r="E349" s="94" t="s">
        <v>851</v>
      </c>
      <c r="F349" s="96" t="s">
        <v>849</v>
      </c>
      <c r="G349" s="104">
        <v>358.75</v>
      </c>
      <c r="H349" s="160"/>
      <c r="I349" s="160">
        <f t="shared" si="12"/>
        <v>358.75</v>
      </c>
      <c r="J349" s="160">
        <f t="shared" si="13"/>
        <v>17.9375</v>
      </c>
      <c r="K349" s="160">
        <f t="shared" si="14"/>
        <v>376.6875</v>
      </c>
      <c r="L349" s="13" t="s">
        <v>78</v>
      </c>
      <c r="P349">
        <v>1</v>
      </c>
    </row>
    <row r="350" spans="1:17" ht="17.25" hidden="1" customHeight="1" x14ac:dyDescent="0.25">
      <c r="B350" s="9" t="s">
        <v>863</v>
      </c>
      <c r="C350" s="10" t="s">
        <v>1028</v>
      </c>
      <c r="D350" s="89">
        <v>45453</v>
      </c>
      <c r="E350" s="71" t="s">
        <v>854</v>
      </c>
      <c r="F350" s="9" t="s">
        <v>855</v>
      </c>
      <c r="G350" s="160">
        <v>367.5</v>
      </c>
      <c r="H350" s="160"/>
      <c r="I350" s="160">
        <f t="shared" si="12"/>
        <v>367.5</v>
      </c>
      <c r="J350" s="160">
        <f t="shared" si="13"/>
        <v>18.375</v>
      </c>
      <c r="K350" s="160">
        <f t="shared" si="14"/>
        <v>385.875</v>
      </c>
      <c r="L350" s="13" t="s">
        <v>9</v>
      </c>
      <c r="P350">
        <v>1</v>
      </c>
    </row>
    <row r="351" spans="1:17" ht="17.25" hidden="1" customHeight="1" x14ac:dyDescent="0.25">
      <c r="B351" s="9" t="s">
        <v>43</v>
      </c>
      <c r="C351" s="10" t="s">
        <v>856</v>
      </c>
      <c r="D351" s="89">
        <v>45453</v>
      </c>
      <c r="E351" s="71" t="s">
        <v>30</v>
      </c>
      <c r="F351" s="9" t="s">
        <v>857</v>
      </c>
      <c r="G351" s="160">
        <v>1788</v>
      </c>
      <c r="H351" s="160"/>
      <c r="I351" s="160">
        <f t="shared" si="12"/>
        <v>1788</v>
      </c>
      <c r="J351" s="160">
        <f t="shared" si="13"/>
        <v>89.4</v>
      </c>
      <c r="K351" s="160">
        <f t="shared" si="14"/>
        <v>1877.4</v>
      </c>
      <c r="L351" s="13" t="s">
        <v>9</v>
      </c>
      <c r="P351">
        <v>1</v>
      </c>
    </row>
    <row r="352" spans="1:17" ht="17.25" hidden="1" customHeight="1" x14ac:dyDescent="0.25">
      <c r="B352" s="9" t="s">
        <v>29</v>
      </c>
      <c r="C352" s="10" t="s">
        <v>873</v>
      </c>
      <c r="D352" s="89">
        <v>45456</v>
      </c>
      <c r="E352" s="71" t="s">
        <v>128</v>
      </c>
      <c r="F352" s="9" t="s">
        <v>874</v>
      </c>
      <c r="G352" s="160">
        <v>9397.5</v>
      </c>
      <c r="H352" s="160"/>
      <c r="I352" s="160">
        <f t="shared" si="12"/>
        <v>9397.5</v>
      </c>
      <c r="J352" s="160">
        <f t="shared" si="13"/>
        <v>469.875</v>
      </c>
      <c r="K352" s="160">
        <f t="shared" si="14"/>
        <v>9867.375</v>
      </c>
      <c r="L352" s="13" t="s">
        <v>9</v>
      </c>
      <c r="P352">
        <v>1</v>
      </c>
    </row>
    <row r="353" spans="2:16" ht="17.25" hidden="1" customHeight="1" x14ac:dyDescent="0.25">
      <c r="B353" s="9" t="s">
        <v>10</v>
      </c>
      <c r="C353" s="10" t="s">
        <v>875</v>
      </c>
      <c r="D353" s="89">
        <v>45455</v>
      </c>
      <c r="E353" s="71" t="s">
        <v>16</v>
      </c>
      <c r="F353" s="9" t="s">
        <v>880</v>
      </c>
      <c r="G353" s="160">
        <v>1345</v>
      </c>
      <c r="H353" s="160"/>
      <c r="I353" s="160">
        <f t="shared" si="12"/>
        <v>1345</v>
      </c>
      <c r="J353" s="160">
        <f t="shared" si="13"/>
        <v>67.25</v>
      </c>
      <c r="K353" s="160">
        <f t="shared" si="14"/>
        <v>1412.25</v>
      </c>
      <c r="L353" s="13" t="s">
        <v>9</v>
      </c>
      <c r="P353">
        <v>1</v>
      </c>
    </row>
    <row r="354" spans="2:16" ht="17.25" hidden="1" customHeight="1" x14ac:dyDescent="0.25">
      <c r="B354" s="9" t="s">
        <v>10</v>
      </c>
      <c r="C354" s="10" t="s">
        <v>876</v>
      </c>
      <c r="D354" s="89">
        <v>45455</v>
      </c>
      <c r="E354" s="71" t="s">
        <v>16</v>
      </c>
      <c r="F354" s="9" t="s">
        <v>881</v>
      </c>
      <c r="G354" s="160">
        <v>125</v>
      </c>
      <c r="H354" s="160"/>
      <c r="I354" s="160">
        <f t="shared" si="12"/>
        <v>125</v>
      </c>
      <c r="J354" s="160">
        <f t="shared" si="13"/>
        <v>6.25</v>
      </c>
      <c r="K354" s="160">
        <f t="shared" si="14"/>
        <v>131.25</v>
      </c>
      <c r="L354" s="13" t="s">
        <v>9</v>
      </c>
      <c r="P354">
        <v>1</v>
      </c>
    </row>
    <row r="355" spans="2:16" ht="17.25" hidden="1" customHeight="1" x14ac:dyDescent="0.25">
      <c r="B355" s="9" t="s">
        <v>10</v>
      </c>
      <c r="C355" s="10" t="s">
        <v>877</v>
      </c>
      <c r="D355" s="89">
        <v>45455</v>
      </c>
      <c r="E355" s="71" t="s">
        <v>16</v>
      </c>
      <c r="F355" s="9" t="s">
        <v>882</v>
      </c>
      <c r="G355" s="160">
        <v>925</v>
      </c>
      <c r="H355" s="160"/>
      <c r="I355" s="160">
        <f t="shared" si="12"/>
        <v>925</v>
      </c>
      <c r="J355" s="160">
        <f t="shared" si="13"/>
        <v>46.25</v>
      </c>
      <c r="K355" s="160">
        <f t="shared" si="14"/>
        <v>971.25</v>
      </c>
      <c r="L355" s="13" t="s">
        <v>9</v>
      </c>
      <c r="P355">
        <v>1</v>
      </c>
    </row>
    <row r="356" spans="2:16" ht="17.25" hidden="1" customHeight="1" x14ac:dyDescent="0.25">
      <c r="B356" s="9" t="s">
        <v>75</v>
      </c>
      <c r="C356" s="10" t="s">
        <v>878</v>
      </c>
      <c r="D356" s="89">
        <v>45457</v>
      </c>
      <c r="E356" s="71" t="s">
        <v>76</v>
      </c>
      <c r="F356" s="9" t="s">
        <v>883</v>
      </c>
      <c r="G356" s="160">
        <v>1695</v>
      </c>
      <c r="H356" s="160"/>
      <c r="I356" s="160">
        <f t="shared" si="12"/>
        <v>1695</v>
      </c>
      <c r="J356" s="160">
        <f t="shared" si="13"/>
        <v>84.75</v>
      </c>
      <c r="K356" s="160">
        <f t="shared" si="14"/>
        <v>1779.75</v>
      </c>
      <c r="L356" s="13" t="s">
        <v>78</v>
      </c>
      <c r="P356">
        <v>1</v>
      </c>
    </row>
    <row r="357" spans="2:16" ht="17.25" hidden="1" customHeight="1" x14ac:dyDescent="0.25">
      <c r="B357" s="9" t="s">
        <v>10</v>
      </c>
      <c r="C357" s="10" t="s">
        <v>879</v>
      </c>
      <c r="D357" s="89">
        <v>45455</v>
      </c>
      <c r="E357" s="71" t="s">
        <v>16</v>
      </c>
      <c r="F357" s="9" t="s">
        <v>884</v>
      </c>
      <c r="G357" s="160">
        <v>1344</v>
      </c>
      <c r="H357" s="160"/>
      <c r="I357" s="160">
        <f t="shared" si="12"/>
        <v>1344</v>
      </c>
      <c r="J357" s="160">
        <f t="shared" si="13"/>
        <v>67.2</v>
      </c>
      <c r="K357" s="160">
        <f t="shared" si="14"/>
        <v>1411.2</v>
      </c>
      <c r="L357" s="13" t="s">
        <v>9</v>
      </c>
      <c r="P357">
        <v>1</v>
      </c>
    </row>
    <row r="358" spans="2:16" ht="17.25" hidden="1" customHeight="1" x14ac:dyDescent="0.25">
      <c r="B358" s="9" t="s">
        <v>114</v>
      </c>
      <c r="C358" s="10" t="s">
        <v>885</v>
      </c>
      <c r="D358" s="89">
        <v>45450</v>
      </c>
      <c r="E358" s="71" t="s">
        <v>115</v>
      </c>
      <c r="F358" s="9" t="s">
        <v>598</v>
      </c>
      <c r="G358" s="160">
        <v>420</v>
      </c>
      <c r="H358" s="160"/>
      <c r="I358" s="160">
        <f t="shared" si="12"/>
        <v>420</v>
      </c>
      <c r="J358" s="160">
        <f t="shared" si="13"/>
        <v>21</v>
      </c>
      <c r="K358" s="160">
        <f t="shared" si="14"/>
        <v>441</v>
      </c>
      <c r="L358" s="13" t="s">
        <v>9</v>
      </c>
      <c r="P358">
        <v>1</v>
      </c>
    </row>
    <row r="359" spans="2:16" ht="17.25" hidden="1" customHeight="1" x14ac:dyDescent="0.25">
      <c r="B359" s="9" t="s">
        <v>102</v>
      </c>
      <c r="C359" s="10" t="s">
        <v>888</v>
      </c>
      <c r="D359" s="89">
        <v>45457</v>
      </c>
      <c r="E359" s="71" t="s">
        <v>104</v>
      </c>
      <c r="F359" s="9" t="s">
        <v>826</v>
      </c>
      <c r="G359" s="160">
        <v>160</v>
      </c>
      <c r="H359" s="160"/>
      <c r="I359" s="160">
        <f t="shared" si="12"/>
        <v>160</v>
      </c>
      <c r="J359" s="160">
        <f t="shared" si="13"/>
        <v>8</v>
      </c>
      <c r="K359" s="160">
        <f t="shared" si="14"/>
        <v>168</v>
      </c>
      <c r="L359" s="13" t="s">
        <v>9</v>
      </c>
      <c r="P359">
        <v>1</v>
      </c>
    </row>
    <row r="360" spans="2:16" ht="17.25" hidden="1" customHeight="1" x14ac:dyDescent="0.25">
      <c r="B360" s="9" t="s">
        <v>736</v>
      </c>
      <c r="C360" s="10" t="s">
        <v>889</v>
      </c>
      <c r="D360" s="89">
        <v>45462</v>
      </c>
      <c r="E360" s="70"/>
      <c r="F360" s="9" t="s">
        <v>598</v>
      </c>
      <c r="G360" s="160">
        <v>768</v>
      </c>
      <c r="H360" s="160"/>
      <c r="I360" s="160">
        <f t="shared" si="12"/>
        <v>768</v>
      </c>
      <c r="J360" s="160">
        <f t="shared" si="13"/>
        <v>38.400000000000006</v>
      </c>
      <c r="K360" s="160">
        <f t="shared" si="14"/>
        <v>806.4</v>
      </c>
      <c r="L360" s="13" t="s">
        <v>78</v>
      </c>
      <c r="P360">
        <v>1</v>
      </c>
    </row>
    <row r="361" spans="2:16" ht="17.25" hidden="1" customHeight="1" x14ac:dyDescent="0.25">
      <c r="B361" s="9" t="s">
        <v>81</v>
      </c>
      <c r="C361" s="10" t="s">
        <v>890</v>
      </c>
      <c r="D361" s="89">
        <v>45462</v>
      </c>
      <c r="E361" s="71" t="s">
        <v>898</v>
      </c>
      <c r="F361" s="9" t="s">
        <v>598</v>
      </c>
      <c r="G361" s="160">
        <v>375</v>
      </c>
      <c r="H361" s="160"/>
      <c r="I361" s="160">
        <f t="shared" si="12"/>
        <v>375</v>
      </c>
      <c r="J361" s="160">
        <f t="shared" si="13"/>
        <v>18.75</v>
      </c>
      <c r="K361" s="160">
        <f t="shared" si="14"/>
        <v>393.75</v>
      </c>
      <c r="L361" s="13" t="s">
        <v>78</v>
      </c>
      <c r="P361">
        <v>1</v>
      </c>
    </row>
    <row r="362" spans="2:16" ht="17.25" hidden="1" customHeight="1" x14ac:dyDescent="0.25">
      <c r="B362" s="9" t="s">
        <v>122</v>
      </c>
      <c r="C362" s="10" t="s">
        <v>892</v>
      </c>
      <c r="D362" s="89">
        <v>45462</v>
      </c>
      <c r="E362" s="71"/>
      <c r="F362" s="9" t="s">
        <v>899</v>
      </c>
      <c r="G362" s="160">
        <v>4185</v>
      </c>
      <c r="H362" s="160"/>
      <c r="I362" s="160">
        <f t="shared" si="12"/>
        <v>4185</v>
      </c>
      <c r="J362" s="160">
        <f t="shared" si="13"/>
        <v>209.25</v>
      </c>
      <c r="K362" s="160">
        <f t="shared" si="14"/>
        <v>4394.25</v>
      </c>
      <c r="L362" s="13" t="s">
        <v>9</v>
      </c>
      <c r="P362">
        <v>1</v>
      </c>
    </row>
    <row r="363" spans="2:16" ht="17.25" hidden="1" customHeight="1" x14ac:dyDescent="0.25">
      <c r="B363" t="s">
        <v>299</v>
      </c>
      <c r="C363" s="10" t="s">
        <v>893</v>
      </c>
      <c r="D363" s="89">
        <v>45462</v>
      </c>
      <c r="E363" s="71" t="s">
        <v>302</v>
      </c>
      <c r="F363" s="9" t="s">
        <v>900</v>
      </c>
      <c r="G363" s="160">
        <v>389.75</v>
      </c>
      <c r="H363" s="160"/>
      <c r="I363" s="160">
        <f t="shared" si="12"/>
        <v>389.75</v>
      </c>
      <c r="J363" s="160">
        <f t="shared" si="13"/>
        <v>19.487500000000001</v>
      </c>
      <c r="K363" s="160">
        <f t="shared" si="14"/>
        <v>409.23750000000001</v>
      </c>
      <c r="L363" s="13" t="s">
        <v>78</v>
      </c>
      <c r="P363">
        <v>1</v>
      </c>
    </row>
    <row r="364" spans="2:16" ht="17.25" hidden="1" customHeight="1" x14ac:dyDescent="0.25">
      <c r="B364" s="9" t="s">
        <v>29</v>
      </c>
      <c r="C364" s="10" t="s">
        <v>894</v>
      </c>
      <c r="D364" s="89">
        <v>45462</v>
      </c>
      <c r="E364" s="71" t="s">
        <v>128</v>
      </c>
      <c r="F364" s="9" t="s">
        <v>895</v>
      </c>
      <c r="G364" s="160">
        <v>24010</v>
      </c>
      <c r="H364" s="160"/>
      <c r="I364" s="160">
        <f t="shared" si="12"/>
        <v>24010</v>
      </c>
      <c r="J364" s="160">
        <f t="shared" si="13"/>
        <v>1200.5</v>
      </c>
      <c r="K364" s="160">
        <f t="shared" si="14"/>
        <v>25210.5</v>
      </c>
      <c r="L364" s="13" t="s">
        <v>9</v>
      </c>
      <c r="P364">
        <v>1</v>
      </c>
    </row>
    <row r="365" spans="2:16" ht="17.25" hidden="1" customHeight="1" x14ac:dyDescent="0.25">
      <c r="B365" t="s">
        <v>43</v>
      </c>
      <c r="C365" s="10" t="s">
        <v>896</v>
      </c>
      <c r="D365" s="89">
        <v>45462</v>
      </c>
      <c r="E365" s="71" t="s">
        <v>30</v>
      </c>
      <c r="F365" s="9" t="s">
        <v>901</v>
      </c>
      <c r="G365" s="160">
        <v>350</v>
      </c>
      <c r="H365" s="160"/>
      <c r="I365" s="160">
        <f t="shared" si="12"/>
        <v>350</v>
      </c>
      <c r="J365" s="160">
        <f t="shared" si="13"/>
        <v>17.5</v>
      </c>
      <c r="K365" s="160">
        <f t="shared" si="14"/>
        <v>367.5</v>
      </c>
      <c r="L365" s="13" t="s">
        <v>9</v>
      </c>
      <c r="P365">
        <v>1</v>
      </c>
    </row>
    <row r="366" spans="2:16" ht="17.25" hidden="1" customHeight="1" x14ac:dyDescent="0.25">
      <c r="B366" s="9" t="s">
        <v>736</v>
      </c>
      <c r="C366" s="10" t="s">
        <v>897</v>
      </c>
      <c r="D366" s="89">
        <v>45463</v>
      </c>
      <c r="E366" s="71"/>
      <c r="F366" s="9" t="s">
        <v>901</v>
      </c>
      <c r="G366" s="160">
        <v>125</v>
      </c>
      <c r="H366" s="160"/>
      <c r="I366" s="160">
        <f t="shared" si="12"/>
        <v>125</v>
      </c>
      <c r="J366" s="160">
        <f t="shared" si="13"/>
        <v>6.25</v>
      </c>
      <c r="K366" s="160">
        <f t="shared" si="14"/>
        <v>131.25</v>
      </c>
      <c r="L366" s="13" t="s">
        <v>78</v>
      </c>
      <c r="P366">
        <v>1</v>
      </c>
    </row>
    <row r="367" spans="2:16" ht="17.25" hidden="1" customHeight="1" x14ac:dyDescent="0.25">
      <c r="B367" s="9" t="s">
        <v>904</v>
      </c>
      <c r="C367" s="10" t="s">
        <v>902</v>
      </c>
      <c r="D367" s="89">
        <v>45462</v>
      </c>
      <c r="E367" s="70" t="s">
        <v>905</v>
      </c>
      <c r="F367" s="9" t="s">
        <v>906</v>
      </c>
      <c r="G367" s="160">
        <v>45667.08</v>
      </c>
      <c r="H367" s="160"/>
      <c r="I367" s="160">
        <f t="shared" si="12"/>
        <v>45667.08</v>
      </c>
      <c r="J367" s="160">
        <f t="shared" si="13"/>
        <v>2283.3540000000003</v>
      </c>
      <c r="K367" s="160">
        <f t="shared" si="14"/>
        <v>47950.434000000001</v>
      </c>
      <c r="L367" s="24" t="s">
        <v>78</v>
      </c>
      <c r="P367">
        <v>1</v>
      </c>
    </row>
    <row r="368" spans="2:16" ht="17.25" hidden="1" customHeight="1" x14ac:dyDescent="0.25">
      <c r="B368" s="9" t="s">
        <v>524</v>
      </c>
      <c r="C368" s="10" t="s">
        <v>903</v>
      </c>
      <c r="D368" s="89">
        <v>45462</v>
      </c>
      <c r="E368" s="71" t="s">
        <v>697</v>
      </c>
      <c r="F368" s="9" t="s">
        <v>907</v>
      </c>
      <c r="G368" s="160">
        <v>5935</v>
      </c>
      <c r="H368" s="160"/>
      <c r="I368" s="160">
        <f t="shared" si="12"/>
        <v>5935</v>
      </c>
      <c r="J368" s="160">
        <f t="shared" si="13"/>
        <v>296.75</v>
      </c>
      <c r="K368" s="160">
        <f t="shared" si="14"/>
        <v>6231.75</v>
      </c>
      <c r="L368" s="24" t="s">
        <v>9</v>
      </c>
      <c r="P368">
        <v>1</v>
      </c>
    </row>
    <row r="369" spans="2:16" ht="17.25" hidden="1" customHeight="1" x14ac:dyDescent="0.25">
      <c r="B369" s="9" t="s">
        <v>398</v>
      </c>
      <c r="C369" s="10" t="s">
        <v>908</v>
      </c>
      <c r="D369" s="89">
        <v>45463</v>
      </c>
      <c r="E369" s="71" t="s">
        <v>418</v>
      </c>
      <c r="F369" s="9" t="s">
        <v>910</v>
      </c>
      <c r="G369" s="160">
        <v>1325</v>
      </c>
      <c r="H369" s="160"/>
      <c r="I369" s="160">
        <f t="shared" si="12"/>
        <v>1325</v>
      </c>
      <c r="J369" s="160">
        <f t="shared" si="13"/>
        <v>66.25</v>
      </c>
      <c r="K369" s="160">
        <f t="shared" si="14"/>
        <v>1391.25</v>
      </c>
      <c r="L369" s="24" t="s">
        <v>9</v>
      </c>
      <c r="P369">
        <v>1</v>
      </c>
    </row>
    <row r="370" spans="2:16" ht="17.25" hidden="1" customHeight="1" x14ac:dyDescent="0.25">
      <c r="B370" t="s">
        <v>911</v>
      </c>
      <c r="C370" s="10" t="s">
        <v>909</v>
      </c>
      <c r="D370" s="89">
        <v>45463</v>
      </c>
      <c r="E370" s="71" t="s">
        <v>912</v>
      </c>
      <c r="F370" s="9" t="s">
        <v>913</v>
      </c>
      <c r="G370" s="160">
        <v>39130</v>
      </c>
      <c r="H370" s="160"/>
      <c r="I370" s="160">
        <f t="shared" si="12"/>
        <v>39130</v>
      </c>
      <c r="J370" s="160">
        <f t="shared" si="13"/>
        <v>1956.5</v>
      </c>
      <c r="K370" s="160">
        <f t="shared" si="14"/>
        <v>41086.5</v>
      </c>
      <c r="L370" s="25" t="s">
        <v>25</v>
      </c>
      <c r="P370">
        <v>1</v>
      </c>
    </row>
    <row r="371" spans="2:16" ht="17.25" hidden="1" customHeight="1" x14ac:dyDescent="0.25">
      <c r="B371" s="9" t="s">
        <v>10</v>
      </c>
      <c r="C371" s="10" t="s">
        <v>914</v>
      </c>
      <c r="D371" s="89">
        <v>45463</v>
      </c>
      <c r="E371" s="71" t="s">
        <v>79</v>
      </c>
      <c r="F371" s="9" t="s">
        <v>917</v>
      </c>
      <c r="G371" s="160">
        <v>15956.5</v>
      </c>
      <c r="H371" s="160"/>
      <c r="I371" s="160">
        <f t="shared" si="12"/>
        <v>15956.5</v>
      </c>
      <c r="J371" s="160">
        <f t="shared" si="13"/>
        <v>797.82500000000005</v>
      </c>
      <c r="K371" s="160">
        <f t="shared" si="14"/>
        <v>16754.325000000001</v>
      </c>
      <c r="L371" s="24" t="s">
        <v>9</v>
      </c>
      <c r="P371">
        <v>1</v>
      </c>
    </row>
    <row r="372" spans="2:16" ht="17.25" hidden="1" customHeight="1" x14ac:dyDescent="0.25">
      <c r="B372" t="s">
        <v>142</v>
      </c>
      <c r="C372" s="10" t="s">
        <v>915</v>
      </c>
      <c r="D372" s="89">
        <v>45463</v>
      </c>
      <c r="E372" s="71" t="s">
        <v>143</v>
      </c>
      <c r="F372" s="9" t="s">
        <v>918</v>
      </c>
      <c r="G372" s="160">
        <v>1790</v>
      </c>
      <c r="H372" s="160"/>
      <c r="I372" s="160">
        <f t="shared" si="12"/>
        <v>1790</v>
      </c>
      <c r="J372" s="160">
        <f t="shared" si="13"/>
        <v>89.5</v>
      </c>
      <c r="K372" s="160">
        <f t="shared" si="14"/>
        <v>1879.5</v>
      </c>
      <c r="L372" s="25" t="s">
        <v>9</v>
      </c>
      <c r="P372">
        <v>1</v>
      </c>
    </row>
    <row r="373" spans="2:16" ht="17.25" hidden="1" customHeight="1" x14ac:dyDescent="0.25">
      <c r="B373" s="9" t="s">
        <v>443</v>
      </c>
      <c r="C373" s="10" t="s">
        <v>916</v>
      </c>
      <c r="D373" s="89">
        <v>45465</v>
      </c>
      <c r="E373" s="71"/>
      <c r="F373" s="9" t="s">
        <v>919</v>
      </c>
      <c r="G373" s="160">
        <v>735</v>
      </c>
      <c r="H373" s="160"/>
      <c r="I373" s="160">
        <f t="shared" si="12"/>
        <v>735</v>
      </c>
      <c r="J373" s="160">
        <f t="shared" si="13"/>
        <v>36.75</v>
      </c>
      <c r="K373" s="160">
        <f t="shared" si="14"/>
        <v>771.75</v>
      </c>
      <c r="L373" s="24" t="s">
        <v>9</v>
      </c>
      <c r="P373">
        <v>1</v>
      </c>
    </row>
    <row r="374" spans="2:16" ht="17.25" hidden="1" customHeight="1" x14ac:dyDescent="0.25">
      <c r="B374" t="s">
        <v>886</v>
      </c>
      <c r="C374" s="10" t="s">
        <v>937</v>
      </c>
      <c r="D374" s="89">
        <v>45467</v>
      </c>
      <c r="E374" s="94" t="s">
        <v>887</v>
      </c>
      <c r="F374" s="9" t="s">
        <v>91</v>
      </c>
      <c r="G374" s="160">
        <v>4000</v>
      </c>
      <c r="H374" s="160"/>
      <c r="I374" s="160">
        <f t="shared" si="12"/>
        <v>4000</v>
      </c>
      <c r="J374" s="160">
        <f t="shared" si="13"/>
        <v>200</v>
      </c>
      <c r="K374" s="160">
        <f t="shared" si="14"/>
        <v>4200</v>
      </c>
      <c r="L374" s="13" t="s">
        <v>78</v>
      </c>
      <c r="P374">
        <v>1</v>
      </c>
    </row>
    <row r="375" spans="2:16" ht="17.25" hidden="1" customHeight="1" x14ac:dyDescent="0.25">
      <c r="B375" s="9" t="s">
        <v>10</v>
      </c>
      <c r="C375" s="10" t="s">
        <v>938</v>
      </c>
      <c r="D375" s="89">
        <v>45467</v>
      </c>
      <c r="E375" s="167" t="s">
        <v>79</v>
      </c>
      <c r="F375" s="9" t="s">
        <v>943</v>
      </c>
      <c r="G375" s="160">
        <v>1685</v>
      </c>
      <c r="H375" s="160"/>
      <c r="I375" s="160">
        <f t="shared" si="12"/>
        <v>1685</v>
      </c>
      <c r="J375" s="160">
        <f t="shared" si="13"/>
        <v>84.25</v>
      </c>
      <c r="K375" s="160">
        <f t="shared" si="14"/>
        <v>1769.25</v>
      </c>
      <c r="L375" s="13" t="s">
        <v>9</v>
      </c>
      <c r="P375">
        <v>1</v>
      </c>
    </row>
    <row r="376" spans="2:16" ht="17.25" hidden="1" customHeight="1" x14ac:dyDescent="0.25">
      <c r="B376" s="9" t="s">
        <v>10</v>
      </c>
      <c r="C376" s="10" t="s">
        <v>939</v>
      </c>
      <c r="D376" s="89">
        <v>45467</v>
      </c>
      <c r="E376" s="167" t="s">
        <v>79</v>
      </c>
      <c r="F376" s="9" t="s">
        <v>942</v>
      </c>
      <c r="G376" s="160">
        <v>575</v>
      </c>
      <c r="H376" s="160"/>
      <c r="I376" s="160">
        <f t="shared" si="12"/>
        <v>575</v>
      </c>
      <c r="J376" s="160">
        <f t="shared" si="13"/>
        <v>28.75</v>
      </c>
      <c r="K376" s="160">
        <f t="shared" si="14"/>
        <v>603.75</v>
      </c>
      <c r="L376" s="13" t="s">
        <v>9</v>
      </c>
      <c r="P376">
        <v>1</v>
      </c>
    </row>
    <row r="377" spans="2:16" ht="17.25" hidden="1" customHeight="1" x14ac:dyDescent="0.25">
      <c r="B377" s="9" t="s">
        <v>244</v>
      </c>
      <c r="C377" s="10" t="s">
        <v>940</v>
      </c>
      <c r="D377" s="89">
        <v>45467</v>
      </c>
      <c r="E377" s="71" t="s">
        <v>246</v>
      </c>
      <c r="F377" s="9" t="s">
        <v>941</v>
      </c>
      <c r="G377" s="160">
        <v>210</v>
      </c>
      <c r="H377" s="160"/>
      <c r="I377" s="160">
        <f t="shared" si="12"/>
        <v>210</v>
      </c>
      <c r="J377" s="160">
        <f t="shared" si="13"/>
        <v>10.5</v>
      </c>
      <c r="K377" s="160">
        <f t="shared" si="14"/>
        <v>220.5</v>
      </c>
      <c r="L377" s="13" t="s">
        <v>9</v>
      </c>
      <c r="P377">
        <v>1</v>
      </c>
    </row>
    <row r="378" spans="2:16" ht="17.25" hidden="1" customHeight="1" x14ac:dyDescent="0.25">
      <c r="B378" s="9" t="s">
        <v>515</v>
      </c>
      <c r="C378" s="10" t="s">
        <v>944</v>
      </c>
      <c r="D378" s="89">
        <v>45465</v>
      </c>
      <c r="E378" s="71" t="s">
        <v>733</v>
      </c>
      <c r="F378" s="9" t="s">
        <v>945</v>
      </c>
      <c r="G378" s="160">
        <v>1263.5</v>
      </c>
      <c r="H378" s="160"/>
      <c r="I378" s="160">
        <f t="shared" si="12"/>
        <v>1263.5</v>
      </c>
      <c r="J378" s="160">
        <f t="shared" si="13"/>
        <v>63.175000000000004</v>
      </c>
      <c r="K378" s="160">
        <f t="shared" si="14"/>
        <v>1326.675</v>
      </c>
      <c r="L378" s="13" t="s">
        <v>78</v>
      </c>
      <c r="P378">
        <v>1</v>
      </c>
    </row>
    <row r="379" spans="2:16" ht="17.25" hidden="1" customHeight="1" x14ac:dyDescent="0.25">
      <c r="B379" s="9" t="s">
        <v>10</v>
      </c>
      <c r="C379" s="10" t="s">
        <v>946</v>
      </c>
      <c r="D379" s="89">
        <v>45469</v>
      </c>
      <c r="E379" s="71" t="s">
        <v>16</v>
      </c>
      <c r="F379" s="9" t="s">
        <v>952</v>
      </c>
      <c r="G379" s="160">
        <v>3540</v>
      </c>
      <c r="H379" s="160"/>
      <c r="I379" s="160">
        <f t="shared" si="12"/>
        <v>3540</v>
      </c>
      <c r="J379" s="160">
        <f t="shared" si="13"/>
        <v>177</v>
      </c>
      <c r="K379" s="160">
        <f t="shared" si="14"/>
        <v>3717</v>
      </c>
      <c r="L379" s="13" t="s">
        <v>9</v>
      </c>
      <c r="P379">
        <v>1</v>
      </c>
    </row>
    <row r="380" spans="2:16" ht="17.25" hidden="1" customHeight="1" x14ac:dyDescent="0.25">
      <c r="B380" s="9" t="s">
        <v>10</v>
      </c>
      <c r="C380" s="10" t="s">
        <v>947</v>
      </c>
      <c r="D380" s="89">
        <v>45471</v>
      </c>
      <c r="E380" s="71" t="s">
        <v>16</v>
      </c>
      <c r="F380" s="9" t="s">
        <v>953</v>
      </c>
      <c r="G380" s="160">
        <v>450</v>
      </c>
      <c r="H380" s="160"/>
      <c r="I380" s="160">
        <f t="shared" si="12"/>
        <v>450</v>
      </c>
      <c r="J380" s="160">
        <f t="shared" si="13"/>
        <v>22.5</v>
      </c>
      <c r="K380" s="160">
        <f t="shared" si="14"/>
        <v>472.5</v>
      </c>
      <c r="L380" s="13" t="s">
        <v>9</v>
      </c>
      <c r="P380">
        <v>1</v>
      </c>
    </row>
    <row r="381" spans="2:16" ht="17.25" hidden="1" customHeight="1" x14ac:dyDescent="0.25">
      <c r="B381" s="9" t="s">
        <v>954</v>
      </c>
      <c r="C381" s="10" t="s">
        <v>948</v>
      </c>
      <c r="D381" s="89">
        <v>45471</v>
      </c>
      <c r="E381" s="71"/>
      <c r="F381" s="9" t="s">
        <v>955</v>
      </c>
      <c r="G381" s="160">
        <v>1875</v>
      </c>
      <c r="H381" s="160"/>
      <c r="I381" s="160">
        <f t="shared" si="12"/>
        <v>1875</v>
      </c>
      <c r="J381" s="160">
        <f t="shared" si="13"/>
        <v>93.75</v>
      </c>
      <c r="K381" s="160">
        <f t="shared" si="14"/>
        <v>1968.75</v>
      </c>
      <c r="L381" s="13" t="s">
        <v>9</v>
      </c>
      <c r="P381">
        <v>1</v>
      </c>
    </row>
    <row r="382" spans="2:16" ht="17.25" hidden="1" customHeight="1" x14ac:dyDescent="0.25">
      <c r="B382" s="9" t="s">
        <v>10</v>
      </c>
      <c r="C382" s="10" t="s">
        <v>949</v>
      </c>
      <c r="D382" s="89">
        <v>45472</v>
      </c>
      <c r="E382" s="71" t="s">
        <v>16</v>
      </c>
      <c r="F382" s="9" t="s">
        <v>956</v>
      </c>
      <c r="G382" s="160">
        <v>12576</v>
      </c>
      <c r="H382" s="160"/>
      <c r="I382" s="160">
        <f t="shared" si="12"/>
        <v>12576</v>
      </c>
      <c r="J382" s="160">
        <f t="shared" si="13"/>
        <v>628.80000000000007</v>
      </c>
      <c r="K382" s="160">
        <f t="shared" si="14"/>
        <v>13204.8</v>
      </c>
      <c r="L382" s="13" t="s">
        <v>9</v>
      </c>
      <c r="P382">
        <v>1</v>
      </c>
    </row>
    <row r="383" spans="2:16" ht="17.25" hidden="1" customHeight="1" x14ac:dyDescent="0.25">
      <c r="B383" s="9" t="s">
        <v>94</v>
      </c>
      <c r="C383" s="10" t="s">
        <v>950</v>
      </c>
      <c r="D383" s="89">
        <v>45471</v>
      </c>
      <c r="E383" s="71" t="s">
        <v>96</v>
      </c>
      <c r="F383" s="9" t="s">
        <v>95</v>
      </c>
      <c r="G383" s="160">
        <v>285</v>
      </c>
      <c r="H383" s="160"/>
      <c r="I383" s="160">
        <f t="shared" si="12"/>
        <v>285</v>
      </c>
      <c r="J383" s="160">
        <f t="shared" si="13"/>
        <v>14.25</v>
      </c>
      <c r="K383" s="160">
        <f t="shared" si="14"/>
        <v>299.25</v>
      </c>
      <c r="L383" s="13" t="s">
        <v>78</v>
      </c>
      <c r="P383">
        <v>1</v>
      </c>
    </row>
    <row r="384" spans="2:16" ht="17.25" hidden="1" customHeight="1" x14ac:dyDescent="0.25">
      <c r="B384" s="9" t="s">
        <v>957</v>
      </c>
      <c r="C384" s="10" t="s">
        <v>951</v>
      </c>
      <c r="D384" s="89">
        <v>45469</v>
      </c>
      <c r="E384" s="71" t="s">
        <v>958</v>
      </c>
      <c r="F384" s="9" t="s">
        <v>225</v>
      </c>
      <c r="G384" s="160">
        <v>285</v>
      </c>
      <c r="H384" s="160"/>
      <c r="I384" s="160">
        <f t="shared" si="12"/>
        <v>285</v>
      </c>
      <c r="J384" s="160">
        <f t="shared" si="13"/>
        <v>14.25</v>
      </c>
      <c r="K384" s="160">
        <f t="shared" si="14"/>
        <v>299.25</v>
      </c>
      <c r="L384" s="13" t="s">
        <v>1046</v>
      </c>
      <c r="P384">
        <v>1</v>
      </c>
    </row>
    <row r="385" spans="2:17" ht="17.25" hidden="1" customHeight="1" x14ac:dyDescent="0.25">
      <c r="B385" s="9" t="s">
        <v>29</v>
      </c>
      <c r="C385" s="10" t="s">
        <v>959</v>
      </c>
      <c r="D385" s="89">
        <v>45471</v>
      </c>
      <c r="E385" s="71" t="s">
        <v>128</v>
      </c>
      <c r="F385" s="9" t="s">
        <v>225</v>
      </c>
      <c r="G385" s="160">
        <v>275</v>
      </c>
      <c r="H385" s="160"/>
      <c r="I385" s="160">
        <f t="shared" si="12"/>
        <v>275</v>
      </c>
      <c r="J385" s="160">
        <f t="shared" si="13"/>
        <v>13.75</v>
      </c>
      <c r="K385" s="160">
        <f t="shared" si="14"/>
        <v>288.75</v>
      </c>
      <c r="L385" s="13" t="s">
        <v>9</v>
      </c>
      <c r="P385">
        <v>1</v>
      </c>
    </row>
    <row r="386" spans="2:17" ht="17.25" hidden="1" customHeight="1" x14ac:dyDescent="0.25">
      <c r="B386" s="9" t="s">
        <v>142</v>
      </c>
      <c r="C386" s="10" t="s">
        <v>960</v>
      </c>
      <c r="D386" s="89">
        <v>45469</v>
      </c>
      <c r="E386" s="71" t="s">
        <v>143</v>
      </c>
      <c r="F386" s="9" t="s">
        <v>962</v>
      </c>
      <c r="G386" s="160">
        <v>1296</v>
      </c>
      <c r="H386" s="160"/>
      <c r="I386" s="160">
        <f t="shared" si="12"/>
        <v>1296</v>
      </c>
      <c r="J386" s="160">
        <f t="shared" si="13"/>
        <v>64.8</v>
      </c>
      <c r="K386" s="160">
        <f t="shared" si="14"/>
        <v>1360.8</v>
      </c>
      <c r="L386" s="13" t="s">
        <v>9</v>
      </c>
      <c r="P386">
        <v>1</v>
      </c>
    </row>
    <row r="387" spans="2:17" ht="17.25" hidden="1" customHeight="1" x14ac:dyDescent="0.25">
      <c r="B387" s="9" t="s">
        <v>963</v>
      </c>
      <c r="C387" s="10" t="s">
        <v>961</v>
      </c>
      <c r="D387" s="89">
        <v>45470</v>
      </c>
      <c r="E387" s="70"/>
      <c r="F387" s="9" t="s">
        <v>964</v>
      </c>
      <c r="G387" s="160">
        <v>425</v>
      </c>
      <c r="H387" s="160"/>
      <c r="I387" s="160">
        <f t="shared" si="12"/>
        <v>425</v>
      </c>
      <c r="J387" s="160">
        <f t="shared" si="13"/>
        <v>21.25</v>
      </c>
      <c r="K387" s="160">
        <f t="shared" si="14"/>
        <v>446.25</v>
      </c>
      <c r="L387" s="13" t="s">
        <v>9</v>
      </c>
      <c r="P387">
        <v>1</v>
      </c>
    </row>
    <row r="388" spans="2:17" ht="17.25" hidden="1" customHeight="1" x14ac:dyDescent="0.25">
      <c r="B388" s="9" t="s">
        <v>515</v>
      </c>
      <c r="C388" s="10" t="s">
        <v>965</v>
      </c>
      <c r="D388" s="89">
        <v>45470</v>
      </c>
      <c r="E388" s="70">
        <v>100267612800003</v>
      </c>
      <c r="F388" s="9" t="s">
        <v>974</v>
      </c>
      <c r="G388" s="160">
        <v>2125</v>
      </c>
      <c r="H388" s="160"/>
      <c r="I388" s="160">
        <f t="shared" si="12"/>
        <v>2125</v>
      </c>
      <c r="J388" s="160">
        <f t="shared" si="13"/>
        <v>106.25</v>
      </c>
      <c r="K388" s="160">
        <f t="shared" si="14"/>
        <v>2231.25</v>
      </c>
      <c r="L388" s="13" t="s">
        <v>78</v>
      </c>
      <c r="P388">
        <v>1</v>
      </c>
    </row>
    <row r="389" spans="2:17" ht="17.25" hidden="1" customHeight="1" x14ac:dyDescent="0.25">
      <c r="B389" s="9" t="s">
        <v>100</v>
      </c>
      <c r="C389" s="10" t="s">
        <v>966</v>
      </c>
      <c r="D389" s="89">
        <v>45470</v>
      </c>
      <c r="E389" s="70"/>
      <c r="F389" s="9" t="s">
        <v>975</v>
      </c>
      <c r="G389" s="160">
        <v>820</v>
      </c>
      <c r="H389" s="160"/>
      <c r="I389" s="160">
        <f t="shared" si="12"/>
        <v>820</v>
      </c>
      <c r="J389" s="160">
        <f t="shared" si="13"/>
        <v>41</v>
      </c>
      <c r="K389" s="160">
        <f t="shared" si="14"/>
        <v>861</v>
      </c>
      <c r="L389" s="13" t="s">
        <v>9</v>
      </c>
      <c r="P389">
        <v>1</v>
      </c>
    </row>
    <row r="390" spans="2:17" ht="17.25" hidden="1" customHeight="1" x14ac:dyDescent="0.25">
      <c r="B390" s="9" t="s">
        <v>81</v>
      </c>
      <c r="C390" s="10" t="s">
        <v>967</v>
      </c>
      <c r="D390" s="89">
        <v>45471</v>
      </c>
      <c r="E390" s="71" t="s">
        <v>82</v>
      </c>
      <c r="F390" s="9" t="s">
        <v>225</v>
      </c>
      <c r="G390" s="160">
        <v>495</v>
      </c>
      <c r="H390" s="160"/>
      <c r="I390" s="160">
        <f t="shared" si="12"/>
        <v>495</v>
      </c>
      <c r="J390" s="160">
        <f t="shared" si="13"/>
        <v>24.75</v>
      </c>
      <c r="K390" s="160">
        <f t="shared" si="14"/>
        <v>519.75</v>
      </c>
      <c r="L390" s="13" t="s">
        <v>78</v>
      </c>
      <c r="P390">
        <v>1</v>
      </c>
    </row>
    <row r="391" spans="2:17" ht="17.25" hidden="1" customHeight="1" x14ac:dyDescent="0.25">
      <c r="B391" s="9" t="s">
        <v>664</v>
      </c>
      <c r="C391" s="10" t="s">
        <v>968</v>
      </c>
      <c r="D391" s="89">
        <v>45470</v>
      </c>
      <c r="E391" s="71" t="s">
        <v>237</v>
      </c>
      <c r="F391" s="9" t="s">
        <v>976</v>
      </c>
      <c r="G391" s="160">
        <v>60</v>
      </c>
      <c r="H391" s="160"/>
      <c r="I391" s="160">
        <f t="shared" si="12"/>
        <v>60</v>
      </c>
      <c r="J391" s="160">
        <f t="shared" si="13"/>
        <v>3</v>
      </c>
      <c r="K391" s="160">
        <f t="shared" si="14"/>
        <v>63</v>
      </c>
      <c r="L391" s="13" t="s">
        <v>9</v>
      </c>
      <c r="P391">
        <v>1</v>
      </c>
    </row>
    <row r="392" spans="2:17" ht="17.25" hidden="1" customHeight="1" x14ac:dyDescent="0.25">
      <c r="B392" s="9" t="s">
        <v>666</v>
      </c>
      <c r="C392" s="10" t="s">
        <v>969</v>
      </c>
      <c r="D392" s="89">
        <v>45470</v>
      </c>
      <c r="E392" s="71" t="s">
        <v>237</v>
      </c>
      <c r="F392" s="9" t="s">
        <v>976</v>
      </c>
      <c r="G392" s="160">
        <v>30</v>
      </c>
      <c r="H392" s="160"/>
      <c r="I392" s="160">
        <f t="shared" si="12"/>
        <v>30</v>
      </c>
      <c r="J392" s="160">
        <f t="shared" si="13"/>
        <v>1.5</v>
      </c>
      <c r="K392" s="160">
        <f t="shared" si="14"/>
        <v>31.5</v>
      </c>
      <c r="L392" s="13" t="s">
        <v>9</v>
      </c>
      <c r="P392">
        <v>1</v>
      </c>
    </row>
    <row r="393" spans="2:17" ht="17.25" hidden="1" customHeight="1" x14ac:dyDescent="0.25">
      <c r="B393" s="9" t="s">
        <v>644</v>
      </c>
      <c r="C393" s="10" t="s">
        <v>970</v>
      </c>
      <c r="D393" s="89">
        <v>45473</v>
      </c>
      <c r="E393" s="71" t="s">
        <v>645</v>
      </c>
      <c r="F393" s="9" t="s">
        <v>646</v>
      </c>
      <c r="G393" s="160">
        <v>459.52</v>
      </c>
      <c r="H393" s="160"/>
      <c r="I393" s="160">
        <f t="shared" si="12"/>
        <v>459.52</v>
      </c>
      <c r="J393" s="160">
        <f t="shared" si="13"/>
        <v>22.975999999999999</v>
      </c>
      <c r="K393" s="160">
        <f t="shared" si="14"/>
        <v>482.49599999999998</v>
      </c>
      <c r="L393" s="13" t="s">
        <v>9</v>
      </c>
      <c r="P393">
        <v>1</v>
      </c>
    </row>
    <row r="394" spans="2:17" ht="17.25" hidden="1" customHeight="1" x14ac:dyDescent="0.25">
      <c r="B394" s="9" t="s">
        <v>75</v>
      </c>
      <c r="C394" s="10" t="s">
        <v>971</v>
      </c>
      <c r="D394" s="89">
        <v>45470</v>
      </c>
      <c r="E394" s="71" t="s">
        <v>978</v>
      </c>
      <c r="F394" s="9" t="s">
        <v>979</v>
      </c>
      <c r="G394" s="160">
        <v>8375</v>
      </c>
      <c r="H394" s="160"/>
      <c r="I394" s="160">
        <f t="shared" si="12"/>
        <v>8375</v>
      </c>
      <c r="J394" s="160">
        <f t="shared" si="13"/>
        <v>418.75</v>
      </c>
      <c r="K394" s="160">
        <f t="shared" si="14"/>
        <v>8793.75</v>
      </c>
      <c r="L394" s="13" t="s">
        <v>78</v>
      </c>
      <c r="P394">
        <v>1</v>
      </c>
    </row>
    <row r="395" spans="2:17" ht="17.25" hidden="1" customHeight="1" x14ac:dyDescent="0.25">
      <c r="B395" s="9" t="s">
        <v>980</v>
      </c>
      <c r="C395" s="10" t="s">
        <v>972</v>
      </c>
      <c r="D395" s="89">
        <v>45471</v>
      </c>
      <c r="E395" s="71" t="s">
        <v>981</v>
      </c>
      <c r="F395" s="9" t="s">
        <v>982</v>
      </c>
      <c r="G395" s="160">
        <v>10930</v>
      </c>
      <c r="H395" s="160"/>
      <c r="I395" s="160">
        <f t="shared" si="12"/>
        <v>10930</v>
      </c>
      <c r="J395" s="160">
        <f t="shared" si="13"/>
        <v>546.5</v>
      </c>
      <c r="K395" s="160">
        <f t="shared" si="14"/>
        <v>11476.5</v>
      </c>
      <c r="L395" s="13" t="s">
        <v>78</v>
      </c>
      <c r="P395">
        <v>1</v>
      </c>
    </row>
    <row r="396" spans="2:17" ht="17.25" hidden="1" customHeight="1" x14ac:dyDescent="0.25">
      <c r="B396" s="9" t="s">
        <v>990</v>
      </c>
      <c r="C396" s="10" t="s">
        <v>973</v>
      </c>
      <c r="D396" s="89">
        <v>45471</v>
      </c>
      <c r="E396" s="71" t="s">
        <v>991</v>
      </c>
      <c r="F396" s="9" t="s">
        <v>95</v>
      </c>
      <c r="G396" s="160">
        <v>235</v>
      </c>
      <c r="H396" s="160"/>
      <c r="I396" s="160">
        <f t="shared" si="12"/>
        <v>235</v>
      </c>
      <c r="J396" s="160">
        <f t="shared" si="13"/>
        <v>11.75</v>
      </c>
      <c r="K396" s="160">
        <f t="shared" si="14"/>
        <v>246.75</v>
      </c>
      <c r="L396" s="13" t="s">
        <v>78</v>
      </c>
      <c r="P396">
        <v>1</v>
      </c>
    </row>
    <row r="397" spans="2:17" ht="17.25" hidden="1" customHeight="1" x14ac:dyDescent="0.25">
      <c r="B397" s="9" t="s">
        <v>10</v>
      </c>
      <c r="C397" s="10" t="s">
        <v>984</v>
      </c>
      <c r="D397" s="89">
        <v>45470</v>
      </c>
      <c r="E397" s="70" t="s">
        <v>992</v>
      </c>
      <c r="F397" s="9" t="s">
        <v>993</v>
      </c>
      <c r="G397" s="160">
        <v>565</v>
      </c>
      <c r="H397" s="160"/>
      <c r="I397" s="160">
        <f t="shared" si="12"/>
        <v>565</v>
      </c>
      <c r="J397" s="160">
        <f t="shared" si="13"/>
        <v>28.25</v>
      </c>
      <c r="K397" s="160">
        <f t="shared" si="14"/>
        <v>593.25</v>
      </c>
      <c r="L397" s="13" t="s">
        <v>9</v>
      </c>
      <c r="P397">
        <v>1</v>
      </c>
    </row>
    <row r="398" spans="2:17" ht="17.25" hidden="1" customHeight="1" x14ac:dyDescent="0.25">
      <c r="B398" s="9" t="s">
        <v>515</v>
      </c>
      <c r="C398" s="10" t="s">
        <v>985</v>
      </c>
      <c r="D398" s="89">
        <v>45471</v>
      </c>
      <c r="E398" s="71" t="s">
        <v>733</v>
      </c>
      <c r="F398" s="9" t="s">
        <v>994</v>
      </c>
      <c r="G398" s="160">
        <v>20950</v>
      </c>
      <c r="H398" s="160"/>
      <c r="I398" s="160">
        <f t="shared" ref="I398:I461" si="15">G398-H398</f>
        <v>20950</v>
      </c>
      <c r="J398" s="160">
        <f t="shared" ref="J398:J461" si="16">G398*5%</f>
        <v>1047.5</v>
      </c>
      <c r="K398" s="160">
        <f t="shared" ref="K398:K461" si="17">G398+J398</f>
        <v>21997.5</v>
      </c>
      <c r="L398" s="13" t="s">
        <v>78</v>
      </c>
      <c r="P398">
        <v>1</v>
      </c>
      <c r="Q398" s="42"/>
    </row>
    <row r="399" spans="2:17" ht="17.25" hidden="1" customHeight="1" x14ac:dyDescent="0.25">
      <c r="B399" s="9" t="s">
        <v>980</v>
      </c>
      <c r="C399" s="10" t="s">
        <v>986</v>
      </c>
      <c r="D399" s="89">
        <v>45471</v>
      </c>
      <c r="E399" s="71" t="s">
        <v>981</v>
      </c>
      <c r="F399" s="9" t="s">
        <v>996</v>
      </c>
      <c r="G399" s="160">
        <v>212.25</v>
      </c>
      <c r="H399" s="160"/>
      <c r="I399" s="160">
        <f t="shared" si="15"/>
        <v>212.25</v>
      </c>
      <c r="J399" s="160">
        <f t="shared" si="16"/>
        <v>10.612500000000001</v>
      </c>
      <c r="K399" s="160">
        <f t="shared" si="17"/>
        <v>222.86250000000001</v>
      </c>
      <c r="L399" s="13" t="s">
        <v>78</v>
      </c>
      <c r="P399">
        <v>1</v>
      </c>
      <c r="Q399" s="177" t="s">
        <v>995</v>
      </c>
    </row>
    <row r="400" spans="2:17" ht="17.25" hidden="1" customHeight="1" x14ac:dyDescent="0.25">
      <c r="B400" s="61" t="s">
        <v>983</v>
      </c>
      <c r="C400" s="62" t="s">
        <v>987</v>
      </c>
      <c r="D400" s="90">
        <v>45471</v>
      </c>
      <c r="E400" s="99" t="s">
        <v>989</v>
      </c>
      <c r="F400" s="61" t="s">
        <v>988</v>
      </c>
      <c r="G400" s="161">
        <v>0</v>
      </c>
      <c r="H400" s="161"/>
      <c r="I400" s="161">
        <v>0</v>
      </c>
      <c r="J400" s="161">
        <f t="shared" si="16"/>
        <v>0</v>
      </c>
      <c r="K400" s="161">
        <v>0</v>
      </c>
      <c r="L400" s="64" t="s">
        <v>1071</v>
      </c>
      <c r="P400">
        <v>1</v>
      </c>
    </row>
    <row r="401" spans="2:16" ht="17.25" hidden="1" customHeight="1" x14ac:dyDescent="0.25">
      <c r="B401" s="9" t="s">
        <v>10</v>
      </c>
      <c r="C401" s="10" t="s">
        <v>997</v>
      </c>
      <c r="D401" s="89">
        <v>45473</v>
      </c>
      <c r="E401" s="71" t="s">
        <v>16</v>
      </c>
      <c r="F401" s="179" t="s">
        <v>1001</v>
      </c>
      <c r="G401" s="160">
        <v>11212.5</v>
      </c>
      <c r="H401" s="160"/>
      <c r="I401" s="160">
        <f t="shared" si="15"/>
        <v>11212.5</v>
      </c>
      <c r="J401" s="160">
        <f t="shared" si="16"/>
        <v>560.625</v>
      </c>
      <c r="K401" s="160">
        <f t="shared" si="17"/>
        <v>11773.125</v>
      </c>
      <c r="L401" s="13" t="s">
        <v>9</v>
      </c>
      <c r="P401">
        <v>1</v>
      </c>
    </row>
    <row r="402" spans="2:16" ht="17.25" hidden="1" customHeight="1" x14ac:dyDescent="0.25">
      <c r="B402" s="9" t="s">
        <v>954</v>
      </c>
      <c r="C402" s="10" t="s">
        <v>998</v>
      </c>
      <c r="D402" s="89">
        <v>45471</v>
      </c>
      <c r="E402" s="70"/>
      <c r="F402" s="9" t="s">
        <v>1002</v>
      </c>
      <c r="G402" s="160">
        <v>2642.5</v>
      </c>
      <c r="H402" s="160"/>
      <c r="I402" s="160">
        <f t="shared" si="15"/>
        <v>2642.5</v>
      </c>
      <c r="J402" s="160">
        <f t="shared" si="16"/>
        <v>132.125</v>
      </c>
      <c r="K402" s="160">
        <f t="shared" si="17"/>
        <v>2774.625</v>
      </c>
      <c r="L402" s="13" t="s">
        <v>9</v>
      </c>
      <c r="P402">
        <v>1</v>
      </c>
    </row>
    <row r="403" spans="2:16" ht="17.25" hidden="1" customHeight="1" x14ac:dyDescent="0.25">
      <c r="B403" s="9" t="s">
        <v>10</v>
      </c>
      <c r="C403" s="10" t="s">
        <v>999</v>
      </c>
      <c r="D403" s="89">
        <v>45473</v>
      </c>
      <c r="E403" s="71" t="s">
        <v>16</v>
      </c>
      <c r="F403" s="179" t="s">
        <v>956</v>
      </c>
      <c r="G403" s="160">
        <v>491.25</v>
      </c>
      <c r="H403" s="160"/>
      <c r="I403" s="160">
        <f t="shared" si="15"/>
        <v>491.25</v>
      </c>
      <c r="J403" s="160">
        <f t="shared" si="16"/>
        <v>24.5625</v>
      </c>
      <c r="K403" s="160">
        <f t="shared" si="17"/>
        <v>515.8125</v>
      </c>
      <c r="L403" s="13" t="s">
        <v>9</v>
      </c>
      <c r="P403">
        <v>1</v>
      </c>
    </row>
    <row r="404" spans="2:16" ht="17.25" customHeight="1" x14ac:dyDescent="0.25">
      <c r="B404" s="9" t="s">
        <v>409</v>
      </c>
      <c r="C404" s="10" t="s">
        <v>1000</v>
      </c>
      <c r="D404" s="89">
        <v>45471</v>
      </c>
      <c r="E404" s="71" t="s">
        <v>181</v>
      </c>
      <c r="F404" s="9" t="s">
        <v>1003</v>
      </c>
      <c r="G404" s="160">
        <v>485</v>
      </c>
      <c r="H404" s="160"/>
      <c r="I404" s="160">
        <f t="shared" si="15"/>
        <v>485</v>
      </c>
      <c r="J404" s="160">
        <f t="shared" si="16"/>
        <v>24.25</v>
      </c>
      <c r="K404" s="160">
        <f t="shared" si="17"/>
        <v>509.25</v>
      </c>
      <c r="L404" s="13" t="s">
        <v>78</v>
      </c>
      <c r="P404">
        <v>1</v>
      </c>
    </row>
    <row r="405" spans="2:16" ht="17.25" hidden="1" customHeight="1" x14ac:dyDescent="0.25">
      <c r="B405" s="9" t="s">
        <v>10</v>
      </c>
      <c r="C405" s="10" t="s">
        <v>1004</v>
      </c>
      <c r="D405" s="89">
        <v>45473</v>
      </c>
      <c r="E405" s="71" t="s">
        <v>16</v>
      </c>
      <c r="F405" s="9" t="s">
        <v>1005</v>
      </c>
      <c r="G405" s="160">
        <v>1225</v>
      </c>
      <c r="H405" s="160"/>
      <c r="I405" s="160">
        <f t="shared" si="15"/>
        <v>1225</v>
      </c>
      <c r="J405" s="160">
        <f t="shared" si="16"/>
        <v>61.25</v>
      </c>
      <c r="K405" s="160">
        <f t="shared" si="17"/>
        <v>1286.25</v>
      </c>
      <c r="L405" s="13" t="s">
        <v>9</v>
      </c>
      <c r="P405">
        <v>1</v>
      </c>
    </row>
    <row r="406" spans="2:16" ht="17.25" hidden="1" customHeight="1" x14ac:dyDescent="0.25">
      <c r="B406" s="9" t="s">
        <v>1006</v>
      </c>
      <c r="C406" s="10" t="s">
        <v>1007</v>
      </c>
      <c r="D406" s="89">
        <v>45473</v>
      </c>
      <c r="E406" s="70"/>
      <c r="F406" s="9" t="s">
        <v>1008</v>
      </c>
      <c r="G406" s="160">
        <v>714.29</v>
      </c>
      <c r="H406" s="160"/>
      <c r="I406" s="160">
        <f t="shared" si="15"/>
        <v>714.29</v>
      </c>
      <c r="J406" s="160">
        <f t="shared" si="16"/>
        <v>35.714500000000001</v>
      </c>
      <c r="K406" s="160">
        <f t="shared" si="17"/>
        <v>750.00450000000001</v>
      </c>
      <c r="L406" s="13" t="s">
        <v>1046</v>
      </c>
      <c r="P406">
        <v>1</v>
      </c>
    </row>
    <row r="407" spans="2:16" ht="17.25" hidden="1" customHeight="1" x14ac:dyDescent="0.25">
      <c r="B407" s="9" t="s">
        <v>524</v>
      </c>
      <c r="C407" s="10" t="s">
        <v>1009</v>
      </c>
      <c r="D407" s="89">
        <v>45476</v>
      </c>
      <c r="E407" s="71" t="s">
        <v>1010</v>
      </c>
      <c r="F407" s="9" t="s">
        <v>1011</v>
      </c>
      <c r="G407" s="160">
        <v>485</v>
      </c>
      <c r="H407" s="160"/>
      <c r="I407" s="160">
        <f t="shared" si="15"/>
        <v>485</v>
      </c>
      <c r="J407" s="160">
        <f t="shared" si="16"/>
        <v>24.25</v>
      </c>
      <c r="K407" s="160">
        <f t="shared" si="17"/>
        <v>509.25</v>
      </c>
      <c r="L407" s="13" t="s">
        <v>9</v>
      </c>
      <c r="P407">
        <v>1</v>
      </c>
    </row>
    <row r="408" spans="2:16" ht="17.25" hidden="1" customHeight="1" x14ac:dyDescent="0.25">
      <c r="B408" s="9" t="s">
        <v>122</v>
      </c>
      <c r="C408" s="10" t="s">
        <v>1012</v>
      </c>
      <c r="D408" s="89">
        <v>45476</v>
      </c>
      <c r="E408" s="70"/>
      <c r="F408" s="9" t="s">
        <v>1015</v>
      </c>
      <c r="G408" s="160">
        <v>275</v>
      </c>
      <c r="H408" s="160"/>
      <c r="I408" s="160">
        <f t="shared" si="15"/>
        <v>275</v>
      </c>
      <c r="J408" s="160">
        <f t="shared" si="16"/>
        <v>13.75</v>
      </c>
      <c r="K408" s="160">
        <f t="shared" si="17"/>
        <v>288.75</v>
      </c>
      <c r="L408" s="13" t="s">
        <v>9</v>
      </c>
      <c r="P408">
        <v>1</v>
      </c>
    </row>
    <row r="409" spans="2:16" ht="17.25" hidden="1" customHeight="1" x14ac:dyDescent="0.25">
      <c r="B409" s="9" t="s">
        <v>1016</v>
      </c>
      <c r="C409" s="10" t="s">
        <v>1013</v>
      </c>
      <c r="D409" s="89">
        <v>45475</v>
      </c>
      <c r="E409" s="70"/>
      <c r="F409" s="9" t="s">
        <v>1017</v>
      </c>
      <c r="G409" s="160">
        <v>200</v>
      </c>
      <c r="H409" s="160"/>
      <c r="I409" s="160">
        <f t="shared" si="15"/>
        <v>200</v>
      </c>
      <c r="J409" s="160">
        <f t="shared" si="16"/>
        <v>10</v>
      </c>
      <c r="K409" s="160">
        <f t="shared" si="17"/>
        <v>210</v>
      </c>
      <c r="L409" s="13" t="s">
        <v>9</v>
      </c>
      <c r="P409">
        <v>1</v>
      </c>
    </row>
    <row r="410" spans="2:16" ht="17.25" hidden="1" customHeight="1" x14ac:dyDescent="0.25">
      <c r="B410" s="9" t="s">
        <v>1018</v>
      </c>
      <c r="C410" s="10" t="s">
        <v>1014</v>
      </c>
      <c r="D410" s="89">
        <v>45475</v>
      </c>
      <c r="E410" s="70"/>
      <c r="F410" s="9" t="s">
        <v>855</v>
      </c>
      <c r="G410" s="160">
        <v>1243.75</v>
      </c>
      <c r="H410" s="160"/>
      <c r="I410" s="160">
        <f t="shared" si="15"/>
        <v>1243.75</v>
      </c>
      <c r="J410" s="160">
        <f t="shared" si="16"/>
        <v>62.1875</v>
      </c>
      <c r="K410" s="160">
        <f t="shared" si="17"/>
        <v>1305.9375</v>
      </c>
      <c r="L410" s="13" t="s">
        <v>78</v>
      </c>
      <c r="P410">
        <v>1</v>
      </c>
    </row>
    <row r="411" spans="2:16" ht="17.25" hidden="1" customHeight="1" x14ac:dyDescent="0.25">
      <c r="B411" s="9" t="s">
        <v>736</v>
      </c>
      <c r="C411" s="10" t="s">
        <v>1020</v>
      </c>
      <c r="D411" s="89">
        <v>45476</v>
      </c>
      <c r="E411" s="70"/>
      <c r="F411" s="9" t="s">
        <v>95</v>
      </c>
      <c r="G411" s="160">
        <v>175</v>
      </c>
      <c r="H411" s="160"/>
      <c r="I411" s="160">
        <f t="shared" si="15"/>
        <v>175</v>
      </c>
      <c r="J411" s="160">
        <f t="shared" si="16"/>
        <v>8.75</v>
      </c>
      <c r="K411" s="160">
        <f t="shared" si="17"/>
        <v>183.75</v>
      </c>
      <c r="L411" s="13" t="s">
        <v>78</v>
      </c>
      <c r="P411">
        <v>1</v>
      </c>
    </row>
    <row r="412" spans="2:16" ht="17.25" hidden="1" customHeight="1" x14ac:dyDescent="0.25">
      <c r="B412" s="9" t="s">
        <v>1023</v>
      </c>
      <c r="C412" s="10" t="s">
        <v>1021</v>
      </c>
      <c r="D412" s="89">
        <v>45478</v>
      </c>
      <c r="E412" s="71" t="s">
        <v>1024</v>
      </c>
      <c r="F412" s="9" t="s">
        <v>1025</v>
      </c>
      <c r="G412" s="160">
        <v>2800</v>
      </c>
      <c r="H412" s="160"/>
      <c r="I412" s="160">
        <f t="shared" si="15"/>
        <v>2800</v>
      </c>
      <c r="J412" s="160">
        <f t="shared" si="16"/>
        <v>140</v>
      </c>
      <c r="K412" s="160">
        <f t="shared" si="17"/>
        <v>2940</v>
      </c>
      <c r="L412" s="13" t="s">
        <v>78</v>
      </c>
      <c r="P412">
        <v>1</v>
      </c>
    </row>
    <row r="413" spans="2:16" ht="17.25" hidden="1" customHeight="1" x14ac:dyDescent="0.25">
      <c r="B413" s="9" t="s">
        <v>10</v>
      </c>
      <c r="C413" s="10" t="s">
        <v>1022</v>
      </c>
      <c r="D413" s="89">
        <v>45476</v>
      </c>
      <c r="E413" s="71" t="s">
        <v>16</v>
      </c>
      <c r="F413" s="9" t="s">
        <v>1026</v>
      </c>
      <c r="G413" s="160">
        <v>1675</v>
      </c>
      <c r="H413" s="160"/>
      <c r="I413" s="160">
        <f t="shared" si="15"/>
        <v>1675</v>
      </c>
      <c r="J413" s="160">
        <f t="shared" si="16"/>
        <v>83.75</v>
      </c>
      <c r="K413" s="160">
        <f t="shared" si="17"/>
        <v>1758.75</v>
      </c>
      <c r="L413" s="13" t="s">
        <v>9</v>
      </c>
      <c r="P413">
        <v>1</v>
      </c>
    </row>
    <row r="414" spans="2:16" ht="17.25" hidden="1" customHeight="1" x14ac:dyDescent="0.25">
      <c r="B414" s="9" t="s">
        <v>81</v>
      </c>
      <c r="C414" s="10" t="s">
        <v>1029</v>
      </c>
      <c r="D414" s="89">
        <v>45481</v>
      </c>
      <c r="E414" s="71" t="s">
        <v>82</v>
      </c>
      <c r="F414" s="9" t="s">
        <v>95</v>
      </c>
      <c r="G414" s="160">
        <v>435</v>
      </c>
      <c r="H414" s="160"/>
      <c r="I414" s="160">
        <f t="shared" si="15"/>
        <v>435</v>
      </c>
      <c r="J414" s="160">
        <f t="shared" si="16"/>
        <v>21.75</v>
      </c>
      <c r="K414" s="160">
        <f t="shared" si="17"/>
        <v>456.75</v>
      </c>
      <c r="L414" s="13" t="s">
        <v>78</v>
      </c>
      <c r="P414">
        <v>1</v>
      </c>
    </row>
    <row r="415" spans="2:16" ht="17.25" hidden="1" customHeight="1" x14ac:dyDescent="0.25">
      <c r="B415" s="9" t="s">
        <v>89</v>
      </c>
      <c r="C415" s="10" t="s">
        <v>1030</v>
      </c>
      <c r="D415" s="89">
        <v>45481</v>
      </c>
      <c r="E415" s="71" t="s">
        <v>90</v>
      </c>
      <c r="F415" s="9" t="s">
        <v>1031</v>
      </c>
      <c r="G415" s="160">
        <v>700</v>
      </c>
      <c r="H415" s="160"/>
      <c r="I415" s="160">
        <f t="shared" si="15"/>
        <v>700</v>
      </c>
      <c r="J415" s="160">
        <f t="shared" si="16"/>
        <v>35</v>
      </c>
      <c r="K415" s="160">
        <f t="shared" si="17"/>
        <v>735</v>
      </c>
      <c r="L415" s="13" t="s">
        <v>78</v>
      </c>
      <c r="P415">
        <v>1</v>
      </c>
    </row>
    <row r="416" spans="2:16" ht="17.25" hidden="1" customHeight="1" x14ac:dyDescent="0.25">
      <c r="B416" s="9" t="s">
        <v>1036</v>
      </c>
      <c r="C416" s="10" t="s">
        <v>1032</v>
      </c>
      <c r="D416" s="89">
        <v>45478</v>
      </c>
      <c r="E416" s="71" t="s">
        <v>258</v>
      </c>
      <c r="F416" s="9" t="s">
        <v>1037</v>
      </c>
      <c r="G416" s="160">
        <v>1803.75</v>
      </c>
      <c r="H416" s="160"/>
      <c r="I416" s="160">
        <f t="shared" si="15"/>
        <v>1803.75</v>
      </c>
      <c r="J416" s="160">
        <f t="shared" si="16"/>
        <v>90.1875</v>
      </c>
      <c r="K416" s="160">
        <f t="shared" si="17"/>
        <v>1893.9375</v>
      </c>
      <c r="L416" s="13" t="s">
        <v>9</v>
      </c>
      <c r="P416">
        <v>1</v>
      </c>
    </row>
    <row r="417" spans="2:16" ht="17.25" hidden="1" customHeight="1" x14ac:dyDescent="0.25">
      <c r="B417" s="9" t="s">
        <v>29</v>
      </c>
      <c r="C417" s="10" t="s">
        <v>1033</v>
      </c>
      <c r="D417" s="89">
        <v>45478</v>
      </c>
      <c r="E417" s="71" t="s">
        <v>128</v>
      </c>
      <c r="F417" s="9" t="s">
        <v>1038</v>
      </c>
      <c r="G417" s="160">
        <v>702</v>
      </c>
      <c r="H417" s="160"/>
      <c r="I417" s="160">
        <f t="shared" si="15"/>
        <v>702</v>
      </c>
      <c r="J417" s="160">
        <f t="shared" si="16"/>
        <v>35.1</v>
      </c>
      <c r="K417" s="160">
        <f t="shared" si="17"/>
        <v>737.1</v>
      </c>
      <c r="L417" s="13" t="s">
        <v>9</v>
      </c>
      <c r="P417">
        <v>1</v>
      </c>
    </row>
    <row r="418" spans="2:16" ht="17.25" hidden="1" customHeight="1" x14ac:dyDescent="0.25">
      <c r="B418" s="9" t="s">
        <v>114</v>
      </c>
      <c r="C418" s="10" t="s">
        <v>1034</v>
      </c>
      <c r="D418" s="89">
        <v>45478</v>
      </c>
      <c r="E418" s="71" t="s">
        <v>115</v>
      </c>
      <c r="F418" s="9" t="s">
        <v>598</v>
      </c>
      <c r="G418" s="160">
        <v>470</v>
      </c>
      <c r="H418" s="160"/>
      <c r="I418" s="160">
        <f t="shared" si="15"/>
        <v>470</v>
      </c>
      <c r="J418" s="160">
        <f t="shared" si="16"/>
        <v>23.5</v>
      </c>
      <c r="K418" s="160">
        <f t="shared" si="17"/>
        <v>493.5</v>
      </c>
      <c r="L418" s="13" t="s">
        <v>9</v>
      </c>
      <c r="P418">
        <v>1</v>
      </c>
    </row>
    <row r="419" spans="2:16" ht="17.25" hidden="1" customHeight="1" x14ac:dyDescent="0.25">
      <c r="B419" s="9" t="s">
        <v>1039</v>
      </c>
      <c r="C419" s="10" t="s">
        <v>1035</v>
      </c>
      <c r="D419" s="89">
        <v>45478</v>
      </c>
      <c r="E419" s="71" t="s">
        <v>1040</v>
      </c>
      <c r="F419" s="9" t="s">
        <v>73</v>
      </c>
      <c r="G419" s="160">
        <v>2032.5</v>
      </c>
      <c r="H419" s="160"/>
      <c r="I419" s="160">
        <f t="shared" si="15"/>
        <v>2032.5</v>
      </c>
      <c r="J419" s="160">
        <f t="shared" si="16"/>
        <v>101.625</v>
      </c>
      <c r="K419" s="160">
        <f t="shared" si="17"/>
        <v>2134.125</v>
      </c>
      <c r="L419" s="13" t="s">
        <v>78</v>
      </c>
      <c r="P419">
        <v>1</v>
      </c>
    </row>
    <row r="420" spans="2:16" ht="17.25" hidden="1" customHeight="1" x14ac:dyDescent="0.25">
      <c r="B420" s="9" t="s">
        <v>114</v>
      </c>
      <c r="C420" s="10" t="s">
        <v>1041</v>
      </c>
      <c r="D420" s="89">
        <v>45478</v>
      </c>
      <c r="E420" s="71" t="s">
        <v>115</v>
      </c>
      <c r="F420" s="9" t="s">
        <v>1042</v>
      </c>
      <c r="G420" s="160">
        <v>575</v>
      </c>
      <c r="H420" s="160"/>
      <c r="I420" s="160">
        <f t="shared" si="15"/>
        <v>575</v>
      </c>
      <c r="J420" s="160">
        <f t="shared" si="16"/>
        <v>28.75</v>
      </c>
      <c r="K420" s="160">
        <f t="shared" si="17"/>
        <v>603.75</v>
      </c>
      <c r="L420" s="13" t="s">
        <v>9</v>
      </c>
      <c r="P420">
        <v>1</v>
      </c>
    </row>
    <row r="421" spans="2:16" ht="17.25" hidden="1" customHeight="1" x14ac:dyDescent="0.25">
      <c r="B421" s="9" t="s">
        <v>290</v>
      </c>
      <c r="C421" s="10" t="s">
        <v>1043</v>
      </c>
      <c r="D421" s="89">
        <v>45481</v>
      </c>
      <c r="E421" s="70"/>
      <c r="F421" s="9" t="s">
        <v>1044</v>
      </c>
      <c r="G421" s="184">
        <v>2250</v>
      </c>
      <c r="H421" s="160"/>
      <c r="I421" s="160">
        <f t="shared" si="15"/>
        <v>2250</v>
      </c>
      <c r="J421" s="160">
        <f t="shared" si="16"/>
        <v>112.5</v>
      </c>
      <c r="K421" s="160">
        <f t="shared" si="17"/>
        <v>2362.5</v>
      </c>
      <c r="L421" s="13" t="s">
        <v>78</v>
      </c>
      <c r="P421">
        <v>1</v>
      </c>
    </row>
    <row r="422" spans="2:16" ht="17.25" hidden="1" customHeight="1" x14ac:dyDescent="0.25">
      <c r="B422" s="9" t="s">
        <v>10</v>
      </c>
      <c r="C422" s="10" t="s">
        <v>1045</v>
      </c>
      <c r="D422" s="89">
        <v>45484</v>
      </c>
      <c r="E422" s="70"/>
      <c r="F422" s="9" t="s">
        <v>943</v>
      </c>
      <c r="G422" s="160">
        <v>475</v>
      </c>
      <c r="H422" s="160"/>
      <c r="I422" s="160">
        <f t="shared" si="15"/>
        <v>475</v>
      </c>
      <c r="J422" s="160">
        <f t="shared" si="16"/>
        <v>23.75</v>
      </c>
      <c r="K422" s="160">
        <f t="shared" si="17"/>
        <v>498.75</v>
      </c>
      <c r="L422" s="13" t="s">
        <v>9</v>
      </c>
      <c r="P422">
        <v>1</v>
      </c>
    </row>
    <row r="423" spans="2:16" ht="17.25" hidden="1" customHeight="1" x14ac:dyDescent="0.25">
      <c r="B423" s="9" t="s">
        <v>43</v>
      </c>
      <c r="C423" s="10" t="s">
        <v>1047</v>
      </c>
      <c r="D423" s="89">
        <v>45485</v>
      </c>
      <c r="E423" s="71" t="s">
        <v>30</v>
      </c>
      <c r="F423" s="9" t="s">
        <v>701</v>
      </c>
      <c r="G423" s="160">
        <v>725</v>
      </c>
      <c r="H423" s="160"/>
      <c r="I423" s="160">
        <f t="shared" si="15"/>
        <v>725</v>
      </c>
      <c r="J423" s="160">
        <f t="shared" si="16"/>
        <v>36.25</v>
      </c>
      <c r="K423" s="160">
        <f t="shared" si="17"/>
        <v>761.25</v>
      </c>
      <c r="L423" s="13" t="s">
        <v>9</v>
      </c>
      <c r="P423">
        <v>1</v>
      </c>
    </row>
    <row r="424" spans="2:16" ht="17.25" hidden="1" customHeight="1" x14ac:dyDescent="0.25">
      <c r="B424" s="9" t="s">
        <v>29</v>
      </c>
      <c r="C424" s="10" t="s">
        <v>1048</v>
      </c>
      <c r="D424" s="191">
        <v>45488</v>
      </c>
      <c r="E424" s="71" t="s">
        <v>28</v>
      </c>
      <c r="F424" s="9" t="s">
        <v>701</v>
      </c>
      <c r="G424" s="160">
        <v>275</v>
      </c>
      <c r="H424" s="160"/>
      <c r="I424" s="160">
        <f t="shared" si="15"/>
        <v>275</v>
      </c>
      <c r="J424" s="160">
        <f t="shared" si="16"/>
        <v>13.75</v>
      </c>
      <c r="K424" s="160">
        <f t="shared" si="17"/>
        <v>288.75</v>
      </c>
      <c r="L424" s="13" t="s">
        <v>9</v>
      </c>
      <c r="P424">
        <v>1</v>
      </c>
    </row>
    <row r="425" spans="2:16" ht="17.25" hidden="1" customHeight="1" x14ac:dyDescent="0.25">
      <c r="B425" s="9" t="s">
        <v>102</v>
      </c>
      <c r="C425" s="10" t="s">
        <v>1049</v>
      </c>
      <c r="D425" s="89">
        <v>45484</v>
      </c>
      <c r="E425" s="71" t="s">
        <v>104</v>
      </c>
      <c r="F425" s="9" t="s">
        <v>1059</v>
      </c>
      <c r="G425" s="160">
        <v>3623</v>
      </c>
      <c r="H425" s="160"/>
      <c r="I425" s="160">
        <f t="shared" si="15"/>
        <v>3623</v>
      </c>
      <c r="J425" s="160">
        <f t="shared" si="16"/>
        <v>181.15</v>
      </c>
      <c r="K425" s="160">
        <f t="shared" si="17"/>
        <v>3804.15</v>
      </c>
      <c r="L425" s="13" t="s">
        <v>9</v>
      </c>
      <c r="P425">
        <v>1</v>
      </c>
    </row>
    <row r="426" spans="2:16" ht="17.25" hidden="1" customHeight="1" x14ac:dyDescent="0.25">
      <c r="B426" s="9" t="s">
        <v>1060</v>
      </c>
      <c r="C426" s="10" t="s">
        <v>1050</v>
      </c>
      <c r="D426" s="89">
        <v>45484</v>
      </c>
      <c r="E426" s="71" t="s">
        <v>1061</v>
      </c>
      <c r="F426" s="9" t="s">
        <v>73</v>
      </c>
      <c r="G426" s="160">
        <v>1195</v>
      </c>
      <c r="H426" s="160"/>
      <c r="I426" s="160">
        <f t="shared" si="15"/>
        <v>1195</v>
      </c>
      <c r="J426" s="160">
        <f t="shared" si="16"/>
        <v>59.75</v>
      </c>
      <c r="K426" s="160">
        <f t="shared" si="17"/>
        <v>1254.75</v>
      </c>
      <c r="L426" s="13" t="s">
        <v>78</v>
      </c>
      <c r="P426">
        <v>1</v>
      </c>
    </row>
    <row r="427" spans="2:16" ht="17.25" hidden="1" customHeight="1" x14ac:dyDescent="0.25">
      <c r="B427" s="9" t="s">
        <v>736</v>
      </c>
      <c r="C427" s="10" t="s">
        <v>1051</v>
      </c>
      <c r="D427" s="89">
        <v>45485</v>
      </c>
      <c r="E427" s="71" t="s">
        <v>1062</v>
      </c>
      <c r="F427" s="9" t="s">
        <v>95</v>
      </c>
      <c r="G427" s="160">
        <v>525</v>
      </c>
      <c r="H427" s="160"/>
      <c r="I427" s="160">
        <f t="shared" si="15"/>
        <v>525</v>
      </c>
      <c r="J427" s="160">
        <f t="shared" si="16"/>
        <v>26.25</v>
      </c>
      <c r="K427" s="160">
        <f t="shared" si="17"/>
        <v>551.25</v>
      </c>
      <c r="L427" s="13" t="s">
        <v>78</v>
      </c>
      <c r="P427">
        <v>1</v>
      </c>
    </row>
    <row r="428" spans="2:16" ht="17.25" hidden="1" customHeight="1" x14ac:dyDescent="0.25">
      <c r="B428" s="9" t="s">
        <v>290</v>
      </c>
      <c r="C428" s="10" t="s">
        <v>1052</v>
      </c>
      <c r="D428" s="89">
        <v>45485</v>
      </c>
      <c r="E428" s="70"/>
      <c r="F428" s="9" t="s">
        <v>95</v>
      </c>
      <c r="G428" s="160">
        <v>185</v>
      </c>
      <c r="H428" s="160"/>
      <c r="I428" s="160">
        <f t="shared" si="15"/>
        <v>185</v>
      </c>
      <c r="J428" s="160">
        <f t="shared" si="16"/>
        <v>9.25</v>
      </c>
      <c r="K428" s="160">
        <f t="shared" si="17"/>
        <v>194.25</v>
      </c>
      <c r="L428" s="13" t="s">
        <v>78</v>
      </c>
      <c r="P428">
        <v>1</v>
      </c>
    </row>
    <row r="429" spans="2:16" ht="17.25" hidden="1" customHeight="1" x14ac:dyDescent="0.25">
      <c r="B429" s="9" t="s">
        <v>1063</v>
      </c>
      <c r="C429" s="10" t="s">
        <v>1053</v>
      </c>
      <c r="D429" s="89">
        <v>45485</v>
      </c>
      <c r="E429" s="70"/>
      <c r="F429" s="9" t="s">
        <v>1064</v>
      </c>
      <c r="G429" s="160">
        <v>625</v>
      </c>
      <c r="H429" s="160"/>
      <c r="I429" s="160">
        <f t="shared" si="15"/>
        <v>625</v>
      </c>
      <c r="J429" s="160">
        <f t="shared" si="16"/>
        <v>31.25</v>
      </c>
      <c r="K429" s="160">
        <f t="shared" si="17"/>
        <v>656.25</v>
      </c>
      <c r="L429" s="13" t="s">
        <v>78</v>
      </c>
      <c r="P429">
        <v>1</v>
      </c>
    </row>
    <row r="430" spans="2:16" ht="17.25" hidden="1" customHeight="1" x14ac:dyDescent="0.25">
      <c r="B430" s="9" t="s">
        <v>1065</v>
      </c>
      <c r="C430" s="10" t="s">
        <v>1054</v>
      </c>
      <c r="D430" s="89">
        <v>45486</v>
      </c>
      <c r="E430" s="70"/>
      <c r="F430" s="9" t="s">
        <v>901</v>
      </c>
      <c r="G430" s="160">
        <v>565</v>
      </c>
      <c r="H430" s="160"/>
      <c r="I430" s="160">
        <f t="shared" si="15"/>
        <v>565</v>
      </c>
      <c r="J430" s="160">
        <f t="shared" si="16"/>
        <v>28.25</v>
      </c>
      <c r="K430" s="160">
        <f t="shared" si="17"/>
        <v>593.25</v>
      </c>
      <c r="L430" s="13" t="s">
        <v>9</v>
      </c>
      <c r="P430">
        <v>1</v>
      </c>
    </row>
    <row r="431" spans="2:16" ht="17.25" hidden="1" customHeight="1" x14ac:dyDescent="0.25">
      <c r="B431" s="9" t="s">
        <v>1066</v>
      </c>
      <c r="C431" s="10" t="s">
        <v>1055</v>
      </c>
      <c r="D431" s="192">
        <v>45485</v>
      </c>
      <c r="E431" s="71" t="s">
        <v>1067</v>
      </c>
      <c r="F431" s="9" t="s">
        <v>1068</v>
      </c>
      <c r="G431" s="160">
        <v>17900</v>
      </c>
      <c r="H431" s="160"/>
      <c r="I431" s="160">
        <f t="shared" si="15"/>
        <v>17900</v>
      </c>
      <c r="J431" s="160">
        <f t="shared" si="16"/>
        <v>895</v>
      </c>
      <c r="K431" s="160">
        <f t="shared" si="17"/>
        <v>18795</v>
      </c>
      <c r="L431" s="13" t="s">
        <v>78</v>
      </c>
      <c r="P431">
        <v>1</v>
      </c>
    </row>
    <row r="432" spans="2:16" ht="17.25" hidden="1" customHeight="1" x14ac:dyDescent="0.25">
      <c r="B432" s="9" t="s">
        <v>257</v>
      </c>
      <c r="C432" s="10" t="s">
        <v>1056</v>
      </c>
      <c r="D432" s="192">
        <v>45485</v>
      </c>
      <c r="E432" s="71" t="s">
        <v>258</v>
      </c>
      <c r="F432" s="9" t="s">
        <v>1069</v>
      </c>
      <c r="G432" s="160">
        <v>1933.5</v>
      </c>
      <c r="H432" s="160"/>
      <c r="I432" s="160">
        <f t="shared" si="15"/>
        <v>1933.5</v>
      </c>
      <c r="J432" s="160">
        <f t="shared" si="16"/>
        <v>96.675000000000011</v>
      </c>
      <c r="K432" s="160">
        <f t="shared" si="17"/>
        <v>2030.175</v>
      </c>
      <c r="L432" s="13" t="s">
        <v>9</v>
      </c>
      <c r="P432">
        <v>1</v>
      </c>
    </row>
    <row r="433" spans="2:16" ht="17.25" customHeight="1" x14ac:dyDescent="0.25">
      <c r="B433" s="9" t="s">
        <v>409</v>
      </c>
      <c r="C433" s="10" t="s">
        <v>1057</v>
      </c>
      <c r="D433" s="192">
        <v>45485</v>
      </c>
      <c r="E433" s="71" t="s">
        <v>694</v>
      </c>
      <c r="F433" s="9" t="s">
        <v>179</v>
      </c>
      <c r="G433" s="160">
        <v>287.5</v>
      </c>
      <c r="H433" s="160"/>
      <c r="I433" s="160">
        <f t="shared" si="15"/>
        <v>287.5</v>
      </c>
      <c r="J433" s="160">
        <f t="shared" si="16"/>
        <v>14.375</v>
      </c>
      <c r="K433" s="160">
        <f t="shared" si="17"/>
        <v>301.875</v>
      </c>
      <c r="L433" s="13" t="s">
        <v>78</v>
      </c>
      <c r="P433">
        <v>1</v>
      </c>
    </row>
    <row r="434" spans="2:16" ht="17.25" customHeight="1" x14ac:dyDescent="0.25">
      <c r="B434" s="9" t="s">
        <v>174</v>
      </c>
      <c r="C434" s="10" t="s">
        <v>1058</v>
      </c>
      <c r="D434" s="192">
        <v>45485</v>
      </c>
      <c r="E434" s="71" t="s">
        <v>1070</v>
      </c>
      <c r="F434" s="9" t="s">
        <v>179</v>
      </c>
      <c r="G434" s="160">
        <v>287.5</v>
      </c>
      <c r="H434" s="160"/>
      <c r="I434" s="160">
        <f t="shared" si="15"/>
        <v>287.5</v>
      </c>
      <c r="J434" s="160">
        <f t="shared" si="16"/>
        <v>14.375</v>
      </c>
      <c r="K434" s="160">
        <f t="shared" si="17"/>
        <v>301.875</v>
      </c>
      <c r="L434" s="13" t="s">
        <v>78</v>
      </c>
      <c r="P434">
        <v>1</v>
      </c>
    </row>
    <row r="435" spans="2:16" ht="17.25" hidden="1" customHeight="1" x14ac:dyDescent="0.25">
      <c r="B435" s="9" t="s">
        <v>86</v>
      </c>
      <c r="C435" s="10" t="s">
        <v>1072</v>
      </c>
      <c r="D435" s="89">
        <v>45491</v>
      </c>
      <c r="E435" s="71" t="s">
        <v>597</v>
      </c>
      <c r="F435" s="9" t="s">
        <v>1076</v>
      </c>
      <c r="G435" s="160">
        <v>3210</v>
      </c>
      <c r="H435" s="160"/>
      <c r="I435" s="160">
        <f t="shared" si="15"/>
        <v>3210</v>
      </c>
      <c r="J435" s="160">
        <f t="shared" si="16"/>
        <v>160.5</v>
      </c>
      <c r="K435" s="160">
        <f t="shared" si="17"/>
        <v>3370.5</v>
      </c>
      <c r="L435" s="13" t="s">
        <v>9</v>
      </c>
      <c r="P435">
        <v>1</v>
      </c>
    </row>
    <row r="436" spans="2:16" ht="17.25" hidden="1" customHeight="1" x14ac:dyDescent="0.25">
      <c r="B436" s="9" t="s">
        <v>1077</v>
      </c>
      <c r="C436" s="10" t="s">
        <v>1073</v>
      </c>
      <c r="D436" s="192">
        <v>45488</v>
      </c>
      <c r="E436" s="71" t="s">
        <v>1078</v>
      </c>
      <c r="F436" s="9" t="s">
        <v>1079</v>
      </c>
      <c r="G436" s="160">
        <v>2750</v>
      </c>
      <c r="H436" s="160"/>
      <c r="I436" s="160">
        <f t="shared" si="15"/>
        <v>2750</v>
      </c>
      <c r="J436" s="160">
        <f t="shared" si="16"/>
        <v>137.5</v>
      </c>
      <c r="K436" s="160">
        <f t="shared" si="17"/>
        <v>2887.5</v>
      </c>
      <c r="L436" s="13" t="s">
        <v>78</v>
      </c>
      <c r="P436">
        <v>1</v>
      </c>
    </row>
    <row r="437" spans="2:16" ht="17.25" hidden="1" customHeight="1" x14ac:dyDescent="0.25">
      <c r="B437" s="9" t="s">
        <v>386</v>
      </c>
      <c r="C437" s="10" t="s">
        <v>1074</v>
      </c>
      <c r="D437" s="89">
        <v>45492</v>
      </c>
      <c r="E437" s="71" t="s">
        <v>1080</v>
      </c>
      <c r="F437" s="9" t="s">
        <v>1081</v>
      </c>
      <c r="G437" s="160">
        <v>1395</v>
      </c>
      <c r="H437" s="160"/>
      <c r="I437" s="160">
        <f t="shared" si="15"/>
        <v>1395</v>
      </c>
      <c r="J437" s="160">
        <f t="shared" si="16"/>
        <v>69.75</v>
      </c>
      <c r="K437" s="160">
        <f t="shared" si="17"/>
        <v>1464.75</v>
      </c>
      <c r="L437" s="13" t="s">
        <v>9</v>
      </c>
      <c r="P437">
        <v>1</v>
      </c>
    </row>
    <row r="438" spans="2:16" ht="17.25" hidden="1" customHeight="1" x14ac:dyDescent="0.25">
      <c r="B438" s="9" t="s">
        <v>203</v>
      </c>
      <c r="C438" s="10" t="s">
        <v>1075</v>
      </c>
      <c r="D438" s="192">
        <v>45489</v>
      </c>
      <c r="E438" s="71" t="s">
        <v>851</v>
      </c>
      <c r="F438" s="9" t="s">
        <v>1082</v>
      </c>
      <c r="G438" s="160">
        <v>14110</v>
      </c>
      <c r="H438" s="160"/>
      <c r="I438" s="160">
        <f t="shared" si="15"/>
        <v>14110</v>
      </c>
      <c r="J438" s="160">
        <f t="shared" si="16"/>
        <v>705.5</v>
      </c>
      <c r="K438" s="160">
        <f t="shared" si="17"/>
        <v>14815.5</v>
      </c>
      <c r="L438" s="13" t="s">
        <v>78</v>
      </c>
      <c r="P438">
        <v>1</v>
      </c>
    </row>
    <row r="439" spans="2:16" ht="17.25" hidden="1" customHeight="1" x14ac:dyDescent="0.25">
      <c r="B439" s="9" t="s">
        <v>114</v>
      </c>
      <c r="C439" s="10" t="s">
        <v>1083</v>
      </c>
      <c r="D439" s="89">
        <v>45493</v>
      </c>
      <c r="E439" s="71" t="s">
        <v>115</v>
      </c>
      <c r="F439" s="9" t="s">
        <v>850</v>
      </c>
      <c r="G439" s="160">
        <v>624</v>
      </c>
      <c r="H439" s="160"/>
      <c r="I439" s="160">
        <f t="shared" si="15"/>
        <v>624</v>
      </c>
      <c r="J439" s="160">
        <f t="shared" si="16"/>
        <v>31.200000000000003</v>
      </c>
      <c r="K439" s="160">
        <f t="shared" si="17"/>
        <v>655.20000000000005</v>
      </c>
      <c r="L439" s="13" t="s">
        <v>9</v>
      </c>
      <c r="P439">
        <v>1</v>
      </c>
    </row>
    <row r="440" spans="2:16" ht="17.25" hidden="1" customHeight="1" x14ac:dyDescent="0.25">
      <c r="B440" s="9" t="s">
        <v>10</v>
      </c>
      <c r="C440" s="10" t="s">
        <v>1084</v>
      </c>
      <c r="D440" s="89">
        <v>45492</v>
      </c>
      <c r="E440" s="71" t="s">
        <v>16</v>
      </c>
      <c r="F440" s="9" t="s">
        <v>1089</v>
      </c>
      <c r="G440" s="160">
        <v>1765</v>
      </c>
      <c r="H440" s="160"/>
      <c r="I440" s="160">
        <f t="shared" si="15"/>
        <v>1765</v>
      </c>
      <c r="J440" s="160">
        <f t="shared" si="16"/>
        <v>88.25</v>
      </c>
      <c r="K440" s="160">
        <f t="shared" si="17"/>
        <v>1853.25</v>
      </c>
      <c r="L440" s="13" t="s">
        <v>9</v>
      </c>
      <c r="P440">
        <v>1</v>
      </c>
    </row>
    <row r="441" spans="2:16" ht="17.25" hidden="1" customHeight="1" x14ac:dyDescent="0.25">
      <c r="B441" s="9" t="s">
        <v>357</v>
      </c>
      <c r="C441" s="10" t="s">
        <v>1085</v>
      </c>
      <c r="D441" s="89">
        <v>45492</v>
      </c>
      <c r="E441" s="71" t="s">
        <v>447</v>
      </c>
      <c r="F441" s="9" t="s">
        <v>95</v>
      </c>
      <c r="G441" s="160">
        <v>125</v>
      </c>
      <c r="H441" s="160"/>
      <c r="I441" s="160">
        <f t="shared" si="15"/>
        <v>125</v>
      </c>
      <c r="J441" s="160">
        <f t="shared" si="16"/>
        <v>6.25</v>
      </c>
      <c r="K441" s="160">
        <f t="shared" si="17"/>
        <v>131.25</v>
      </c>
      <c r="L441" s="13" t="s">
        <v>9</v>
      </c>
      <c r="P441">
        <v>1</v>
      </c>
    </row>
    <row r="442" spans="2:16" ht="17.25" hidden="1" customHeight="1" x14ac:dyDescent="0.25">
      <c r="B442" s="9" t="s">
        <v>10</v>
      </c>
      <c r="C442" s="10" t="s">
        <v>1086</v>
      </c>
      <c r="D442" s="89">
        <v>45493</v>
      </c>
      <c r="E442" s="71" t="s">
        <v>79</v>
      </c>
      <c r="F442" s="9" t="s">
        <v>1090</v>
      </c>
      <c r="G442" s="160">
        <v>3964</v>
      </c>
      <c r="H442" s="160"/>
      <c r="I442" s="160">
        <f t="shared" si="15"/>
        <v>3964</v>
      </c>
      <c r="J442" s="160">
        <f t="shared" si="16"/>
        <v>198.20000000000002</v>
      </c>
      <c r="K442" s="160">
        <f t="shared" si="17"/>
        <v>4162.2</v>
      </c>
      <c r="L442" s="13" t="s">
        <v>9</v>
      </c>
      <c r="P442">
        <v>1</v>
      </c>
    </row>
    <row r="443" spans="2:16" ht="17.25" hidden="1" customHeight="1" x14ac:dyDescent="0.25">
      <c r="B443" s="9" t="s">
        <v>102</v>
      </c>
      <c r="C443" s="10" t="s">
        <v>1087</v>
      </c>
      <c r="D443" s="89">
        <v>45491</v>
      </c>
      <c r="E443" s="71" t="s">
        <v>104</v>
      </c>
      <c r="F443" s="9" t="s">
        <v>612</v>
      </c>
      <c r="G443" s="160">
        <v>222</v>
      </c>
      <c r="H443" s="160"/>
      <c r="I443" s="160">
        <f t="shared" si="15"/>
        <v>222</v>
      </c>
      <c r="J443" s="160">
        <f t="shared" si="16"/>
        <v>11.100000000000001</v>
      </c>
      <c r="K443" s="160">
        <f t="shared" si="17"/>
        <v>233.1</v>
      </c>
      <c r="L443" s="13" t="s">
        <v>9</v>
      </c>
      <c r="P443">
        <v>1</v>
      </c>
    </row>
    <row r="444" spans="2:16" ht="17.25" hidden="1" customHeight="1" x14ac:dyDescent="0.25">
      <c r="B444" s="9" t="s">
        <v>10</v>
      </c>
      <c r="C444" s="10" t="s">
        <v>1088</v>
      </c>
      <c r="D444" s="191">
        <v>45493</v>
      </c>
      <c r="E444" s="71" t="s">
        <v>79</v>
      </c>
      <c r="F444" s="193" t="s">
        <v>417</v>
      </c>
      <c r="G444" s="160">
        <v>275</v>
      </c>
      <c r="H444" s="160"/>
      <c r="I444" s="160">
        <f t="shared" si="15"/>
        <v>275</v>
      </c>
      <c r="J444" s="160">
        <f t="shared" si="16"/>
        <v>13.75</v>
      </c>
      <c r="K444" s="160">
        <f t="shared" si="17"/>
        <v>288.75</v>
      </c>
      <c r="L444" s="13" t="s">
        <v>9</v>
      </c>
      <c r="P444">
        <v>1</v>
      </c>
    </row>
    <row r="445" spans="2:16" ht="17.25" hidden="1" customHeight="1" x14ac:dyDescent="0.25">
      <c r="B445" s="96" t="s">
        <v>1092</v>
      </c>
      <c r="C445" s="97" t="s">
        <v>1091</v>
      </c>
      <c r="D445" s="98">
        <v>45492</v>
      </c>
      <c r="E445" s="194" t="s">
        <v>1093</v>
      </c>
      <c r="F445" s="96" t="s">
        <v>101</v>
      </c>
      <c r="G445" s="104">
        <v>80</v>
      </c>
      <c r="H445" s="104"/>
      <c r="I445" s="104">
        <f t="shared" si="15"/>
        <v>80</v>
      </c>
      <c r="J445" s="104">
        <f t="shared" si="16"/>
        <v>4</v>
      </c>
      <c r="K445" s="104">
        <f t="shared" si="17"/>
        <v>84</v>
      </c>
      <c r="L445" s="195" t="s">
        <v>1046</v>
      </c>
      <c r="P445">
        <v>1</v>
      </c>
    </row>
    <row r="446" spans="2:16" ht="17.25" hidden="1" customHeight="1" x14ac:dyDescent="0.25">
      <c r="B446" s="9" t="s">
        <v>10</v>
      </c>
      <c r="C446" s="10" t="s">
        <v>1095</v>
      </c>
      <c r="D446" s="89">
        <v>45492</v>
      </c>
      <c r="E446" s="71" t="s">
        <v>79</v>
      </c>
      <c r="F446" s="9" t="s">
        <v>1097</v>
      </c>
      <c r="G446" s="160">
        <v>1750</v>
      </c>
      <c r="H446" s="160"/>
      <c r="I446" s="160">
        <f t="shared" si="15"/>
        <v>1750</v>
      </c>
      <c r="J446" s="160">
        <f t="shared" si="16"/>
        <v>87.5</v>
      </c>
      <c r="K446" s="160">
        <f t="shared" si="17"/>
        <v>1837.5</v>
      </c>
      <c r="L446" s="13" t="s">
        <v>25</v>
      </c>
      <c r="M446" s="9"/>
      <c r="N446" s="9"/>
      <c r="O446" s="9"/>
      <c r="P446" s="9">
        <v>1</v>
      </c>
    </row>
    <row r="447" spans="2:16" ht="17.25" hidden="1" customHeight="1" x14ac:dyDescent="0.25">
      <c r="B447" s="9" t="s">
        <v>10</v>
      </c>
      <c r="C447" s="10" t="s">
        <v>1096</v>
      </c>
      <c r="D447" s="89">
        <v>45492</v>
      </c>
      <c r="E447" s="71" t="s">
        <v>79</v>
      </c>
      <c r="F447" s="9" t="s">
        <v>1098</v>
      </c>
      <c r="G447" s="160">
        <v>3460.81</v>
      </c>
      <c r="H447" s="160"/>
      <c r="I447" s="160">
        <f t="shared" si="15"/>
        <v>3460.81</v>
      </c>
      <c r="J447" s="160">
        <f t="shared" si="16"/>
        <v>173.04050000000001</v>
      </c>
      <c r="K447" s="160">
        <f t="shared" si="17"/>
        <v>3633.8505</v>
      </c>
      <c r="L447" s="13" t="s">
        <v>25</v>
      </c>
      <c r="M447" s="9"/>
      <c r="N447" s="9"/>
      <c r="O447" s="9"/>
      <c r="P447" s="9">
        <v>1</v>
      </c>
    </row>
    <row r="448" spans="2:16" ht="17.25" hidden="1" customHeight="1" x14ac:dyDescent="0.25">
      <c r="B448" s="9" t="s">
        <v>1101</v>
      </c>
      <c r="C448" s="10" t="s">
        <v>1099</v>
      </c>
      <c r="D448" s="89">
        <v>45495</v>
      </c>
      <c r="E448" s="71" t="s">
        <v>1102</v>
      </c>
      <c r="F448" s="9" t="s">
        <v>588</v>
      </c>
      <c r="G448" s="160">
        <v>380.95</v>
      </c>
      <c r="H448" s="160"/>
      <c r="I448" s="160">
        <f t="shared" si="15"/>
        <v>380.95</v>
      </c>
      <c r="J448" s="160">
        <f t="shared" si="16"/>
        <v>19.047499999999999</v>
      </c>
      <c r="K448" s="160">
        <f t="shared" si="17"/>
        <v>399.9975</v>
      </c>
      <c r="L448" s="13" t="s">
        <v>78</v>
      </c>
      <c r="P448" s="9">
        <v>1</v>
      </c>
    </row>
    <row r="449" spans="2:16" ht="17.25" hidden="1" customHeight="1" x14ac:dyDescent="0.25">
      <c r="B449" s="9" t="s">
        <v>10</v>
      </c>
      <c r="C449" s="10" t="s">
        <v>1100</v>
      </c>
      <c r="D449" s="89">
        <v>45497</v>
      </c>
      <c r="E449" s="71" t="s">
        <v>79</v>
      </c>
      <c r="F449" s="9" t="s">
        <v>1103</v>
      </c>
      <c r="G449" s="160">
        <v>200</v>
      </c>
      <c r="H449" s="160"/>
      <c r="I449" s="160">
        <f t="shared" si="15"/>
        <v>200</v>
      </c>
      <c r="J449" s="160">
        <f t="shared" si="16"/>
        <v>10</v>
      </c>
      <c r="K449" s="160">
        <f t="shared" si="17"/>
        <v>210</v>
      </c>
      <c r="L449" s="13" t="s">
        <v>9</v>
      </c>
      <c r="P449" s="9">
        <v>1</v>
      </c>
    </row>
    <row r="450" spans="2:16" ht="17.25" hidden="1" customHeight="1" x14ac:dyDescent="0.25">
      <c r="B450" s="9" t="s">
        <v>114</v>
      </c>
      <c r="C450" s="10" t="s">
        <v>1104</v>
      </c>
      <c r="D450" s="89">
        <v>45499</v>
      </c>
      <c r="E450" s="71" t="s">
        <v>115</v>
      </c>
      <c r="F450" s="9" t="s">
        <v>134</v>
      </c>
      <c r="G450" s="160">
        <v>2700</v>
      </c>
      <c r="H450" s="160"/>
      <c r="I450" s="160">
        <f t="shared" si="15"/>
        <v>2700</v>
      </c>
      <c r="J450" s="160">
        <f t="shared" si="16"/>
        <v>135</v>
      </c>
      <c r="K450" s="160">
        <f t="shared" si="17"/>
        <v>2835</v>
      </c>
      <c r="L450" s="13" t="s">
        <v>9</v>
      </c>
      <c r="P450" s="9">
        <v>1</v>
      </c>
    </row>
    <row r="451" spans="2:16" ht="17.25" hidden="1" customHeight="1" x14ac:dyDescent="0.25">
      <c r="B451" s="9" t="s">
        <v>1066</v>
      </c>
      <c r="C451" s="10" t="s">
        <v>1105</v>
      </c>
      <c r="D451" s="192">
        <v>45495</v>
      </c>
      <c r="E451" s="71" t="s">
        <v>1067</v>
      </c>
      <c r="F451" s="9" t="s">
        <v>1109</v>
      </c>
      <c r="G451" s="160">
        <v>6976</v>
      </c>
      <c r="H451" s="160"/>
      <c r="I451" s="160">
        <f t="shared" si="15"/>
        <v>6976</v>
      </c>
      <c r="J451" s="160">
        <f t="shared" si="16"/>
        <v>348.8</v>
      </c>
      <c r="K451" s="160">
        <f t="shared" si="17"/>
        <v>7324.8</v>
      </c>
      <c r="L451" s="13" t="s">
        <v>25</v>
      </c>
      <c r="P451" s="9">
        <v>1</v>
      </c>
    </row>
    <row r="452" spans="2:16" ht="17.25" hidden="1" customHeight="1" x14ac:dyDescent="0.25">
      <c r="B452" s="9" t="s">
        <v>1110</v>
      </c>
      <c r="C452" s="10" t="s">
        <v>1106</v>
      </c>
      <c r="D452" s="192">
        <v>45496</v>
      </c>
      <c r="E452" s="71" t="s">
        <v>1111</v>
      </c>
      <c r="F452" s="9" t="s">
        <v>598</v>
      </c>
      <c r="G452" s="160">
        <v>1175</v>
      </c>
      <c r="H452" s="160"/>
      <c r="I452" s="160">
        <f t="shared" si="15"/>
        <v>1175</v>
      </c>
      <c r="J452" s="160">
        <f t="shared" si="16"/>
        <v>58.75</v>
      </c>
      <c r="K452" s="160">
        <f t="shared" si="17"/>
        <v>1233.75</v>
      </c>
      <c r="L452" s="13" t="s">
        <v>78</v>
      </c>
      <c r="P452" s="9">
        <v>1</v>
      </c>
    </row>
    <row r="453" spans="2:16" ht="17.25" hidden="1" customHeight="1" x14ac:dyDescent="0.25">
      <c r="B453" s="9" t="s">
        <v>1112</v>
      </c>
      <c r="C453" s="10" t="s">
        <v>1107</v>
      </c>
      <c r="D453" s="192">
        <v>45497</v>
      </c>
      <c r="E453" s="203" t="s">
        <v>1113</v>
      </c>
      <c r="F453" s="9" t="s">
        <v>1114</v>
      </c>
      <c r="G453" s="160">
        <v>3750</v>
      </c>
      <c r="H453" s="160"/>
      <c r="I453" s="160">
        <f t="shared" si="15"/>
        <v>3750</v>
      </c>
      <c r="J453" s="160">
        <f t="shared" si="16"/>
        <v>187.5</v>
      </c>
      <c r="K453" s="160">
        <f t="shared" si="17"/>
        <v>3937.5</v>
      </c>
      <c r="L453" s="13" t="s">
        <v>1071</v>
      </c>
      <c r="P453" s="9">
        <v>1</v>
      </c>
    </row>
    <row r="454" spans="2:16" ht="17.25" hidden="1" customHeight="1" x14ac:dyDescent="0.25">
      <c r="B454" s="9" t="s">
        <v>81</v>
      </c>
      <c r="C454" s="10" t="s">
        <v>1108</v>
      </c>
      <c r="D454" s="192">
        <v>45497</v>
      </c>
      <c r="E454" s="71" t="s">
        <v>82</v>
      </c>
      <c r="F454" s="9" t="s">
        <v>164</v>
      </c>
      <c r="G454" s="160">
        <v>2675</v>
      </c>
      <c r="H454" s="160"/>
      <c r="I454" s="160">
        <f t="shared" si="15"/>
        <v>2675</v>
      </c>
      <c r="J454" s="160">
        <f t="shared" si="16"/>
        <v>133.75</v>
      </c>
      <c r="K454" s="160">
        <f t="shared" si="17"/>
        <v>2808.75</v>
      </c>
      <c r="L454" s="13" t="s">
        <v>78</v>
      </c>
      <c r="P454" s="9">
        <v>1</v>
      </c>
    </row>
    <row r="455" spans="2:16" ht="17.25" hidden="1" customHeight="1" x14ac:dyDescent="0.25">
      <c r="B455" s="204" t="s">
        <v>10</v>
      </c>
      <c r="C455" s="10" t="s">
        <v>1115</v>
      </c>
      <c r="D455" s="89">
        <v>45502</v>
      </c>
      <c r="E455" s="71" t="s">
        <v>79</v>
      </c>
      <c r="F455" s="9" t="s">
        <v>1123</v>
      </c>
      <c r="G455" s="160">
        <v>810</v>
      </c>
      <c r="H455" s="160"/>
      <c r="I455" s="160">
        <f t="shared" si="15"/>
        <v>810</v>
      </c>
      <c r="J455" s="160">
        <f t="shared" si="16"/>
        <v>40.5</v>
      </c>
      <c r="K455" s="160">
        <f t="shared" si="17"/>
        <v>850.5</v>
      </c>
      <c r="L455" s="13" t="s">
        <v>9</v>
      </c>
      <c r="P455" s="9">
        <v>1</v>
      </c>
    </row>
    <row r="456" spans="2:16" ht="17.25" hidden="1" customHeight="1" x14ac:dyDescent="0.25">
      <c r="B456" s="204" t="s">
        <v>10</v>
      </c>
      <c r="C456" s="10" t="s">
        <v>1116</v>
      </c>
      <c r="D456" s="89">
        <v>45502</v>
      </c>
      <c r="E456" s="71" t="s">
        <v>79</v>
      </c>
      <c r="F456" s="9" t="s">
        <v>433</v>
      </c>
      <c r="G456" s="160">
        <v>1008</v>
      </c>
      <c r="H456" s="160"/>
      <c r="I456" s="160">
        <f t="shared" si="15"/>
        <v>1008</v>
      </c>
      <c r="J456" s="160">
        <f t="shared" si="16"/>
        <v>50.400000000000006</v>
      </c>
      <c r="K456" s="160">
        <f t="shared" si="17"/>
        <v>1058.4000000000001</v>
      </c>
      <c r="L456" s="13" t="s">
        <v>9</v>
      </c>
      <c r="P456" s="9">
        <v>1</v>
      </c>
    </row>
    <row r="457" spans="2:16" ht="17.25" hidden="1" customHeight="1" x14ac:dyDescent="0.25">
      <c r="B457" s="9" t="s">
        <v>102</v>
      </c>
      <c r="C457" s="10" t="s">
        <v>1117</v>
      </c>
      <c r="D457" s="89">
        <v>45499</v>
      </c>
      <c r="E457" s="71" t="s">
        <v>104</v>
      </c>
      <c r="F457" s="9" t="s">
        <v>826</v>
      </c>
      <c r="G457" s="160">
        <v>2040</v>
      </c>
      <c r="H457" s="160"/>
      <c r="I457" s="160">
        <f t="shared" si="15"/>
        <v>2040</v>
      </c>
      <c r="J457" s="160">
        <f t="shared" si="16"/>
        <v>102</v>
      </c>
      <c r="K457" s="160">
        <f t="shared" si="17"/>
        <v>2142</v>
      </c>
      <c r="L457" s="13" t="s">
        <v>9</v>
      </c>
      <c r="P457" s="9">
        <v>1</v>
      </c>
    </row>
    <row r="458" spans="2:16" ht="17.25" hidden="1" customHeight="1" x14ac:dyDescent="0.25">
      <c r="B458" s="9" t="s">
        <v>1124</v>
      </c>
      <c r="C458" s="10" t="s">
        <v>1118</v>
      </c>
      <c r="D458" s="192">
        <v>45498</v>
      </c>
      <c r="E458" s="70"/>
      <c r="F458" s="9" t="s">
        <v>1125</v>
      </c>
      <c r="G458" s="160">
        <v>150</v>
      </c>
      <c r="H458" s="160"/>
      <c r="I458" s="160">
        <f t="shared" si="15"/>
        <v>150</v>
      </c>
      <c r="J458" s="160">
        <f t="shared" si="16"/>
        <v>7.5</v>
      </c>
      <c r="K458" s="160">
        <f t="shared" si="17"/>
        <v>157.5</v>
      </c>
      <c r="L458" s="13" t="s">
        <v>25</v>
      </c>
      <c r="P458" s="9">
        <v>1</v>
      </c>
    </row>
    <row r="459" spans="2:16" ht="17.25" hidden="1" customHeight="1" x14ac:dyDescent="0.25">
      <c r="B459" s="9" t="s">
        <v>1006</v>
      </c>
      <c r="C459" s="10" t="s">
        <v>1119</v>
      </c>
      <c r="D459" s="89">
        <v>45499</v>
      </c>
      <c r="E459" s="70"/>
      <c r="F459" s="9" t="s">
        <v>1126</v>
      </c>
      <c r="G459" s="160">
        <v>868</v>
      </c>
      <c r="H459" s="160"/>
      <c r="I459" s="160">
        <f t="shared" si="15"/>
        <v>868</v>
      </c>
      <c r="J459" s="160">
        <f t="shared" si="16"/>
        <v>43.400000000000006</v>
      </c>
      <c r="K459" s="160">
        <f t="shared" si="17"/>
        <v>911.4</v>
      </c>
      <c r="L459" s="13" t="s">
        <v>1046</v>
      </c>
      <c r="P459" s="9">
        <v>1</v>
      </c>
    </row>
    <row r="460" spans="2:16" ht="17.25" hidden="1" customHeight="1" x14ac:dyDescent="0.25">
      <c r="B460" s="9" t="s">
        <v>1006</v>
      </c>
      <c r="C460" s="10" t="s">
        <v>1120</v>
      </c>
      <c r="D460" s="89">
        <v>45499</v>
      </c>
      <c r="E460" s="70"/>
      <c r="F460" s="9" t="s">
        <v>1127</v>
      </c>
      <c r="G460" s="160">
        <v>544</v>
      </c>
      <c r="H460" s="160"/>
      <c r="I460" s="160">
        <f t="shared" si="15"/>
        <v>544</v>
      </c>
      <c r="J460" s="160">
        <f t="shared" si="16"/>
        <v>27.200000000000003</v>
      </c>
      <c r="K460" s="160">
        <f t="shared" si="17"/>
        <v>571.20000000000005</v>
      </c>
      <c r="L460" s="13" t="s">
        <v>1046</v>
      </c>
      <c r="P460" s="9">
        <v>1</v>
      </c>
    </row>
    <row r="461" spans="2:16" ht="17.25" hidden="1" customHeight="1" x14ac:dyDescent="0.25">
      <c r="B461" s="9" t="s">
        <v>1128</v>
      </c>
      <c r="C461" s="10" t="s">
        <v>1121</v>
      </c>
      <c r="D461" s="89">
        <v>45499</v>
      </c>
      <c r="E461" s="70"/>
      <c r="F461" s="9" t="s">
        <v>1129</v>
      </c>
      <c r="G461" s="160">
        <v>333.33</v>
      </c>
      <c r="H461" s="160"/>
      <c r="I461" s="160">
        <f t="shared" si="15"/>
        <v>333.33</v>
      </c>
      <c r="J461" s="160">
        <f t="shared" si="16"/>
        <v>16.666499999999999</v>
      </c>
      <c r="K461" s="160">
        <f t="shared" si="17"/>
        <v>349.99649999999997</v>
      </c>
      <c r="L461" s="13" t="s">
        <v>9</v>
      </c>
      <c r="P461" s="9">
        <v>1</v>
      </c>
    </row>
    <row r="462" spans="2:16" ht="17.25" hidden="1" customHeight="1" x14ac:dyDescent="0.25">
      <c r="B462" s="9" t="s">
        <v>142</v>
      </c>
      <c r="C462" s="10" t="s">
        <v>1122</v>
      </c>
      <c r="D462" s="89">
        <v>45499</v>
      </c>
      <c r="E462" s="71" t="s">
        <v>143</v>
      </c>
      <c r="F462" s="9" t="s">
        <v>1130</v>
      </c>
      <c r="G462" s="160">
        <v>5528.75</v>
      </c>
      <c r="H462" s="160"/>
      <c r="I462" s="160">
        <f t="shared" ref="I462:I468" si="18">G462-H462</f>
        <v>5528.75</v>
      </c>
      <c r="J462" s="160">
        <f t="shared" ref="J462:J468" si="19">G462*5%</f>
        <v>276.4375</v>
      </c>
      <c r="K462" s="160">
        <f t="shared" ref="K462:K468" si="20">G462+J462</f>
        <v>5805.1875</v>
      </c>
      <c r="L462" s="13" t="s">
        <v>9</v>
      </c>
      <c r="P462" s="9">
        <v>1</v>
      </c>
    </row>
    <row r="463" spans="2:16" ht="17.25" hidden="1" customHeight="1" x14ac:dyDescent="0.25">
      <c r="B463" s="9" t="s">
        <v>22</v>
      </c>
      <c r="C463" s="10" t="s">
        <v>1131</v>
      </c>
      <c r="D463" s="89">
        <v>45492</v>
      </c>
      <c r="E463" s="71" t="s">
        <v>23</v>
      </c>
      <c r="F463" s="9" t="s">
        <v>598</v>
      </c>
      <c r="G463" s="160">
        <v>760</v>
      </c>
      <c r="H463" s="160"/>
      <c r="I463" s="160">
        <f t="shared" si="18"/>
        <v>760</v>
      </c>
      <c r="J463" s="160">
        <f t="shared" si="19"/>
        <v>38</v>
      </c>
      <c r="K463" s="160">
        <f t="shared" si="20"/>
        <v>798</v>
      </c>
      <c r="L463" s="13" t="s">
        <v>9</v>
      </c>
      <c r="P463" s="9">
        <v>1</v>
      </c>
    </row>
    <row r="464" spans="2:16" ht="17.25" hidden="1" customHeight="1" x14ac:dyDescent="0.25">
      <c r="B464" s="9" t="s">
        <v>1124</v>
      </c>
      <c r="C464" s="24" t="s">
        <v>1132</v>
      </c>
      <c r="D464" s="192">
        <v>45502</v>
      </c>
      <c r="E464" s="70"/>
      <c r="F464" s="9" t="s">
        <v>1133</v>
      </c>
      <c r="G464" s="160">
        <v>1450</v>
      </c>
      <c r="H464" s="160"/>
      <c r="I464" s="160">
        <f t="shared" si="18"/>
        <v>1450</v>
      </c>
      <c r="J464" s="160">
        <f t="shared" si="19"/>
        <v>72.5</v>
      </c>
      <c r="K464" s="160">
        <f t="shared" si="20"/>
        <v>1522.5</v>
      </c>
      <c r="L464" s="13" t="s">
        <v>25</v>
      </c>
      <c r="P464" s="9">
        <v>1</v>
      </c>
    </row>
    <row r="465" spans="2:16" ht="17.25" hidden="1" customHeight="1" x14ac:dyDescent="0.25">
      <c r="B465" s="9" t="s">
        <v>43</v>
      </c>
      <c r="C465" s="10" t="s">
        <v>1134</v>
      </c>
      <c r="D465" s="89">
        <v>45504</v>
      </c>
      <c r="E465" s="71" t="s">
        <v>30</v>
      </c>
      <c r="F465" s="9" t="s">
        <v>1135</v>
      </c>
      <c r="G465" s="160">
        <v>275</v>
      </c>
      <c r="H465" s="160"/>
      <c r="I465" s="160">
        <f t="shared" si="18"/>
        <v>275</v>
      </c>
      <c r="J465" s="160">
        <f t="shared" si="19"/>
        <v>13.75</v>
      </c>
      <c r="K465" s="160">
        <f t="shared" si="20"/>
        <v>288.75</v>
      </c>
      <c r="L465" s="13" t="s">
        <v>9</v>
      </c>
      <c r="P465" s="9">
        <v>1</v>
      </c>
    </row>
    <row r="466" spans="2:16" ht="17.25" hidden="1" customHeight="1" x14ac:dyDescent="0.25">
      <c r="B466" s="9" t="s">
        <v>299</v>
      </c>
      <c r="C466" s="10" t="s">
        <v>1136</v>
      </c>
      <c r="D466" s="89">
        <v>45506</v>
      </c>
      <c r="E466" s="71" t="s">
        <v>302</v>
      </c>
      <c r="F466" s="9" t="s">
        <v>300</v>
      </c>
      <c r="G466" s="160">
        <v>1580</v>
      </c>
      <c r="H466" s="160"/>
      <c r="I466" s="160">
        <f t="shared" si="18"/>
        <v>1580</v>
      </c>
      <c r="J466" s="160">
        <f t="shared" si="19"/>
        <v>79</v>
      </c>
      <c r="K466" s="160">
        <f t="shared" si="20"/>
        <v>1659</v>
      </c>
      <c r="L466" s="13" t="s">
        <v>78</v>
      </c>
      <c r="P466" s="9">
        <v>1</v>
      </c>
    </row>
    <row r="467" spans="2:16" ht="17.25" hidden="1" customHeight="1" x14ac:dyDescent="0.25">
      <c r="B467" s="9" t="s">
        <v>664</v>
      </c>
      <c r="C467" s="10" t="s">
        <v>1137</v>
      </c>
      <c r="D467" s="89">
        <v>45495</v>
      </c>
      <c r="E467" s="71" t="s">
        <v>237</v>
      </c>
      <c r="F467" s="9" t="s">
        <v>976</v>
      </c>
      <c r="G467" s="160">
        <v>78.75</v>
      </c>
      <c r="H467" s="160"/>
      <c r="I467" s="160">
        <f t="shared" si="18"/>
        <v>78.75</v>
      </c>
      <c r="J467" s="160">
        <f t="shared" si="19"/>
        <v>3.9375</v>
      </c>
      <c r="K467" s="160">
        <f t="shared" si="20"/>
        <v>82.6875</v>
      </c>
      <c r="L467" s="13" t="s">
        <v>9</v>
      </c>
      <c r="P467" s="9">
        <v>1</v>
      </c>
    </row>
    <row r="468" spans="2:16" ht="17.25" hidden="1" customHeight="1" x14ac:dyDescent="0.25">
      <c r="B468" s="9" t="s">
        <v>666</v>
      </c>
      <c r="C468" s="10" t="s">
        <v>1138</v>
      </c>
      <c r="D468" s="89">
        <v>45477</v>
      </c>
      <c r="E468" s="71" t="s">
        <v>237</v>
      </c>
      <c r="F468" s="9" t="s">
        <v>976</v>
      </c>
      <c r="G468" s="160">
        <v>31.5</v>
      </c>
      <c r="H468" s="160"/>
      <c r="I468" s="160">
        <f t="shared" si="18"/>
        <v>31.5</v>
      </c>
      <c r="J468" s="160">
        <f t="shared" si="19"/>
        <v>1.5750000000000002</v>
      </c>
      <c r="K468" s="160">
        <f t="shared" si="20"/>
        <v>33.075000000000003</v>
      </c>
      <c r="L468" s="13" t="s">
        <v>9</v>
      </c>
      <c r="P468" s="9">
        <v>1</v>
      </c>
    </row>
  </sheetData>
  <autoFilter ref="A2:Q468" xr:uid="{693CF295-2DA7-4A1E-BB74-7FD7C123BD90}">
    <filterColumn colId="1">
      <filters>
        <filter val="Al Naser International FZE"/>
        <filter val="Aram Precious Metals Trading FZE"/>
        <filter val="AUSTRAL INTERNATIONAL DMCC"/>
        <filter val="Austral International FZE"/>
        <filter val="LAYAN TRADING FZE"/>
      </filters>
    </filterColumn>
  </autoFilter>
  <conditionalFormatting sqref="B2 E2 L367:L373 B12:B393 B395 B397:B399 B401:B415 B417:B418 B420 B422:B428 B430 B432:B435 B437 B439:B450 E12:E452 B455:B457 E454:E468 B459:B463 B465:B468">
    <cfRule type="duplicateValues" dxfId="56" priority="14"/>
  </conditionalFormatting>
  <conditionalFormatting sqref="B2 L367:L373 B12:B393 B395 B397:B399 B401:B415 B417:B418 B420 B422:B428 B430 B432:B435 B437 B439:B450 B455:B457 B459:B463 B465:B468">
    <cfRule type="duplicateValues" dxfId="55" priority="13"/>
  </conditionalFormatting>
  <conditionalFormatting sqref="B3 E3">
    <cfRule type="duplicateValues" dxfId="54" priority="6"/>
  </conditionalFormatting>
  <conditionalFormatting sqref="B3">
    <cfRule type="duplicateValues" dxfId="53" priority="10"/>
  </conditionalFormatting>
  <conditionalFormatting sqref="B4:B5 E4:E5">
    <cfRule type="duplicateValues" dxfId="52" priority="9"/>
  </conditionalFormatting>
  <conditionalFormatting sqref="B4:B5">
    <cfRule type="duplicateValues" dxfId="51" priority="7"/>
  </conditionalFormatting>
  <conditionalFormatting sqref="B10">
    <cfRule type="duplicateValues" dxfId="50" priority="1"/>
    <cfRule type="duplicateValues" dxfId="49" priority="2"/>
  </conditionalFormatting>
  <conditionalFormatting sqref="B469:B1048576 E469:E1048576">
    <cfRule type="duplicateValues" dxfId="48" priority="85"/>
  </conditionalFormatting>
  <conditionalFormatting sqref="B469:B1048576">
    <cfRule type="duplicateValues" dxfId="47" priority="87"/>
  </conditionalFormatting>
  <conditionalFormatting sqref="E2 E12:E452 E454:E468">
    <cfRule type="duplicateValues" dxfId="46" priority="12"/>
  </conditionalFormatting>
  <conditionalFormatting sqref="E3">
    <cfRule type="duplicateValues" dxfId="45" priority="3"/>
    <cfRule type="duplicateValues" dxfId="44" priority="4"/>
    <cfRule type="duplicateValues" dxfId="43" priority="5"/>
  </conditionalFormatting>
  <conditionalFormatting sqref="E4:E5">
    <cfRule type="duplicateValues" dxfId="42" priority="8"/>
  </conditionalFormatting>
  <conditionalFormatting sqref="E469:E1048576 B469:B1048576">
    <cfRule type="duplicateValues" dxfId="41" priority="88"/>
  </conditionalFormatting>
  <conditionalFormatting sqref="E469:E1048576">
    <cfRule type="duplicateValues" dxfId="40" priority="86"/>
  </conditionalFormatting>
  <conditionalFormatting sqref="L367:L373 B1:B393 B395 B397:B399 B401:B415 B417:B418 B420 B422:B428 B430 B432:B435 B437 B439:B450 E1:E452 B455:B457 E454:E468 B459:B463 B465:B468">
    <cfRule type="duplicateValues" dxfId="39" priority="11"/>
  </conditionalFormatting>
  <dataValidations count="4">
    <dataValidation type="list" allowBlank="1" showInputMessage="1" showErrorMessage="1" sqref="L469:L1048576" xr:uid="{64B48617-776D-4E7F-996B-74C2BB2963BE}">
      <formula1>"DM, MARINELLE, REENA,GLEN, PROFORMA, GAGANDEEP, KF MARIYA"</formula1>
    </dataValidation>
    <dataValidation type="list" allowBlank="1" showInputMessage="1" showErrorMessage="1" sqref="L394" xr:uid="{8C544876-1F18-4020-AE4F-483D94364060}">
      <formula1>"DM, MARINELLE, REENA,GLEN, PROFORMA,GAGANDEEP, MARIYA"</formula1>
    </dataValidation>
    <dataValidation type="list" allowBlank="1" showInputMessage="1" showErrorMessage="1" sqref="L3:L159" xr:uid="{A6566952-BC53-4A98-80D3-4BB0194FB48B}">
      <formula1>"DM, MARINELLE, REENA,GLEN, PROFORMA,MELVIN"</formula1>
    </dataValidation>
    <dataValidation type="list" allowBlank="1" showInputMessage="1" showErrorMessage="1" sqref="L1:L2 L160:L393 L395:L468" xr:uid="{F9D568C9-935D-470C-AFC7-AD9D868A3302}">
      <formula1>"DM, MARINELLE, REENA,GLEN, BNI, PROFORMA, GAGANDEEP, KF MARIYA"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67F0-8EFA-439D-90AA-1C5A7FAC5A10}">
  <dimension ref="B2:P412"/>
  <sheetViews>
    <sheetView zoomScaleNormal="100" workbookViewId="0">
      <pane xSplit="2" ySplit="2" topLeftCell="C385" activePane="bottomRight" state="frozen"/>
      <selection pane="topRight" activeCell="C1" sqref="C1"/>
      <selection pane="bottomLeft" activeCell="A3" sqref="A3"/>
      <selection pane="bottomRight" activeCell="B407" sqref="B407"/>
    </sheetView>
  </sheetViews>
  <sheetFormatPr defaultRowHeight="17.25" customHeight="1" x14ac:dyDescent="0.25"/>
  <cols>
    <col min="1" max="1" width="2.85546875" customWidth="1"/>
    <col min="2" max="2" width="51.85546875" customWidth="1"/>
    <col min="3" max="3" width="14.28515625" style="14" customWidth="1"/>
    <col min="4" max="4" width="19.85546875" style="93" customWidth="1"/>
    <col min="5" max="5" width="19.42578125" style="16" customWidth="1"/>
    <col min="6" max="6" width="40.28515625" customWidth="1"/>
    <col min="7" max="7" width="18.28515625" style="26" customWidth="1"/>
    <col min="8" max="8" width="13.42578125" style="26" customWidth="1"/>
    <col min="9" max="9" width="15.7109375" style="26" customWidth="1"/>
    <col min="10" max="10" width="11.7109375" style="26" customWidth="1"/>
    <col min="11" max="11" width="16.42578125" style="26" customWidth="1"/>
    <col min="12" max="12" width="19.5703125" style="18" customWidth="1"/>
    <col min="13" max="13" width="10.5703125" hidden="1" customWidth="1"/>
    <col min="14" max="14" width="11.85546875" hidden="1" customWidth="1"/>
    <col min="15" max="15" width="15.140625" customWidth="1"/>
    <col min="16" max="16" width="23.28515625" customWidth="1"/>
  </cols>
  <sheetData>
    <row r="2" spans="2:16" s="8" customFormat="1" ht="17.25" customHeight="1" x14ac:dyDescent="0.25">
      <c r="B2" s="1" t="s">
        <v>0</v>
      </c>
      <c r="C2" s="1" t="s">
        <v>1</v>
      </c>
      <c r="D2" s="88" t="s">
        <v>2</v>
      </c>
      <c r="E2" s="3" t="s">
        <v>3</v>
      </c>
      <c r="F2" s="1" t="s">
        <v>4</v>
      </c>
      <c r="G2" s="156" t="s">
        <v>5</v>
      </c>
      <c r="H2" s="157" t="s">
        <v>19</v>
      </c>
      <c r="I2" s="158" t="s">
        <v>20</v>
      </c>
      <c r="J2" s="156" t="s">
        <v>6</v>
      </c>
      <c r="K2" s="156" t="s">
        <v>7</v>
      </c>
      <c r="L2" s="4" t="s">
        <v>8</v>
      </c>
      <c r="M2" s="5">
        <f>COUNTA(C:C)-1</f>
        <v>404</v>
      </c>
      <c r="N2" s="6" t="e">
        <f>GETPIVOTDATA("Count of INVOICE NO.",#REF!)+GETPIVOTDATA("Count of INVOICE NO.",#REF!)</f>
        <v>#REF!</v>
      </c>
      <c r="O2" s="7">
        <f>SUM(G:G)</f>
        <v>1049942.517</v>
      </c>
      <c r="P2" s="8" t="s">
        <v>858</v>
      </c>
    </row>
    <row r="3" spans="2:16" ht="17.25" customHeight="1" x14ac:dyDescent="0.25">
      <c r="B3" s="9" t="s">
        <v>10</v>
      </c>
      <c r="C3" s="10" t="s">
        <v>32</v>
      </c>
      <c r="D3" s="89">
        <v>45293</v>
      </c>
      <c r="E3" s="34" t="s">
        <v>16</v>
      </c>
      <c r="F3" s="9" t="s">
        <v>41</v>
      </c>
      <c r="G3" s="159">
        <v>425.49</v>
      </c>
      <c r="H3" s="159"/>
      <c r="I3" s="159">
        <f t="shared" ref="I3:I66" si="0">G3-H3</f>
        <v>425.49</v>
      </c>
      <c r="J3" s="159">
        <f t="shared" ref="J3:J66" si="1">G3*5%</f>
        <v>21.274500000000003</v>
      </c>
      <c r="K3" s="159">
        <f t="shared" ref="K3:K66" si="2">G3+J3</f>
        <v>446.7645</v>
      </c>
      <c r="L3" s="29" t="s">
        <v>9</v>
      </c>
      <c r="N3" s="33"/>
      <c r="P3">
        <v>1</v>
      </c>
    </row>
    <row r="4" spans="2:16" ht="17.25" customHeight="1" x14ac:dyDescent="0.25">
      <c r="B4" s="9" t="s">
        <v>10</v>
      </c>
      <c r="C4" s="10" t="s">
        <v>33</v>
      </c>
      <c r="D4" s="89">
        <v>45295</v>
      </c>
      <c r="E4" s="34" t="s">
        <v>16</v>
      </c>
      <c r="F4" s="9" t="s">
        <v>42</v>
      </c>
      <c r="G4" s="159">
        <v>415</v>
      </c>
      <c r="H4" s="159"/>
      <c r="I4" s="160">
        <f t="shared" si="0"/>
        <v>415</v>
      </c>
      <c r="J4" s="160">
        <f t="shared" si="1"/>
        <v>20.75</v>
      </c>
      <c r="K4" s="160">
        <f t="shared" si="2"/>
        <v>435.75</v>
      </c>
      <c r="L4" s="13" t="s">
        <v>9</v>
      </c>
      <c r="N4" s="33"/>
      <c r="P4">
        <v>1</v>
      </c>
    </row>
    <row r="5" spans="2:16" ht="17.25" customHeight="1" x14ac:dyDescent="0.25">
      <c r="B5" s="9" t="s">
        <v>43</v>
      </c>
      <c r="C5" s="10" t="s">
        <v>34</v>
      </c>
      <c r="D5" s="89">
        <v>45295</v>
      </c>
      <c r="E5" s="34" t="s">
        <v>30</v>
      </c>
      <c r="F5" s="9" t="s">
        <v>44</v>
      </c>
      <c r="G5" s="159">
        <v>475</v>
      </c>
      <c r="H5" s="159"/>
      <c r="I5" s="160">
        <f t="shared" si="0"/>
        <v>475</v>
      </c>
      <c r="J5" s="160">
        <f t="shared" si="1"/>
        <v>23.75</v>
      </c>
      <c r="K5" s="160">
        <f t="shared" si="2"/>
        <v>498.75</v>
      </c>
      <c r="L5" s="13" t="s">
        <v>9</v>
      </c>
      <c r="N5" s="33"/>
      <c r="P5">
        <v>1</v>
      </c>
    </row>
    <row r="6" spans="2:16" ht="17.25" customHeight="1" x14ac:dyDescent="0.25">
      <c r="B6" s="9" t="s">
        <v>45</v>
      </c>
      <c r="C6" s="10" t="s">
        <v>35</v>
      </c>
      <c r="D6" s="89">
        <v>45306</v>
      </c>
      <c r="E6" s="34" t="s">
        <v>46</v>
      </c>
      <c r="F6" s="9" t="s">
        <v>84</v>
      </c>
      <c r="G6" s="159">
        <v>5850</v>
      </c>
      <c r="H6" s="159"/>
      <c r="I6" s="160">
        <f t="shared" si="0"/>
        <v>5850</v>
      </c>
      <c r="J6" s="160">
        <f t="shared" si="1"/>
        <v>292.5</v>
      </c>
      <c r="K6" s="160">
        <f t="shared" si="2"/>
        <v>6142.5</v>
      </c>
      <c r="L6" s="13" t="s">
        <v>78</v>
      </c>
      <c r="N6" s="33"/>
      <c r="P6">
        <v>1</v>
      </c>
    </row>
    <row r="7" spans="2:16" ht="17.25" customHeight="1" x14ac:dyDescent="0.25">
      <c r="B7" s="9" t="s">
        <v>26</v>
      </c>
      <c r="C7" s="10" t="s">
        <v>36</v>
      </c>
      <c r="D7" s="89">
        <v>45297</v>
      </c>
      <c r="E7" s="34" t="s">
        <v>21</v>
      </c>
      <c r="F7" s="9" t="s">
        <v>47</v>
      </c>
      <c r="G7" s="159">
        <v>425</v>
      </c>
      <c r="H7" s="159"/>
      <c r="I7" s="160">
        <f t="shared" si="0"/>
        <v>425</v>
      </c>
      <c r="J7" s="160">
        <f t="shared" si="1"/>
        <v>21.25</v>
      </c>
      <c r="K7" s="160">
        <f t="shared" si="2"/>
        <v>446.25</v>
      </c>
      <c r="L7" s="13" t="s">
        <v>9</v>
      </c>
      <c r="N7" s="33"/>
      <c r="P7">
        <v>1</v>
      </c>
    </row>
    <row r="8" spans="2:16" ht="17.25" customHeight="1" x14ac:dyDescent="0.25">
      <c r="B8" s="9" t="s">
        <v>48</v>
      </c>
      <c r="C8" s="10" t="s">
        <v>37</v>
      </c>
      <c r="D8" s="89">
        <v>45296</v>
      </c>
      <c r="E8" s="38" t="s">
        <v>24</v>
      </c>
      <c r="F8" s="9" t="s">
        <v>27</v>
      </c>
      <c r="G8" s="159">
        <v>7600</v>
      </c>
      <c r="H8" s="159"/>
      <c r="I8" s="159">
        <f t="shared" si="0"/>
        <v>7600</v>
      </c>
      <c r="J8" s="159">
        <f t="shared" si="1"/>
        <v>380</v>
      </c>
      <c r="K8" s="159">
        <f t="shared" si="2"/>
        <v>7980</v>
      </c>
      <c r="L8" s="29" t="s">
        <v>9</v>
      </c>
      <c r="N8" s="33"/>
      <c r="P8">
        <v>1</v>
      </c>
    </row>
    <row r="9" spans="2:16" ht="17.25" customHeight="1" x14ac:dyDescent="0.25">
      <c r="B9" s="9" t="s">
        <v>49</v>
      </c>
      <c r="C9" s="10" t="s">
        <v>38</v>
      </c>
      <c r="D9" s="89">
        <v>45302</v>
      </c>
      <c r="E9" s="34" t="s">
        <v>50</v>
      </c>
      <c r="F9" s="9" t="s">
        <v>51</v>
      </c>
      <c r="G9" s="159">
        <v>848</v>
      </c>
      <c r="H9" s="159"/>
      <c r="I9" s="159">
        <f t="shared" si="0"/>
        <v>848</v>
      </c>
      <c r="J9" s="159">
        <f t="shared" si="1"/>
        <v>42.400000000000006</v>
      </c>
      <c r="K9" s="159">
        <f t="shared" si="2"/>
        <v>890.4</v>
      </c>
      <c r="L9" s="29" t="s">
        <v>9</v>
      </c>
      <c r="N9" s="33"/>
      <c r="P9">
        <v>1</v>
      </c>
    </row>
    <row r="10" spans="2:16" ht="17.25" customHeight="1" x14ac:dyDescent="0.25">
      <c r="B10" s="9" t="s">
        <v>29</v>
      </c>
      <c r="C10" s="40" t="s">
        <v>39</v>
      </c>
      <c r="D10" s="89">
        <v>45300</v>
      </c>
      <c r="E10" s="34" t="s">
        <v>28</v>
      </c>
      <c r="F10" s="9" t="s">
        <v>52</v>
      </c>
      <c r="G10" s="159">
        <v>380</v>
      </c>
      <c r="H10" s="159"/>
      <c r="I10" s="160">
        <f t="shared" si="0"/>
        <v>380</v>
      </c>
      <c r="J10" s="160">
        <f t="shared" si="1"/>
        <v>19</v>
      </c>
      <c r="K10" s="160">
        <f t="shared" si="2"/>
        <v>399</v>
      </c>
      <c r="L10" s="13" t="s">
        <v>9</v>
      </c>
      <c r="N10" s="33"/>
      <c r="P10">
        <v>1</v>
      </c>
    </row>
    <row r="11" spans="2:16" ht="17.25" customHeight="1" x14ac:dyDescent="0.25">
      <c r="B11" s="9" t="s">
        <v>114</v>
      </c>
      <c r="C11" s="60" t="s">
        <v>40</v>
      </c>
      <c r="D11" s="89">
        <v>45316</v>
      </c>
      <c r="E11" s="34" t="s">
        <v>23</v>
      </c>
      <c r="F11" s="9" t="s">
        <v>53</v>
      </c>
      <c r="G11" s="159">
        <v>405</v>
      </c>
      <c r="H11" s="159"/>
      <c r="I11" s="160">
        <f t="shared" si="0"/>
        <v>405</v>
      </c>
      <c r="J11" s="160">
        <f t="shared" si="1"/>
        <v>20.25</v>
      </c>
      <c r="K11" s="160">
        <f t="shared" si="2"/>
        <v>425.25</v>
      </c>
      <c r="L11" s="13" t="s">
        <v>9</v>
      </c>
      <c r="N11" s="33"/>
      <c r="P11">
        <v>1</v>
      </c>
    </row>
    <row r="12" spans="2:16" ht="17.25" customHeight="1" x14ac:dyDescent="0.25">
      <c r="B12" s="9" t="s">
        <v>56</v>
      </c>
      <c r="C12" s="40" t="s">
        <v>54</v>
      </c>
      <c r="D12" s="89">
        <v>45300</v>
      </c>
      <c r="E12" s="38" t="s">
        <v>57</v>
      </c>
      <c r="F12" s="9" t="s">
        <v>58</v>
      </c>
      <c r="G12" s="159">
        <v>530</v>
      </c>
      <c r="H12" s="159"/>
      <c r="I12" s="160">
        <f t="shared" si="0"/>
        <v>530</v>
      </c>
      <c r="J12" s="160">
        <f t="shared" si="1"/>
        <v>26.5</v>
      </c>
      <c r="K12" s="160">
        <f t="shared" si="2"/>
        <v>556.5</v>
      </c>
      <c r="L12" s="29" t="s">
        <v>9</v>
      </c>
      <c r="P12">
        <v>1</v>
      </c>
    </row>
    <row r="13" spans="2:16" ht="17.25" customHeight="1" x14ac:dyDescent="0.25">
      <c r="B13" s="9" t="s">
        <v>48</v>
      </c>
      <c r="C13" s="40" t="s">
        <v>55</v>
      </c>
      <c r="D13" s="89">
        <v>45302</v>
      </c>
      <c r="E13" s="38" t="s">
        <v>24</v>
      </c>
      <c r="F13" s="9" t="s">
        <v>59</v>
      </c>
      <c r="G13" s="159">
        <v>760</v>
      </c>
      <c r="H13" s="159"/>
      <c r="I13" s="160">
        <f t="shared" si="0"/>
        <v>760</v>
      </c>
      <c r="J13" s="160">
        <f t="shared" si="1"/>
        <v>38</v>
      </c>
      <c r="K13" s="160">
        <f t="shared" si="2"/>
        <v>798</v>
      </c>
      <c r="L13" s="13" t="s">
        <v>9</v>
      </c>
      <c r="P13">
        <v>1</v>
      </c>
    </row>
    <row r="14" spans="2:16" ht="17.25" customHeight="1" x14ac:dyDescent="0.25">
      <c r="B14" s="61" t="s">
        <v>102</v>
      </c>
      <c r="C14" s="40" t="s">
        <v>61</v>
      </c>
      <c r="D14" s="89">
        <v>45300</v>
      </c>
      <c r="E14" s="38" t="s">
        <v>74</v>
      </c>
      <c r="F14" s="9" t="s">
        <v>73</v>
      </c>
      <c r="G14" s="159">
        <f>3.67*62.1</f>
        <v>227.90700000000001</v>
      </c>
      <c r="H14" s="159"/>
      <c r="I14" s="160">
        <f t="shared" si="0"/>
        <v>227.90700000000001</v>
      </c>
      <c r="J14" s="160">
        <f t="shared" si="1"/>
        <v>11.395350000000001</v>
      </c>
      <c r="K14" s="160">
        <f t="shared" si="2"/>
        <v>239.30235000000002</v>
      </c>
      <c r="L14" s="13" t="s">
        <v>9</v>
      </c>
      <c r="P14">
        <v>1</v>
      </c>
    </row>
    <row r="15" spans="2:16" ht="17.25" customHeight="1" x14ac:dyDescent="0.25">
      <c r="B15" s="9" t="s">
        <v>75</v>
      </c>
      <c r="C15" s="40" t="s">
        <v>62</v>
      </c>
      <c r="D15" s="89">
        <v>45303</v>
      </c>
      <c r="E15" s="38" t="s">
        <v>76</v>
      </c>
      <c r="F15" s="9" t="s">
        <v>77</v>
      </c>
      <c r="G15" s="159">
        <v>475</v>
      </c>
      <c r="H15" s="159"/>
      <c r="I15" s="160">
        <f t="shared" si="0"/>
        <v>475</v>
      </c>
      <c r="J15" s="160">
        <f t="shared" si="1"/>
        <v>23.75</v>
      </c>
      <c r="K15" s="160">
        <f t="shared" si="2"/>
        <v>498.75</v>
      </c>
      <c r="L15" s="13" t="s">
        <v>78</v>
      </c>
      <c r="P15">
        <v>1</v>
      </c>
    </row>
    <row r="16" spans="2:16" ht="17.25" customHeight="1" x14ac:dyDescent="0.25">
      <c r="B16" s="9" t="s">
        <v>10</v>
      </c>
      <c r="C16" s="40" t="s">
        <v>63</v>
      </c>
      <c r="D16" s="89">
        <v>45303</v>
      </c>
      <c r="E16" s="38" t="s">
        <v>79</v>
      </c>
      <c r="F16" s="9" t="s">
        <v>80</v>
      </c>
      <c r="G16" s="159">
        <v>440</v>
      </c>
      <c r="H16" s="159"/>
      <c r="I16" s="160">
        <f t="shared" si="0"/>
        <v>440</v>
      </c>
      <c r="J16" s="160">
        <f t="shared" si="1"/>
        <v>22</v>
      </c>
      <c r="K16" s="160">
        <f t="shared" si="2"/>
        <v>462</v>
      </c>
      <c r="L16" s="13" t="s">
        <v>9</v>
      </c>
      <c r="P16">
        <v>1</v>
      </c>
    </row>
    <row r="17" spans="2:16" ht="17.25" customHeight="1" x14ac:dyDescent="0.25">
      <c r="B17" s="9" t="s">
        <v>81</v>
      </c>
      <c r="C17" s="40" t="s">
        <v>64</v>
      </c>
      <c r="D17" s="89">
        <v>45303</v>
      </c>
      <c r="E17" s="38" t="s">
        <v>82</v>
      </c>
      <c r="F17" s="9" t="s">
        <v>83</v>
      </c>
      <c r="G17" s="159">
        <v>1250</v>
      </c>
      <c r="H17" s="159"/>
      <c r="I17" s="160">
        <f t="shared" si="0"/>
        <v>1250</v>
      </c>
      <c r="J17" s="160">
        <f t="shared" si="1"/>
        <v>62.5</v>
      </c>
      <c r="K17" s="160">
        <f t="shared" si="2"/>
        <v>1312.5</v>
      </c>
      <c r="L17" s="13" t="s">
        <v>78</v>
      </c>
      <c r="P17">
        <v>1</v>
      </c>
    </row>
    <row r="18" spans="2:16" ht="17.25" customHeight="1" x14ac:dyDescent="0.25">
      <c r="B18" s="9" t="s">
        <v>26</v>
      </c>
      <c r="C18" s="40" t="s">
        <v>65</v>
      </c>
      <c r="D18" s="89">
        <v>45303</v>
      </c>
      <c r="E18" s="38" t="s">
        <v>21</v>
      </c>
      <c r="F18" s="9" t="s">
        <v>85</v>
      </c>
      <c r="G18" s="159">
        <v>165</v>
      </c>
      <c r="H18" s="159"/>
      <c r="I18" s="160">
        <f t="shared" si="0"/>
        <v>165</v>
      </c>
      <c r="J18" s="160">
        <f t="shared" si="1"/>
        <v>8.25</v>
      </c>
      <c r="K18" s="160">
        <f t="shared" si="2"/>
        <v>173.25</v>
      </c>
      <c r="L18" s="13" t="s">
        <v>9</v>
      </c>
      <c r="P18">
        <v>1</v>
      </c>
    </row>
    <row r="19" spans="2:16" ht="17.25" customHeight="1" x14ac:dyDescent="0.25">
      <c r="B19" s="9" t="s">
        <v>86</v>
      </c>
      <c r="C19" s="40" t="s">
        <v>66</v>
      </c>
      <c r="D19" s="89">
        <v>45304</v>
      </c>
      <c r="E19" s="38" t="s">
        <v>87</v>
      </c>
      <c r="F19" s="9" t="s">
        <v>88</v>
      </c>
      <c r="G19" s="159">
        <v>825</v>
      </c>
      <c r="H19" s="159"/>
      <c r="I19" s="160">
        <f t="shared" si="0"/>
        <v>825</v>
      </c>
      <c r="J19" s="160">
        <f t="shared" si="1"/>
        <v>41.25</v>
      </c>
      <c r="K19" s="160">
        <f t="shared" si="2"/>
        <v>866.25</v>
      </c>
      <c r="L19" s="13" t="s">
        <v>9</v>
      </c>
      <c r="P19">
        <v>1</v>
      </c>
    </row>
    <row r="20" spans="2:16" ht="17.25" customHeight="1" x14ac:dyDescent="0.25">
      <c r="B20" s="9" t="s">
        <v>89</v>
      </c>
      <c r="C20" s="60" t="s">
        <v>67</v>
      </c>
      <c r="D20" s="89">
        <v>45316</v>
      </c>
      <c r="E20" s="38" t="s">
        <v>90</v>
      </c>
      <c r="F20" s="9" t="s">
        <v>91</v>
      </c>
      <c r="G20" s="159">
        <v>4252.5</v>
      </c>
      <c r="H20" s="159"/>
      <c r="I20" s="160">
        <f t="shared" si="0"/>
        <v>4252.5</v>
      </c>
      <c r="J20" s="160">
        <f t="shared" si="1"/>
        <v>212.625</v>
      </c>
      <c r="K20" s="160">
        <f t="shared" si="2"/>
        <v>4465.125</v>
      </c>
      <c r="L20" s="13" t="s">
        <v>78</v>
      </c>
      <c r="P20">
        <v>1</v>
      </c>
    </row>
    <row r="21" spans="2:16" ht="17.25" customHeight="1" x14ac:dyDescent="0.25">
      <c r="B21" s="9" t="s">
        <v>92</v>
      </c>
      <c r="C21" s="40" t="s">
        <v>68</v>
      </c>
      <c r="D21" s="89">
        <v>45307</v>
      </c>
      <c r="E21" s="38" t="s">
        <v>74</v>
      </c>
      <c r="F21" s="9" t="s">
        <v>93</v>
      </c>
      <c r="G21" s="159">
        <v>1690</v>
      </c>
      <c r="H21" s="159"/>
      <c r="I21" s="160">
        <f t="shared" si="0"/>
        <v>1690</v>
      </c>
      <c r="J21" s="160">
        <f t="shared" si="1"/>
        <v>84.5</v>
      </c>
      <c r="K21" s="160">
        <f t="shared" si="2"/>
        <v>1774.5</v>
      </c>
      <c r="L21" s="13" t="s">
        <v>78</v>
      </c>
      <c r="P21">
        <v>1</v>
      </c>
    </row>
    <row r="22" spans="2:16" ht="17.25" customHeight="1" x14ac:dyDescent="0.25">
      <c r="B22" s="9" t="s">
        <v>94</v>
      </c>
      <c r="C22" s="40" t="s">
        <v>69</v>
      </c>
      <c r="D22" s="89">
        <v>45306</v>
      </c>
      <c r="E22" s="38" t="s">
        <v>96</v>
      </c>
      <c r="F22" s="9" t="s">
        <v>95</v>
      </c>
      <c r="G22" s="159">
        <v>310</v>
      </c>
      <c r="H22" s="159"/>
      <c r="I22" s="160">
        <f t="shared" si="0"/>
        <v>310</v>
      </c>
      <c r="J22" s="160">
        <f t="shared" si="1"/>
        <v>15.5</v>
      </c>
      <c r="K22" s="160">
        <f t="shared" si="2"/>
        <v>325.5</v>
      </c>
      <c r="L22" s="13" t="s">
        <v>78</v>
      </c>
      <c r="P22">
        <v>1</v>
      </c>
    </row>
    <row r="23" spans="2:16" ht="17.25" customHeight="1" x14ac:dyDescent="0.25">
      <c r="B23" s="9" t="s">
        <v>97</v>
      </c>
      <c r="C23" s="40" t="s">
        <v>70</v>
      </c>
      <c r="D23" s="89">
        <v>45307</v>
      </c>
      <c r="E23" s="38" t="s">
        <v>98</v>
      </c>
      <c r="F23" s="9" t="s">
        <v>99</v>
      </c>
      <c r="G23" s="159">
        <v>5975</v>
      </c>
      <c r="H23" s="159"/>
      <c r="I23" s="160">
        <f t="shared" si="0"/>
        <v>5975</v>
      </c>
      <c r="J23" s="160">
        <f t="shared" si="1"/>
        <v>298.75</v>
      </c>
      <c r="K23" s="160">
        <f t="shared" si="2"/>
        <v>6273.75</v>
      </c>
      <c r="L23" s="13" t="s">
        <v>78</v>
      </c>
      <c r="P23">
        <v>1</v>
      </c>
    </row>
    <row r="24" spans="2:16" ht="17.25" customHeight="1" x14ac:dyDescent="0.25">
      <c r="B24" s="9" t="s">
        <v>100</v>
      </c>
      <c r="C24" s="40" t="s">
        <v>71</v>
      </c>
      <c r="D24" s="89">
        <v>45303</v>
      </c>
      <c r="E24" s="38" t="s">
        <v>74</v>
      </c>
      <c r="F24" s="9" t="s">
        <v>101</v>
      </c>
      <c r="G24" s="159">
        <v>120</v>
      </c>
      <c r="H24" s="159"/>
      <c r="I24" s="160">
        <f t="shared" si="0"/>
        <v>120</v>
      </c>
      <c r="J24" s="160">
        <f t="shared" si="1"/>
        <v>6</v>
      </c>
      <c r="K24" s="160">
        <f t="shared" si="2"/>
        <v>126</v>
      </c>
      <c r="L24" s="13" t="s">
        <v>9</v>
      </c>
      <c r="P24">
        <v>1</v>
      </c>
    </row>
    <row r="25" spans="2:16" ht="17.25" customHeight="1" x14ac:dyDescent="0.25">
      <c r="B25" s="61" t="s">
        <v>102</v>
      </c>
      <c r="C25" s="62" t="s">
        <v>103</v>
      </c>
      <c r="D25" s="90">
        <v>45303</v>
      </c>
      <c r="E25" s="63" t="s">
        <v>104</v>
      </c>
      <c r="F25" s="61" t="s">
        <v>105</v>
      </c>
      <c r="G25" s="161">
        <v>0</v>
      </c>
      <c r="H25" s="161"/>
      <c r="I25" s="161">
        <f t="shared" si="0"/>
        <v>0</v>
      </c>
      <c r="J25" s="161">
        <f t="shared" si="1"/>
        <v>0</v>
      </c>
      <c r="K25" s="161">
        <f t="shared" si="2"/>
        <v>0</v>
      </c>
      <c r="L25" s="64" t="s">
        <v>9</v>
      </c>
      <c r="P25">
        <v>1</v>
      </c>
    </row>
    <row r="26" spans="2:16" ht="17.25" customHeight="1" x14ac:dyDescent="0.25">
      <c r="B26" s="9" t="s">
        <v>45</v>
      </c>
      <c r="C26" s="40" t="s">
        <v>106</v>
      </c>
      <c r="D26" s="89">
        <v>45307</v>
      </c>
      <c r="E26" s="38" t="s">
        <v>46</v>
      </c>
      <c r="F26" s="9" t="s">
        <v>113</v>
      </c>
      <c r="G26" s="159">
        <v>200</v>
      </c>
      <c r="H26" s="159"/>
      <c r="I26" s="160">
        <f t="shared" si="0"/>
        <v>200</v>
      </c>
      <c r="J26" s="160">
        <f t="shared" si="1"/>
        <v>10</v>
      </c>
      <c r="K26" s="160">
        <f t="shared" si="2"/>
        <v>210</v>
      </c>
      <c r="L26" s="13" t="s">
        <v>78</v>
      </c>
      <c r="P26">
        <v>1</v>
      </c>
    </row>
    <row r="27" spans="2:16" ht="17.25" customHeight="1" x14ac:dyDescent="0.25">
      <c r="B27" s="9" t="s">
        <v>119</v>
      </c>
      <c r="C27" s="60" t="s">
        <v>107</v>
      </c>
      <c r="D27" s="89">
        <v>45313</v>
      </c>
      <c r="E27" s="38" t="s">
        <v>74</v>
      </c>
      <c r="F27" s="9" t="s">
        <v>120</v>
      </c>
      <c r="G27" s="159">
        <v>7595.24</v>
      </c>
      <c r="H27" s="159"/>
      <c r="I27" s="160">
        <f t="shared" si="0"/>
        <v>7595.24</v>
      </c>
      <c r="J27" s="160">
        <f t="shared" si="1"/>
        <v>379.762</v>
      </c>
      <c r="K27" s="160">
        <f t="shared" si="2"/>
        <v>7975.0019999999995</v>
      </c>
      <c r="L27" s="13" t="s">
        <v>78</v>
      </c>
      <c r="P27">
        <v>1</v>
      </c>
    </row>
    <row r="28" spans="2:16" ht="17.25" customHeight="1" x14ac:dyDescent="0.25">
      <c r="B28" s="9" t="s">
        <v>114</v>
      </c>
      <c r="C28" s="40" t="s">
        <v>108</v>
      </c>
      <c r="D28" s="89">
        <v>45321</v>
      </c>
      <c r="E28" s="38" t="s">
        <v>115</v>
      </c>
      <c r="F28" s="9" t="s">
        <v>116</v>
      </c>
      <c r="G28" s="159">
        <v>470</v>
      </c>
      <c r="H28" s="159"/>
      <c r="I28" s="160">
        <f t="shared" si="0"/>
        <v>470</v>
      </c>
      <c r="J28" s="160">
        <f t="shared" si="1"/>
        <v>23.5</v>
      </c>
      <c r="K28" s="160">
        <f t="shared" si="2"/>
        <v>493.5</v>
      </c>
      <c r="L28" s="13" t="s">
        <v>9</v>
      </c>
      <c r="P28">
        <v>1</v>
      </c>
    </row>
    <row r="29" spans="2:16" ht="17.25" customHeight="1" x14ac:dyDescent="0.25">
      <c r="B29" s="9" t="s">
        <v>102</v>
      </c>
      <c r="C29" s="60" t="s">
        <v>109</v>
      </c>
      <c r="D29" s="89">
        <v>45325</v>
      </c>
      <c r="E29" s="38" t="s">
        <v>104</v>
      </c>
      <c r="F29" s="9" t="s">
        <v>117</v>
      </c>
      <c r="G29" s="159">
        <v>526.5</v>
      </c>
      <c r="H29" s="159"/>
      <c r="I29" s="160">
        <f t="shared" si="0"/>
        <v>526.5</v>
      </c>
      <c r="J29" s="160">
        <f t="shared" si="1"/>
        <v>26.325000000000003</v>
      </c>
      <c r="K29" s="160">
        <f t="shared" si="2"/>
        <v>552.82500000000005</v>
      </c>
      <c r="L29" s="13" t="s">
        <v>9</v>
      </c>
      <c r="P29">
        <v>1</v>
      </c>
    </row>
    <row r="30" spans="2:16" ht="17.25" customHeight="1" x14ac:dyDescent="0.25">
      <c r="B30" s="9" t="s">
        <v>10</v>
      </c>
      <c r="C30" s="40" t="s">
        <v>110</v>
      </c>
      <c r="D30" s="89">
        <v>45308</v>
      </c>
      <c r="E30" s="38" t="s">
        <v>16</v>
      </c>
      <c r="F30" s="9" t="s">
        <v>121</v>
      </c>
      <c r="G30" s="159">
        <v>955</v>
      </c>
      <c r="H30" s="159"/>
      <c r="I30" s="160">
        <f t="shared" si="0"/>
        <v>955</v>
      </c>
      <c r="J30" s="160">
        <f t="shared" si="1"/>
        <v>47.75</v>
      </c>
      <c r="K30" s="160">
        <f t="shared" si="2"/>
        <v>1002.75</v>
      </c>
      <c r="L30" s="13" t="s">
        <v>9</v>
      </c>
      <c r="P30">
        <v>1</v>
      </c>
    </row>
    <row r="31" spans="2:16" ht="17.25" customHeight="1" x14ac:dyDescent="0.25">
      <c r="B31" s="9" t="s">
        <v>122</v>
      </c>
      <c r="C31" s="40" t="s">
        <v>111</v>
      </c>
      <c r="D31" s="89">
        <v>45309</v>
      </c>
      <c r="E31" s="38" t="s">
        <v>74</v>
      </c>
      <c r="F31" s="9" t="s">
        <v>123</v>
      </c>
      <c r="G31" s="159">
        <v>350</v>
      </c>
      <c r="H31" s="159"/>
      <c r="I31" s="160">
        <f t="shared" si="0"/>
        <v>350</v>
      </c>
      <c r="J31" s="160">
        <f t="shared" si="1"/>
        <v>17.5</v>
      </c>
      <c r="K31" s="160">
        <f t="shared" si="2"/>
        <v>367.5</v>
      </c>
      <c r="L31" s="13" t="s">
        <v>9</v>
      </c>
      <c r="P31">
        <v>1</v>
      </c>
    </row>
    <row r="32" spans="2:16" ht="17.25" customHeight="1" x14ac:dyDescent="0.25">
      <c r="B32" s="9" t="s">
        <v>10</v>
      </c>
      <c r="C32" s="40" t="s">
        <v>112</v>
      </c>
      <c r="D32" s="89">
        <v>45308</v>
      </c>
      <c r="E32" s="38" t="s">
        <v>79</v>
      </c>
      <c r="F32" s="9" t="s">
        <v>124</v>
      </c>
      <c r="G32" s="159">
        <v>435</v>
      </c>
      <c r="H32" s="159"/>
      <c r="I32" s="160">
        <f t="shared" si="0"/>
        <v>435</v>
      </c>
      <c r="J32" s="160">
        <f t="shared" si="1"/>
        <v>21.75</v>
      </c>
      <c r="K32" s="160">
        <f t="shared" si="2"/>
        <v>456.75</v>
      </c>
      <c r="L32" s="13" t="s">
        <v>9</v>
      </c>
      <c r="P32">
        <v>1</v>
      </c>
    </row>
    <row r="33" spans="2:16" ht="17.25" customHeight="1" x14ac:dyDescent="0.25">
      <c r="B33" s="9" t="s">
        <v>43</v>
      </c>
      <c r="C33" s="40" t="s">
        <v>118</v>
      </c>
      <c r="D33" s="89">
        <v>45308</v>
      </c>
      <c r="E33" s="38" t="s">
        <v>126</v>
      </c>
      <c r="F33" s="9" t="s">
        <v>125</v>
      </c>
      <c r="G33" s="159">
        <v>78.75</v>
      </c>
      <c r="H33" s="159"/>
      <c r="I33" s="160">
        <f t="shared" si="0"/>
        <v>78.75</v>
      </c>
      <c r="J33" s="160">
        <f t="shared" si="1"/>
        <v>3.9375</v>
      </c>
      <c r="K33" s="160">
        <f t="shared" si="2"/>
        <v>82.6875</v>
      </c>
      <c r="L33" s="13" t="s">
        <v>9</v>
      </c>
      <c r="P33">
        <v>1</v>
      </c>
    </row>
    <row r="34" spans="2:16" ht="17.25" customHeight="1" x14ac:dyDescent="0.25">
      <c r="B34" s="9" t="s">
        <v>29</v>
      </c>
      <c r="C34" s="40" t="s">
        <v>127</v>
      </c>
      <c r="D34" s="89">
        <v>45309</v>
      </c>
      <c r="E34" s="38" t="s">
        <v>128</v>
      </c>
      <c r="F34" s="9" t="s">
        <v>129</v>
      </c>
      <c r="G34" s="159">
        <v>424.95</v>
      </c>
      <c r="H34" s="159"/>
      <c r="I34" s="160">
        <f t="shared" si="0"/>
        <v>424.95</v>
      </c>
      <c r="J34" s="160">
        <f t="shared" si="1"/>
        <v>21.247500000000002</v>
      </c>
      <c r="K34" s="160">
        <f t="shared" si="2"/>
        <v>446.19749999999999</v>
      </c>
      <c r="L34" s="13" t="s">
        <v>9</v>
      </c>
      <c r="P34">
        <v>1</v>
      </c>
    </row>
    <row r="35" spans="2:16" ht="17.25" customHeight="1" x14ac:dyDescent="0.25">
      <c r="B35" s="9" t="s">
        <v>114</v>
      </c>
      <c r="C35" s="40" t="s">
        <v>130</v>
      </c>
      <c r="D35" s="89">
        <v>45315</v>
      </c>
      <c r="E35" s="38" t="s">
        <v>115</v>
      </c>
      <c r="F35" s="9" t="s">
        <v>134</v>
      </c>
      <c r="G35" s="159">
        <v>4290</v>
      </c>
      <c r="H35" s="159"/>
      <c r="I35" s="160">
        <f t="shared" si="0"/>
        <v>4290</v>
      </c>
      <c r="J35" s="160">
        <f t="shared" si="1"/>
        <v>214.5</v>
      </c>
      <c r="K35" s="160">
        <f t="shared" si="2"/>
        <v>4504.5</v>
      </c>
      <c r="L35" s="13" t="s">
        <v>9</v>
      </c>
      <c r="P35">
        <v>1</v>
      </c>
    </row>
    <row r="36" spans="2:16" ht="17.25" customHeight="1" x14ac:dyDescent="0.25">
      <c r="B36" s="9" t="s">
        <v>26</v>
      </c>
      <c r="C36" s="40" t="s">
        <v>131</v>
      </c>
      <c r="D36" s="89">
        <v>45314</v>
      </c>
      <c r="E36" s="38" t="s">
        <v>21</v>
      </c>
      <c r="F36" s="9" t="s">
        <v>135</v>
      </c>
      <c r="G36" s="159">
        <v>725</v>
      </c>
      <c r="H36" s="159"/>
      <c r="I36" s="160">
        <f t="shared" si="0"/>
        <v>725</v>
      </c>
      <c r="J36" s="160">
        <f t="shared" si="1"/>
        <v>36.25</v>
      </c>
      <c r="K36" s="160">
        <f t="shared" si="2"/>
        <v>761.25</v>
      </c>
      <c r="L36" s="13" t="s">
        <v>9</v>
      </c>
      <c r="P36">
        <v>1</v>
      </c>
    </row>
    <row r="37" spans="2:16" ht="17.25" customHeight="1" x14ac:dyDescent="0.25">
      <c r="B37" s="9" t="s">
        <v>136</v>
      </c>
      <c r="C37" s="40" t="s">
        <v>132</v>
      </c>
      <c r="D37" s="89">
        <v>45314</v>
      </c>
      <c r="E37" s="38" t="s">
        <v>137</v>
      </c>
      <c r="F37" s="9" t="s">
        <v>138</v>
      </c>
      <c r="G37" s="159">
        <v>3150</v>
      </c>
      <c r="H37" s="159"/>
      <c r="I37" s="160">
        <f t="shared" si="0"/>
        <v>3150</v>
      </c>
      <c r="J37" s="160">
        <f t="shared" si="1"/>
        <v>157.5</v>
      </c>
      <c r="K37" s="160">
        <f t="shared" si="2"/>
        <v>3307.5</v>
      </c>
      <c r="L37" s="13" t="s">
        <v>78</v>
      </c>
      <c r="P37">
        <v>1</v>
      </c>
    </row>
    <row r="38" spans="2:16" ht="17.25" customHeight="1" x14ac:dyDescent="0.25">
      <c r="B38" s="9" t="s">
        <v>139</v>
      </c>
      <c r="C38" s="40" t="s">
        <v>133</v>
      </c>
      <c r="D38" s="89">
        <v>45313</v>
      </c>
      <c r="E38" s="38" t="s">
        <v>140</v>
      </c>
      <c r="F38" s="9" t="s">
        <v>141</v>
      </c>
      <c r="G38" s="159">
        <v>380</v>
      </c>
      <c r="H38" s="159"/>
      <c r="I38" s="160">
        <f t="shared" si="0"/>
        <v>380</v>
      </c>
      <c r="J38" s="160">
        <f t="shared" si="1"/>
        <v>19</v>
      </c>
      <c r="K38" s="160">
        <f t="shared" si="2"/>
        <v>399</v>
      </c>
      <c r="L38" s="13" t="s">
        <v>78</v>
      </c>
      <c r="P38">
        <v>1</v>
      </c>
    </row>
    <row r="39" spans="2:16" ht="17.25" customHeight="1" x14ac:dyDescent="0.25">
      <c r="B39" s="9" t="s">
        <v>147</v>
      </c>
      <c r="C39" s="40" t="s">
        <v>145</v>
      </c>
      <c r="D39" s="89">
        <v>45313</v>
      </c>
      <c r="E39" s="38" t="s">
        <v>74</v>
      </c>
      <c r="F39" s="9" t="s">
        <v>148</v>
      </c>
      <c r="G39" s="159">
        <v>1250</v>
      </c>
      <c r="H39" s="159"/>
      <c r="I39" s="160">
        <f t="shared" si="0"/>
        <v>1250</v>
      </c>
      <c r="J39" s="160">
        <f t="shared" si="1"/>
        <v>62.5</v>
      </c>
      <c r="K39" s="160">
        <f t="shared" si="2"/>
        <v>1312.5</v>
      </c>
      <c r="L39" s="13" t="s">
        <v>9</v>
      </c>
      <c r="P39">
        <v>1</v>
      </c>
    </row>
    <row r="40" spans="2:16" ht="17.25" customHeight="1" x14ac:dyDescent="0.25">
      <c r="B40" s="9" t="s">
        <v>122</v>
      </c>
      <c r="C40" s="40" t="s">
        <v>146</v>
      </c>
      <c r="D40" s="89">
        <v>45311</v>
      </c>
      <c r="E40" s="38" t="s">
        <v>74</v>
      </c>
      <c r="F40" s="9" t="s">
        <v>166</v>
      </c>
      <c r="G40" s="159">
        <v>4125</v>
      </c>
      <c r="H40" s="159"/>
      <c r="I40" s="160">
        <f t="shared" si="0"/>
        <v>4125</v>
      </c>
      <c r="J40" s="160">
        <f t="shared" si="1"/>
        <v>206.25</v>
      </c>
      <c r="K40" s="160">
        <f t="shared" si="2"/>
        <v>4331.25</v>
      </c>
      <c r="L40" s="13" t="s">
        <v>9</v>
      </c>
      <c r="P40">
        <v>1</v>
      </c>
    </row>
    <row r="41" spans="2:16" ht="17.25" customHeight="1" x14ac:dyDescent="0.25">
      <c r="B41" s="9" t="s">
        <v>161</v>
      </c>
      <c r="C41" s="40" t="s">
        <v>149</v>
      </c>
      <c r="D41" s="89">
        <v>45313</v>
      </c>
      <c r="E41" s="38" t="s">
        <v>74</v>
      </c>
      <c r="F41" s="9" t="s">
        <v>162</v>
      </c>
      <c r="G41" s="159">
        <v>995</v>
      </c>
      <c r="H41" s="159"/>
      <c r="I41" s="160">
        <f t="shared" si="0"/>
        <v>995</v>
      </c>
      <c r="J41" s="160">
        <f t="shared" si="1"/>
        <v>49.75</v>
      </c>
      <c r="K41" s="160">
        <f t="shared" si="2"/>
        <v>1044.75</v>
      </c>
      <c r="L41" s="13" t="s">
        <v>78</v>
      </c>
      <c r="P41">
        <v>1</v>
      </c>
    </row>
    <row r="42" spans="2:16" ht="17.25" customHeight="1" x14ac:dyDescent="0.25">
      <c r="B42" s="9" t="s">
        <v>163</v>
      </c>
      <c r="C42" s="40" t="s">
        <v>150</v>
      </c>
      <c r="D42" s="89">
        <v>45313</v>
      </c>
      <c r="E42" s="38" t="s">
        <v>74</v>
      </c>
      <c r="F42" s="9" t="s">
        <v>164</v>
      </c>
      <c r="G42" s="159">
        <v>95</v>
      </c>
      <c r="H42" s="159"/>
      <c r="I42" s="160">
        <f t="shared" si="0"/>
        <v>95</v>
      </c>
      <c r="J42" s="160">
        <f t="shared" si="1"/>
        <v>4.75</v>
      </c>
      <c r="K42" s="160">
        <f t="shared" si="2"/>
        <v>99.75</v>
      </c>
      <c r="L42" s="13" t="s">
        <v>78</v>
      </c>
      <c r="P42">
        <v>1</v>
      </c>
    </row>
    <row r="43" spans="2:16" ht="17.25" customHeight="1" x14ac:dyDescent="0.25">
      <c r="B43" s="9" t="s">
        <v>10</v>
      </c>
      <c r="C43" s="40" t="s">
        <v>151</v>
      </c>
      <c r="D43" s="89">
        <v>45315</v>
      </c>
      <c r="E43" s="38" t="s">
        <v>16</v>
      </c>
      <c r="F43" s="9" t="s">
        <v>165</v>
      </c>
      <c r="G43" s="159">
        <v>210</v>
      </c>
      <c r="H43" s="159"/>
      <c r="I43" s="160">
        <f t="shared" si="0"/>
        <v>210</v>
      </c>
      <c r="J43" s="160">
        <f t="shared" si="1"/>
        <v>10.5</v>
      </c>
      <c r="K43" s="160">
        <f t="shared" si="2"/>
        <v>220.5</v>
      </c>
      <c r="L43" s="13" t="s">
        <v>9</v>
      </c>
      <c r="P43">
        <v>1</v>
      </c>
    </row>
    <row r="44" spans="2:16" ht="17.25" customHeight="1" x14ac:dyDescent="0.25">
      <c r="B44" s="9" t="s">
        <v>167</v>
      </c>
      <c r="C44" s="40" t="s">
        <v>152</v>
      </c>
      <c r="D44" s="89">
        <v>45315</v>
      </c>
      <c r="E44" s="38" t="s">
        <v>168</v>
      </c>
      <c r="F44" s="9" t="s">
        <v>73</v>
      </c>
      <c r="G44" s="159">
        <v>1106</v>
      </c>
      <c r="H44" s="159"/>
      <c r="I44" s="160">
        <f t="shared" si="0"/>
        <v>1106</v>
      </c>
      <c r="J44" s="160">
        <f t="shared" si="1"/>
        <v>55.300000000000004</v>
      </c>
      <c r="K44" s="160">
        <f t="shared" si="2"/>
        <v>1161.3</v>
      </c>
      <c r="L44" s="13" t="s">
        <v>169</v>
      </c>
      <c r="P44">
        <v>1</v>
      </c>
    </row>
    <row r="45" spans="2:16" ht="17.25" customHeight="1" x14ac:dyDescent="0.25">
      <c r="B45" s="9" t="s">
        <v>10</v>
      </c>
      <c r="C45" s="40" t="s">
        <v>153</v>
      </c>
      <c r="D45" s="89">
        <v>45315</v>
      </c>
      <c r="E45" s="38" t="s">
        <v>16</v>
      </c>
      <c r="F45" s="9" t="s">
        <v>170</v>
      </c>
      <c r="G45" s="159">
        <v>435</v>
      </c>
      <c r="H45" s="159"/>
      <c r="I45" s="160">
        <f t="shared" si="0"/>
        <v>435</v>
      </c>
      <c r="J45" s="160">
        <f t="shared" si="1"/>
        <v>21.75</v>
      </c>
      <c r="K45" s="160">
        <f t="shared" si="2"/>
        <v>456.75</v>
      </c>
      <c r="L45" s="13" t="s">
        <v>9</v>
      </c>
      <c r="P45">
        <v>1</v>
      </c>
    </row>
    <row r="46" spans="2:16" ht="17.25" customHeight="1" x14ac:dyDescent="0.25">
      <c r="B46" s="9" t="s">
        <v>10</v>
      </c>
      <c r="C46" s="40" t="s">
        <v>154</v>
      </c>
      <c r="D46" s="89">
        <v>45315</v>
      </c>
      <c r="E46" s="38" t="s">
        <v>16</v>
      </c>
      <c r="F46" s="9" t="s">
        <v>171</v>
      </c>
      <c r="G46" s="159">
        <v>5580</v>
      </c>
      <c r="H46" s="159"/>
      <c r="I46" s="160">
        <f t="shared" si="0"/>
        <v>5580</v>
      </c>
      <c r="J46" s="160">
        <f t="shared" si="1"/>
        <v>279</v>
      </c>
      <c r="K46" s="160">
        <f t="shared" si="2"/>
        <v>5859</v>
      </c>
      <c r="L46" s="13" t="s">
        <v>9</v>
      </c>
      <c r="P46">
        <v>1</v>
      </c>
    </row>
    <row r="47" spans="2:16" ht="17.25" customHeight="1" x14ac:dyDescent="0.25">
      <c r="B47" s="9" t="s">
        <v>172</v>
      </c>
      <c r="C47" s="40" t="s">
        <v>155</v>
      </c>
      <c r="D47" s="89">
        <v>45316</v>
      </c>
      <c r="E47" s="38" t="s">
        <v>74</v>
      </c>
      <c r="F47" s="9" t="s">
        <v>173</v>
      </c>
      <c r="G47" s="159">
        <v>400</v>
      </c>
      <c r="H47" s="159"/>
      <c r="I47" s="160">
        <f t="shared" si="0"/>
        <v>400</v>
      </c>
      <c r="J47" s="160">
        <f t="shared" si="1"/>
        <v>20</v>
      </c>
      <c r="K47" s="160">
        <f t="shared" si="2"/>
        <v>420</v>
      </c>
      <c r="L47" s="13" t="s">
        <v>78</v>
      </c>
      <c r="P47">
        <v>1</v>
      </c>
    </row>
    <row r="48" spans="2:16" ht="17.25" customHeight="1" x14ac:dyDescent="0.25">
      <c r="B48" s="9" t="s">
        <v>409</v>
      </c>
      <c r="C48" s="40" t="s">
        <v>156</v>
      </c>
      <c r="D48" s="89">
        <v>45320</v>
      </c>
      <c r="E48" s="38" t="s">
        <v>175</v>
      </c>
      <c r="F48" s="9" t="s">
        <v>176</v>
      </c>
      <c r="G48" s="159">
        <v>745</v>
      </c>
      <c r="H48" s="159"/>
      <c r="I48" s="160">
        <f t="shared" si="0"/>
        <v>745</v>
      </c>
      <c r="J48" s="160">
        <f t="shared" si="1"/>
        <v>37.25</v>
      </c>
      <c r="K48" s="160">
        <f t="shared" si="2"/>
        <v>782.25</v>
      </c>
      <c r="L48" s="13" t="s">
        <v>78</v>
      </c>
      <c r="P48">
        <v>1</v>
      </c>
    </row>
    <row r="49" spans="2:16" ht="17.25" customHeight="1" x14ac:dyDescent="0.25">
      <c r="B49" s="9" t="s">
        <v>177</v>
      </c>
      <c r="C49" s="40" t="s">
        <v>157</v>
      </c>
      <c r="D49" s="89">
        <v>45320</v>
      </c>
      <c r="E49" s="38" t="s">
        <v>178</v>
      </c>
      <c r="F49" s="9" t="s">
        <v>179</v>
      </c>
      <c r="G49" s="159">
        <v>250</v>
      </c>
      <c r="H49" s="159"/>
      <c r="I49" s="160">
        <f t="shared" si="0"/>
        <v>250</v>
      </c>
      <c r="J49" s="160">
        <f t="shared" si="1"/>
        <v>12.5</v>
      </c>
      <c r="K49" s="160">
        <f t="shared" si="2"/>
        <v>262.5</v>
      </c>
      <c r="L49" s="13" t="s">
        <v>78</v>
      </c>
      <c r="P49">
        <v>1</v>
      </c>
    </row>
    <row r="50" spans="2:16" ht="17.25" customHeight="1" x14ac:dyDescent="0.25">
      <c r="B50" s="9" t="s">
        <v>409</v>
      </c>
      <c r="C50" s="40" t="s">
        <v>158</v>
      </c>
      <c r="D50" s="89">
        <v>45320</v>
      </c>
      <c r="E50" s="38" t="s">
        <v>181</v>
      </c>
      <c r="F50" s="9" t="s">
        <v>179</v>
      </c>
      <c r="G50" s="159">
        <v>250</v>
      </c>
      <c r="H50" s="159"/>
      <c r="I50" s="160">
        <f t="shared" si="0"/>
        <v>250</v>
      </c>
      <c r="J50" s="160">
        <f t="shared" si="1"/>
        <v>12.5</v>
      </c>
      <c r="K50" s="160">
        <f t="shared" si="2"/>
        <v>262.5</v>
      </c>
      <c r="L50" s="13" t="s">
        <v>78</v>
      </c>
      <c r="P50">
        <v>1</v>
      </c>
    </row>
    <row r="51" spans="2:16" ht="17.25" customHeight="1" x14ac:dyDescent="0.25">
      <c r="B51" s="9" t="s">
        <v>409</v>
      </c>
      <c r="C51" s="40" t="s">
        <v>159</v>
      </c>
      <c r="D51" s="89">
        <v>45320</v>
      </c>
      <c r="E51" s="38" t="s">
        <v>183</v>
      </c>
      <c r="F51" s="9" t="s">
        <v>179</v>
      </c>
      <c r="G51" s="159">
        <v>200</v>
      </c>
      <c r="H51" s="159"/>
      <c r="I51" s="160">
        <f t="shared" si="0"/>
        <v>200</v>
      </c>
      <c r="J51" s="160">
        <f t="shared" si="1"/>
        <v>10</v>
      </c>
      <c r="K51" s="160">
        <f t="shared" si="2"/>
        <v>210</v>
      </c>
      <c r="L51" s="13" t="s">
        <v>78</v>
      </c>
      <c r="P51">
        <v>1</v>
      </c>
    </row>
    <row r="52" spans="2:16" ht="17.25" customHeight="1" x14ac:dyDescent="0.25">
      <c r="B52" s="9" t="s">
        <v>184</v>
      </c>
      <c r="C52" s="60" t="s">
        <v>160</v>
      </c>
      <c r="D52" s="89">
        <v>45317</v>
      </c>
      <c r="E52" s="38" t="s">
        <v>185</v>
      </c>
      <c r="F52" s="9" t="s">
        <v>186</v>
      </c>
      <c r="G52" s="159">
        <v>3950</v>
      </c>
      <c r="H52" s="159"/>
      <c r="I52" s="160">
        <f t="shared" si="0"/>
        <v>3950</v>
      </c>
      <c r="J52" s="160">
        <f t="shared" si="1"/>
        <v>197.5</v>
      </c>
      <c r="K52" s="160">
        <f t="shared" si="2"/>
        <v>4147.5</v>
      </c>
      <c r="L52" s="13" t="s">
        <v>9</v>
      </c>
      <c r="P52">
        <v>1</v>
      </c>
    </row>
    <row r="53" spans="2:16" ht="17.25" customHeight="1" x14ac:dyDescent="0.25">
      <c r="B53" s="9" t="s">
        <v>102</v>
      </c>
      <c r="C53" s="60" t="s">
        <v>187</v>
      </c>
      <c r="D53" s="89">
        <v>45317</v>
      </c>
      <c r="E53" s="38" t="s">
        <v>104</v>
      </c>
      <c r="F53" s="9" t="s">
        <v>193</v>
      </c>
      <c r="G53" s="159">
        <v>28</v>
      </c>
      <c r="H53" s="159"/>
      <c r="I53" s="160">
        <f t="shared" si="0"/>
        <v>28</v>
      </c>
      <c r="J53" s="160">
        <f t="shared" si="1"/>
        <v>1.4000000000000001</v>
      </c>
      <c r="K53" s="160">
        <f t="shared" si="2"/>
        <v>29.4</v>
      </c>
      <c r="L53" s="13" t="s">
        <v>9</v>
      </c>
      <c r="P53">
        <v>1</v>
      </c>
    </row>
    <row r="54" spans="2:16" ht="17.25" customHeight="1" x14ac:dyDescent="0.25">
      <c r="B54" s="9" t="s">
        <v>262</v>
      </c>
      <c r="C54" s="40" t="s">
        <v>188</v>
      </c>
      <c r="D54" s="89">
        <v>45321</v>
      </c>
      <c r="E54" s="38" t="s">
        <v>30</v>
      </c>
      <c r="F54" s="9" t="s">
        <v>194</v>
      </c>
      <c r="G54" s="159">
        <v>1780</v>
      </c>
      <c r="H54" s="159"/>
      <c r="I54" s="160">
        <f t="shared" si="0"/>
        <v>1780</v>
      </c>
      <c r="J54" s="160">
        <f t="shared" si="1"/>
        <v>89</v>
      </c>
      <c r="K54" s="160">
        <f t="shared" si="2"/>
        <v>1869</v>
      </c>
      <c r="L54" s="13" t="s">
        <v>9</v>
      </c>
      <c r="P54">
        <v>1</v>
      </c>
    </row>
    <row r="55" spans="2:16" ht="17.25" customHeight="1" x14ac:dyDescent="0.25">
      <c r="B55" s="9" t="s">
        <v>195</v>
      </c>
      <c r="C55" s="40" t="s">
        <v>189</v>
      </c>
      <c r="D55" s="89">
        <v>45317</v>
      </c>
      <c r="E55" s="38" t="s">
        <v>74</v>
      </c>
      <c r="F55" s="9" t="s">
        <v>138</v>
      </c>
      <c r="G55" s="159">
        <v>4687.5</v>
      </c>
      <c r="H55" s="159"/>
      <c r="I55" s="160">
        <f t="shared" si="0"/>
        <v>4687.5</v>
      </c>
      <c r="J55" s="160">
        <f t="shared" si="1"/>
        <v>234.375</v>
      </c>
      <c r="K55" s="160">
        <f t="shared" si="2"/>
        <v>4921.875</v>
      </c>
      <c r="L55" s="13" t="s">
        <v>78</v>
      </c>
      <c r="P55">
        <v>1</v>
      </c>
    </row>
    <row r="56" spans="2:16" ht="17.25" customHeight="1" x14ac:dyDescent="0.25">
      <c r="B56" s="9" t="s">
        <v>114</v>
      </c>
      <c r="C56" s="40" t="s">
        <v>190</v>
      </c>
      <c r="D56" s="89">
        <v>45317</v>
      </c>
      <c r="E56" s="38" t="s">
        <v>115</v>
      </c>
      <c r="F56" s="9" t="s">
        <v>196</v>
      </c>
      <c r="G56" s="159">
        <v>405</v>
      </c>
      <c r="H56" s="159"/>
      <c r="I56" s="160">
        <f t="shared" si="0"/>
        <v>405</v>
      </c>
      <c r="J56" s="160">
        <f t="shared" si="1"/>
        <v>20.25</v>
      </c>
      <c r="K56" s="160">
        <f t="shared" si="2"/>
        <v>425.25</v>
      </c>
      <c r="L56" s="13" t="s">
        <v>9</v>
      </c>
      <c r="P56">
        <v>1</v>
      </c>
    </row>
    <row r="57" spans="2:16" ht="17.25" customHeight="1" x14ac:dyDescent="0.25">
      <c r="B57" s="9" t="s">
        <v>114</v>
      </c>
      <c r="C57" s="40" t="s">
        <v>191</v>
      </c>
      <c r="D57" s="89">
        <v>45317</v>
      </c>
      <c r="E57" s="38" t="s">
        <v>115</v>
      </c>
      <c r="F57" s="9" t="s">
        <v>197</v>
      </c>
      <c r="G57" s="159">
        <v>405</v>
      </c>
      <c r="H57" s="159"/>
      <c r="I57" s="160">
        <f t="shared" si="0"/>
        <v>405</v>
      </c>
      <c r="J57" s="160">
        <f t="shared" si="1"/>
        <v>20.25</v>
      </c>
      <c r="K57" s="160">
        <f t="shared" si="2"/>
        <v>425.25</v>
      </c>
      <c r="L57" s="13" t="s">
        <v>9</v>
      </c>
      <c r="P57">
        <v>1</v>
      </c>
    </row>
    <row r="58" spans="2:16" ht="17.25" customHeight="1" x14ac:dyDescent="0.25">
      <c r="B58" s="9" t="s">
        <v>114</v>
      </c>
      <c r="C58" s="40" t="s">
        <v>192</v>
      </c>
      <c r="D58" s="89">
        <v>45317</v>
      </c>
      <c r="E58" s="38" t="s">
        <v>115</v>
      </c>
      <c r="F58" s="9" t="s">
        <v>198</v>
      </c>
      <c r="G58" s="159">
        <v>405</v>
      </c>
      <c r="H58" s="159"/>
      <c r="I58" s="160">
        <f t="shared" si="0"/>
        <v>405</v>
      </c>
      <c r="J58" s="160">
        <f t="shared" si="1"/>
        <v>20.25</v>
      </c>
      <c r="K58" s="160">
        <f t="shared" si="2"/>
        <v>425.25</v>
      </c>
      <c r="L58" s="13" t="s">
        <v>9</v>
      </c>
      <c r="P58">
        <v>1</v>
      </c>
    </row>
    <row r="59" spans="2:16" ht="17.25" customHeight="1" x14ac:dyDescent="0.25">
      <c r="B59" s="9" t="s">
        <v>199</v>
      </c>
      <c r="C59" s="40" t="s">
        <v>200</v>
      </c>
      <c r="D59" s="89">
        <v>45321</v>
      </c>
      <c r="E59" s="38" t="s">
        <v>201</v>
      </c>
      <c r="F59" s="9" t="s">
        <v>202</v>
      </c>
      <c r="G59" s="159">
        <v>1125</v>
      </c>
      <c r="H59" s="159"/>
      <c r="I59" s="160">
        <f t="shared" si="0"/>
        <v>1125</v>
      </c>
      <c r="J59" s="160">
        <f t="shared" si="1"/>
        <v>56.25</v>
      </c>
      <c r="K59" s="160">
        <f t="shared" si="2"/>
        <v>1181.25</v>
      </c>
      <c r="L59" s="13" t="s">
        <v>78</v>
      </c>
      <c r="P59">
        <v>1</v>
      </c>
    </row>
    <row r="60" spans="2:16" ht="17.25" customHeight="1" x14ac:dyDescent="0.25">
      <c r="B60" s="50" t="s">
        <v>203</v>
      </c>
      <c r="C60" s="69" t="s">
        <v>204</v>
      </c>
      <c r="D60" s="91">
        <v>45320</v>
      </c>
      <c r="E60" s="65" t="s">
        <v>205</v>
      </c>
      <c r="F60" s="53" t="s">
        <v>270</v>
      </c>
      <c r="G60" s="162">
        <v>19067.5</v>
      </c>
      <c r="H60" s="162"/>
      <c r="I60" s="163">
        <f t="shared" si="0"/>
        <v>19067.5</v>
      </c>
      <c r="J60" s="163">
        <f t="shared" si="1"/>
        <v>953.375</v>
      </c>
      <c r="K60" s="163">
        <f t="shared" si="2"/>
        <v>20020.875</v>
      </c>
      <c r="L60" s="68" t="s">
        <v>78</v>
      </c>
      <c r="P60">
        <v>1</v>
      </c>
    </row>
    <row r="61" spans="2:16" ht="17.25" customHeight="1" x14ac:dyDescent="0.25">
      <c r="B61" s="9" t="s">
        <v>221</v>
      </c>
      <c r="C61" s="40" t="s">
        <v>206</v>
      </c>
      <c r="D61" s="89">
        <v>45321</v>
      </c>
      <c r="E61" s="38" t="s">
        <v>222</v>
      </c>
      <c r="F61" s="9" t="s">
        <v>73</v>
      </c>
      <c r="G61" s="159">
        <v>1140</v>
      </c>
      <c r="H61" s="159"/>
      <c r="I61" s="160">
        <f t="shared" si="0"/>
        <v>1140</v>
      </c>
      <c r="J61" s="160">
        <f t="shared" si="1"/>
        <v>57</v>
      </c>
      <c r="K61" s="160">
        <f t="shared" si="2"/>
        <v>1197</v>
      </c>
      <c r="L61" s="13" t="s">
        <v>78</v>
      </c>
      <c r="P61">
        <v>1</v>
      </c>
    </row>
    <row r="62" spans="2:16" ht="17.25" customHeight="1" x14ac:dyDescent="0.25">
      <c r="B62" s="50" t="s">
        <v>119</v>
      </c>
      <c r="C62" s="51" t="s">
        <v>207</v>
      </c>
      <c r="D62" s="91">
        <v>45320</v>
      </c>
      <c r="E62" s="65" t="s">
        <v>74</v>
      </c>
      <c r="F62" s="53" t="s">
        <v>223</v>
      </c>
      <c r="G62" s="162">
        <v>7082.5</v>
      </c>
      <c r="H62" s="162"/>
      <c r="I62" s="163">
        <f t="shared" si="0"/>
        <v>7082.5</v>
      </c>
      <c r="J62" s="163">
        <f t="shared" si="1"/>
        <v>354.125</v>
      </c>
      <c r="K62" s="163">
        <f t="shared" si="2"/>
        <v>7436.625</v>
      </c>
      <c r="L62" s="68" t="s">
        <v>78</v>
      </c>
      <c r="P62">
        <v>1</v>
      </c>
    </row>
    <row r="63" spans="2:16" ht="17.25" customHeight="1" x14ac:dyDescent="0.25">
      <c r="B63" s="9" t="s">
        <v>167</v>
      </c>
      <c r="C63" s="40" t="s">
        <v>208</v>
      </c>
      <c r="D63" s="91">
        <v>45321</v>
      </c>
      <c r="E63" s="38" t="s">
        <v>168</v>
      </c>
      <c r="F63" s="9" t="s">
        <v>224</v>
      </c>
      <c r="G63" s="159">
        <v>4675</v>
      </c>
      <c r="H63" s="159"/>
      <c r="I63" s="160">
        <f t="shared" si="0"/>
        <v>4675</v>
      </c>
      <c r="J63" s="160">
        <f t="shared" si="1"/>
        <v>233.75</v>
      </c>
      <c r="K63" s="160">
        <f t="shared" si="2"/>
        <v>4908.75</v>
      </c>
      <c r="L63" s="13" t="s">
        <v>169</v>
      </c>
      <c r="P63">
        <v>1</v>
      </c>
    </row>
    <row r="64" spans="2:16" ht="17.25" customHeight="1" x14ac:dyDescent="0.25">
      <c r="B64" s="9" t="s">
        <v>29</v>
      </c>
      <c r="C64" s="40" t="s">
        <v>209</v>
      </c>
      <c r="D64" s="91">
        <v>45320</v>
      </c>
      <c r="E64" s="38" t="s">
        <v>128</v>
      </c>
      <c r="F64" s="9" t="s">
        <v>225</v>
      </c>
      <c r="G64" s="159">
        <v>440</v>
      </c>
      <c r="H64" s="159"/>
      <c r="I64" s="160">
        <f t="shared" si="0"/>
        <v>440</v>
      </c>
      <c r="J64" s="160">
        <f t="shared" si="1"/>
        <v>22</v>
      </c>
      <c r="K64" s="160">
        <f t="shared" si="2"/>
        <v>462</v>
      </c>
      <c r="L64" s="13" t="s">
        <v>9</v>
      </c>
      <c r="P64">
        <v>1</v>
      </c>
    </row>
    <row r="65" spans="2:16" ht="17.25" customHeight="1" x14ac:dyDescent="0.25">
      <c r="B65" s="9" t="s">
        <v>10</v>
      </c>
      <c r="C65" s="40" t="s">
        <v>210</v>
      </c>
      <c r="D65" s="91">
        <v>45321</v>
      </c>
      <c r="E65" s="38" t="s">
        <v>16</v>
      </c>
      <c r="F65" s="9" t="s">
        <v>226</v>
      </c>
      <c r="G65" s="159">
        <v>475</v>
      </c>
      <c r="H65" s="159"/>
      <c r="I65" s="160">
        <f t="shared" si="0"/>
        <v>475</v>
      </c>
      <c r="J65" s="160">
        <f t="shared" si="1"/>
        <v>23.75</v>
      </c>
      <c r="K65" s="160">
        <f t="shared" si="2"/>
        <v>498.75</v>
      </c>
      <c r="L65" s="13" t="s">
        <v>9</v>
      </c>
      <c r="P65">
        <v>1</v>
      </c>
    </row>
    <row r="66" spans="2:16" ht="17.25" customHeight="1" x14ac:dyDescent="0.25">
      <c r="B66" s="9" t="s">
        <v>10</v>
      </c>
      <c r="C66" s="40" t="s">
        <v>211</v>
      </c>
      <c r="D66" s="91">
        <v>45321</v>
      </c>
      <c r="E66" s="38" t="s">
        <v>16</v>
      </c>
      <c r="F66" s="9" t="s">
        <v>227</v>
      </c>
      <c r="G66" s="159">
        <v>280</v>
      </c>
      <c r="H66" s="159"/>
      <c r="I66" s="160">
        <f t="shared" si="0"/>
        <v>280</v>
      </c>
      <c r="J66" s="160">
        <f t="shared" si="1"/>
        <v>14</v>
      </c>
      <c r="K66" s="160">
        <f t="shared" si="2"/>
        <v>294</v>
      </c>
      <c r="L66" s="13" t="s">
        <v>9</v>
      </c>
      <c r="P66">
        <v>1</v>
      </c>
    </row>
    <row r="67" spans="2:16" ht="17.25" customHeight="1" x14ac:dyDescent="0.25">
      <c r="B67" s="9" t="s">
        <v>49</v>
      </c>
      <c r="C67" s="40" t="s">
        <v>212</v>
      </c>
      <c r="D67" s="91">
        <v>45321</v>
      </c>
      <c r="E67" s="38" t="s">
        <v>50</v>
      </c>
      <c r="F67" s="9" t="s">
        <v>228</v>
      </c>
      <c r="G67" s="159">
        <v>4525</v>
      </c>
      <c r="H67" s="159"/>
      <c r="I67" s="160">
        <f t="shared" ref="I67:I130" si="3">G67-H67</f>
        <v>4525</v>
      </c>
      <c r="J67" s="160">
        <f t="shared" ref="J67:J130" si="4">G67*5%</f>
        <v>226.25</v>
      </c>
      <c r="K67" s="160">
        <f t="shared" ref="K67:K130" si="5">G67+J67</f>
        <v>4751.25</v>
      </c>
      <c r="L67" s="13" t="s">
        <v>9</v>
      </c>
      <c r="P67">
        <v>1</v>
      </c>
    </row>
    <row r="68" spans="2:16" ht="17.25" customHeight="1" x14ac:dyDescent="0.25">
      <c r="B68" s="9" t="s">
        <v>229</v>
      </c>
      <c r="C68" s="40" t="s">
        <v>213</v>
      </c>
      <c r="D68" s="91">
        <v>45321</v>
      </c>
      <c r="E68" s="38" t="s">
        <v>74</v>
      </c>
      <c r="F68" s="9" t="s">
        <v>230</v>
      </c>
      <c r="G68" s="159">
        <v>525</v>
      </c>
      <c r="H68" s="159"/>
      <c r="I68" s="160">
        <f t="shared" si="3"/>
        <v>525</v>
      </c>
      <c r="J68" s="160">
        <f t="shared" si="4"/>
        <v>26.25</v>
      </c>
      <c r="K68" s="160">
        <f t="shared" si="5"/>
        <v>551.25</v>
      </c>
      <c r="L68" s="13" t="s">
        <v>9</v>
      </c>
      <c r="P68">
        <v>1</v>
      </c>
    </row>
    <row r="69" spans="2:16" ht="17.25" customHeight="1" x14ac:dyDescent="0.25">
      <c r="B69" s="9" t="s">
        <v>231</v>
      </c>
      <c r="C69" s="40" t="s">
        <v>214</v>
      </c>
      <c r="D69" s="91">
        <v>45322</v>
      </c>
      <c r="E69" s="38" t="s">
        <v>232</v>
      </c>
      <c r="F69" s="9" t="s">
        <v>233</v>
      </c>
      <c r="G69" s="159">
        <v>300</v>
      </c>
      <c r="H69" s="159"/>
      <c r="I69" s="160">
        <f t="shared" si="3"/>
        <v>300</v>
      </c>
      <c r="J69" s="160">
        <f t="shared" si="4"/>
        <v>15</v>
      </c>
      <c r="K69" s="160">
        <f t="shared" si="5"/>
        <v>315</v>
      </c>
      <c r="L69" s="13" t="s">
        <v>169</v>
      </c>
      <c r="P69">
        <v>1</v>
      </c>
    </row>
    <row r="70" spans="2:16" ht="17.25" customHeight="1" x14ac:dyDescent="0.25">
      <c r="B70" s="9" t="s">
        <v>29</v>
      </c>
      <c r="C70" s="40" t="s">
        <v>215</v>
      </c>
      <c r="D70" s="91">
        <v>45322</v>
      </c>
      <c r="E70" s="38" t="s">
        <v>28</v>
      </c>
      <c r="F70" s="9" t="s">
        <v>234</v>
      </c>
      <c r="G70" s="159">
        <v>9558.4</v>
      </c>
      <c r="H70" s="159"/>
      <c r="I70" s="160">
        <f t="shared" si="3"/>
        <v>9558.4</v>
      </c>
      <c r="J70" s="160">
        <f t="shared" si="4"/>
        <v>477.92</v>
      </c>
      <c r="K70" s="160">
        <f t="shared" si="5"/>
        <v>10036.32</v>
      </c>
      <c r="L70" s="13" t="s">
        <v>9</v>
      </c>
      <c r="P70">
        <v>1</v>
      </c>
    </row>
    <row r="71" spans="2:16" ht="17.25" customHeight="1" x14ac:dyDescent="0.25">
      <c r="B71" s="9" t="s">
        <v>236</v>
      </c>
      <c r="C71" s="40" t="s">
        <v>216</v>
      </c>
      <c r="D71" s="91">
        <v>45322</v>
      </c>
      <c r="E71" s="38" t="s">
        <v>237</v>
      </c>
      <c r="F71" s="9" t="s">
        <v>235</v>
      </c>
      <c r="G71" s="159">
        <v>165</v>
      </c>
      <c r="H71" s="159"/>
      <c r="I71" s="160">
        <f t="shared" si="3"/>
        <v>165</v>
      </c>
      <c r="J71" s="160">
        <f t="shared" si="4"/>
        <v>8.25</v>
      </c>
      <c r="K71" s="160">
        <f t="shared" si="5"/>
        <v>173.25</v>
      </c>
      <c r="L71" s="13" t="s">
        <v>9</v>
      </c>
      <c r="P71">
        <v>1</v>
      </c>
    </row>
    <row r="72" spans="2:16" ht="17.25" customHeight="1" x14ac:dyDescent="0.25">
      <c r="B72" s="9" t="s">
        <v>236</v>
      </c>
      <c r="C72" s="40" t="s">
        <v>217</v>
      </c>
      <c r="D72" s="91">
        <v>45322</v>
      </c>
      <c r="E72" s="38" t="s">
        <v>237</v>
      </c>
      <c r="F72" s="9" t="s">
        <v>235</v>
      </c>
      <c r="G72" s="159">
        <v>210</v>
      </c>
      <c r="H72" s="159"/>
      <c r="I72" s="160">
        <f t="shared" si="3"/>
        <v>210</v>
      </c>
      <c r="J72" s="160">
        <f t="shared" si="4"/>
        <v>10.5</v>
      </c>
      <c r="K72" s="160">
        <f t="shared" si="5"/>
        <v>220.5</v>
      </c>
      <c r="L72" s="13" t="s">
        <v>9</v>
      </c>
      <c r="P72">
        <v>1</v>
      </c>
    </row>
    <row r="73" spans="2:16" ht="17.25" customHeight="1" x14ac:dyDescent="0.25">
      <c r="B73" s="9" t="s">
        <v>238</v>
      </c>
      <c r="C73" s="40" t="s">
        <v>218</v>
      </c>
      <c r="D73" s="91">
        <v>45322</v>
      </c>
      <c r="E73" s="38" t="s">
        <v>239</v>
      </c>
      <c r="F73" s="9" t="s">
        <v>240</v>
      </c>
      <c r="G73" s="159">
        <v>150</v>
      </c>
      <c r="H73" s="159"/>
      <c r="I73" s="160">
        <f t="shared" si="3"/>
        <v>150</v>
      </c>
      <c r="J73" s="160">
        <f t="shared" si="4"/>
        <v>7.5</v>
      </c>
      <c r="K73" s="160">
        <f t="shared" si="5"/>
        <v>157.5</v>
      </c>
      <c r="L73" s="13" t="s">
        <v>78</v>
      </c>
      <c r="P73">
        <v>1</v>
      </c>
    </row>
    <row r="74" spans="2:16" ht="17.25" customHeight="1" x14ac:dyDescent="0.25">
      <c r="B74" s="61" t="s">
        <v>241</v>
      </c>
      <c r="C74" s="62" t="s">
        <v>219</v>
      </c>
      <c r="D74" s="92">
        <v>45322</v>
      </c>
      <c r="E74" s="63" t="s">
        <v>242</v>
      </c>
      <c r="F74" s="61" t="s">
        <v>243</v>
      </c>
      <c r="G74" s="161">
        <v>0</v>
      </c>
      <c r="H74" s="161"/>
      <c r="I74" s="161">
        <f t="shared" si="3"/>
        <v>0</v>
      </c>
      <c r="J74" s="161">
        <f t="shared" si="4"/>
        <v>0</v>
      </c>
      <c r="K74" s="161">
        <f t="shared" si="5"/>
        <v>0</v>
      </c>
      <c r="L74" s="64" t="s">
        <v>78</v>
      </c>
      <c r="P74">
        <v>1</v>
      </c>
    </row>
    <row r="75" spans="2:16" ht="17.25" customHeight="1" x14ac:dyDescent="0.25">
      <c r="B75" s="9" t="s">
        <v>244</v>
      </c>
      <c r="C75" s="40" t="s">
        <v>220</v>
      </c>
      <c r="D75" s="91">
        <v>45322</v>
      </c>
      <c r="E75" s="38" t="s">
        <v>246</v>
      </c>
      <c r="F75" s="9" t="s">
        <v>245</v>
      </c>
      <c r="G75" s="159">
        <v>1250</v>
      </c>
      <c r="H75" s="159"/>
      <c r="I75" s="160">
        <f t="shared" si="3"/>
        <v>1250</v>
      </c>
      <c r="J75" s="160">
        <f t="shared" si="4"/>
        <v>62.5</v>
      </c>
      <c r="K75" s="160">
        <f t="shared" si="5"/>
        <v>1312.5</v>
      </c>
      <c r="L75" s="13" t="s">
        <v>9</v>
      </c>
      <c r="P75">
        <v>1</v>
      </c>
    </row>
    <row r="76" spans="2:16" ht="17.25" customHeight="1" x14ac:dyDescent="0.25">
      <c r="B76" s="9" t="s">
        <v>203</v>
      </c>
      <c r="C76" s="40" t="s">
        <v>247</v>
      </c>
      <c r="D76" s="91">
        <v>45322</v>
      </c>
      <c r="E76" s="38" t="s">
        <v>251</v>
      </c>
      <c r="F76" s="9" t="s">
        <v>252</v>
      </c>
      <c r="G76" s="159">
        <v>126</v>
      </c>
      <c r="H76" s="159"/>
      <c r="I76" s="160">
        <f t="shared" si="3"/>
        <v>126</v>
      </c>
      <c r="J76" s="160">
        <f t="shared" si="4"/>
        <v>6.3000000000000007</v>
      </c>
      <c r="K76" s="160">
        <f t="shared" si="5"/>
        <v>132.30000000000001</v>
      </c>
      <c r="L76" s="13" t="s">
        <v>78</v>
      </c>
      <c r="P76">
        <v>1</v>
      </c>
    </row>
    <row r="77" spans="2:16" ht="17.25" customHeight="1" x14ac:dyDescent="0.25">
      <c r="B77" s="50" t="s">
        <v>253</v>
      </c>
      <c r="C77" s="51" t="s">
        <v>248</v>
      </c>
      <c r="D77" s="91">
        <v>45322</v>
      </c>
      <c r="E77" s="65" t="s">
        <v>254</v>
      </c>
      <c r="F77" s="53" t="s">
        <v>255</v>
      </c>
      <c r="G77" s="162">
        <v>1060</v>
      </c>
      <c r="H77" s="162"/>
      <c r="I77" s="163">
        <f t="shared" si="3"/>
        <v>1060</v>
      </c>
      <c r="J77" s="163">
        <f t="shared" si="4"/>
        <v>53</v>
      </c>
      <c r="K77" s="163">
        <f t="shared" si="5"/>
        <v>1113</v>
      </c>
      <c r="L77" s="68" t="s">
        <v>78</v>
      </c>
      <c r="P77">
        <v>1</v>
      </c>
    </row>
    <row r="78" spans="2:16" ht="17.25" customHeight="1" x14ac:dyDescent="0.25">
      <c r="B78" s="9" t="s">
        <v>102</v>
      </c>
      <c r="C78" s="60" t="s">
        <v>249</v>
      </c>
      <c r="D78" s="91">
        <v>45322</v>
      </c>
      <c r="E78" s="38" t="s">
        <v>104</v>
      </c>
      <c r="F78" s="9" t="s">
        <v>256</v>
      </c>
      <c r="G78" s="159">
        <v>4785</v>
      </c>
      <c r="H78" s="159"/>
      <c r="I78" s="160">
        <f t="shared" si="3"/>
        <v>4785</v>
      </c>
      <c r="J78" s="160">
        <f t="shared" si="4"/>
        <v>239.25</v>
      </c>
      <c r="K78" s="160">
        <f t="shared" si="5"/>
        <v>5024.25</v>
      </c>
      <c r="L78" s="13" t="s">
        <v>9</v>
      </c>
      <c r="P78">
        <v>1</v>
      </c>
    </row>
    <row r="79" spans="2:16" ht="17.25" customHeight="1" x14ac:dyDescent="0.25">
      <c r="B79" s="9" t="s">
        <v>257</v>
      </c>
      <c r="C79" s="60" t="s">
        <v>250</v>
      </c>
      <c r="D79" s="91">
        <v>45322</v>
      </c>
      <c r="E79" s="38" t="s">
        <v>258</v>
      </c>
      <c r="F79" s="9" t="s">
        <v>259</v>
      </c>
      <c r="G79" s="159">
        <v>14375</v>
      </c>
      <c r="H79" s="159"/>
      <c r="I79" s="160">
        <f t="shared" si="3"/>
        <v>14375</v>
      </c>
      <c r="J79" s="160">
        <f t="shared" si="4"/>
        <v>718.75</v>
      </c>
      <c r="K79" s="160">
        <f t="shared" si="5"/>
        <v>15093.75</v>
      </c>
      <c r="L79" s="13" t="s">
        <v>9</v>
      </c>
      <c r="P79">
        <v>1</v>
      </c>
    </row>
    <row r="80" spans="2:16" ht="17.25" customHeight="1" x14ac:dyDescent="0.25">
      <c r="B80" s="9" t="s">
        <v>263</v>
      </c>
      <c r="C80" s="40" t="s">
        <v>260</v>
      </c>
      <c r="D80" s="91">
        <v>45324</v>
      </c>
      <c r="E80" s="38" t="s">
        <v>264</v>
      </c>
      <c r="F80" s="9" t="s">
        <v>265</v>
      </c>
      <c r="G80" s="159">
        <v>1575</v>
      </c>
      <c r="H80" s="159"/>
      <c r="I80" s="160">
        <f t="shared" si="3"/>
        <v>1575</v>
      </c>
      <c r="J80" s="160">
        <f t="shared" si="4"/>
        <v>78.75</v>
      </c>
      <c r="K80" s="160">
        <f t="shared" si="5"/>
        <v>1653.75</v>
      </c>
      <c r="L80" s="13" t="s">
        <v>78</v>
      </c>
      <c r="P80">
        <v>1</v>
      </c>
    </row>
    <row r="81" spans="2:16" ht="17.25" customHeight="1" x14ac:dyDescent="0.25">
      <c r="B81" s="9" t="s">
        <v>266</v>
      </c>
      <c r="C81" s="40" t="s">
        <v>261</v>
      </c>
      <c r="D81" s="91">
        <v>45327</v>
      </c>
      <c r="E81" s="38" t="s">
        <v>267</v>
      </c>
      <c r="F81" s="9" t="s">
        <v>268</v>
      </c>
      <c r="G81" s="159">
        <v>1400</v>
      </c>
      <c r="H81" s="159"/>
      <c r="I81" s="160">
        <f t="shared" si="3"/>
        <v>1400</v>
      </c>
      <c r="J81" s="160">
        <f t="shared" si="4"/>
        <v>70</v>
      </c>
      <c r="K81" s="160">
        <f t="shared" si="5"/>
        <v>1470</v>
      </c>
      <c r="L81" s="13" t="s">
        <v>78</v>
      </c>
      <c r="P81">
        <v>1</v>
      </c>
    </row>
    <row r="82" spans="2:16" ht="17.25" customHeight="1" x14ac:dyDescent="0.25">
      <c r="B82" s="9" t="s">
        <v>263</v>
      </c>
      <c r="C82" s="40" t="s">
        <v>271</v>
      </c>
      <c r="D82" s="91">
        <v>45327</v>
      </c>
      <c r="E82" s="38" t="s">
        <v>279</v>
      </c>
      <c r="F82" s="9" t="s">
        <v>280</v>
      </c>
      <c r="G82" s="159">
        <v>1575</v>
      </c>
      <c r="H82" s="159"/>
      <c r="I82" s="160">
        <f t="shared" si="3"/>
        <v>1575</v>
      </c>
      <c r="J82" s="160">
        <f t="shared" si="4"/>
        <v>78.75</v>
      </c>
      <c r="K82" s="160">
        <f t="shared" si="5"/>
        <v>1653.75</v>
      </c>
      <c r="L82" s="13" t="s">
        <v>78</v>
      </c>
      <c r="P82">
        <v>1</v>
      </c>
    </row>
    <row r="83" spans="2:16" ht="17.25" customHeight="1" x14ac:dyDescent="0.25">
      <c r="B83" s="9" t="s">
        <v>276</v>
      </c>
      <c r="C83" s="40" t="s">
        <v>272</v>
      </c>
      <c r="D83" s="91">
        <v>45327</v>
      </c>
      <c r="E83" s="38" t="s">
        <v>277</v>
      </c>
      <c r="F83" s="9" t="s">
        <v>278</v>
      </c>
      <c r="G83" s="159">
        <v>275</v>
      </c>
      <c r="H83" s="159"/>
      <c r="I83" s="160">
        <f t="shared" si="3"/>
        <v>275</v>
      </c>
      <c r="J83" s="160">
        <f t="shared" si="4"/>
        <v>13.75</v>
      </c>
      <c r="K83" s="160">
        <f t="shared" si="5"/>
        <v>288.75</v>
      </c>
      <c r="L83" s="13" t="s">
        <v>9</v>
      </c>
      <c r="P83">
        <v>1</v>
      </c>
    </row>
    <row r="84" spans="2:16" ht="17.25" customHeight="1" x14ac:dyDescent="0.25">
      <c r="B84" s="9" t="s">
        <v>281</v>
      </c>
      <c r="C84" s="40" t="s">
        <v>273</v>
      </c>
      <c r="D84" s="91">
        <v>45329</v>
      </c>
      <c r="E84" s="38" t="s">
        <v>282</v>
      </c>
      <c r="F84" s="9" t="s">
        <v>283</v>
      </c>
      <c r="G84" s="159">
        <v>10965</v>
      </c>
      <c r="H84" s="159"/>
      <c r="I84" s="160">
        <f t="shared" si="3"/>
        <v>10965</v>
      </c>
      <c r="J84" s="160">
        <f t="shared" si="4"/>
        <v>548.25</v>
      </c>
      <c r="K84" s="160">
        <f t="shared" si="5"/>
        <v>11513.25</v>
      </c>
      <c r="L84" s="13" t="s">
        <v>78</v>
      </c>
      <c r="P84">
        <v>1</v>
      </c>
    </row>
    <row r="85" spans="2:16" ht="17.25" customHeight="1" x14ac:dyDescent="0.25">
      <c r="B85" s="9" t="s">
        <v>142</v>
      </c>
      <c r="C85" s="40" t="s">
        <v>274</v>
      </c>
      <c r="D85" s="91">
        <v>45328</v>
      </c>
      <c r="E85" s="38" t="s">
        <v>285</v>
      </c>
      <c r="F85" s="9" t="s">
        <v>284</v>
      </c>
      <c r="G85" s="159">
        <v>685</v>
      </c>
      <c r="H85" s="159"/>
      <c r="I85" s="160">
        <f t="shared" si="3"/>
        <v>685</v>
      </c>
      <c r="J85" s="160">
        <f t="shared" si="4"/>
        <v>34.25</v>
      </c>
      <c r="K85" s="160">
        <f t="shared" si="5"/>
        <v>719.25</v>
      </c>
      <c r="L85" s="13" t="s">
        <v>9</v>
      </c>
      <c r="P85">
        <v>1</v>
      </c>
    </row>
    <row r="86" spans="2:16" ht="17.25" customHeight="1" x14ac:dyDescent="0.25">
      <c r="B86" s="9" t="s">
        <v>114</v>
      </c>
      <c r="C86" s="40" t="s">
        <v>275</v>
      </c>
      <c r="D86" s="91">
        <v>45328</v>
      </c>
      <c r="E86" s="38" t="s">
        <v>115</v>
      </c>
      <c r="F86" s="9" t="s">
        <v>286</v>
      </c>
      <c r="G86" s="159">
        <v>405</v>
      </c>
      <c r="H86" s="159"/>
      <c r="I86" s="160">
        <f t="shared" si="3"/>
        <v>405</v>
      </c>
      <c r="J86" s="160">
        <f t="shared" si="4"/>
        <v>20.25</v>
      </c>
      <c r="K86" s="160">
        <f t="shared" si="5"/>
        <v>425.25</v>
      </c>
      <c r="L86" s="13" t="s">
        <v>9</v>
      </c>
      <c r="P86">
        <v>1</v>
      </c>
    </row>
    <row r="87" spans="2:16" ht="17.25" customHeight="1" x14ac:dyDescent="0.25">
      <c r="B87" s="9" t="s">
        <v>290</v>
      </c>
      <c r="C87" s="40" t="s">
        <v>287</v>
      </c>
      <c r="D87" s="91">
        <v>45331</v>
      </c>
      <c r="E87" s="38" t="s">
        <v>74</v>
      </c>
      <c r="F87" s="9" t="s">
        <v>291</v>
      </c>
      <c r="G87" s="159">
        <v>779</v>
      </c>
      <c r="H87" s="159"/>
      <c r="I87" s="160">
        <f t="shared" si="3"/>
        <v>779</v>
      </c>
      <c r="J87" s="160">
        <f t="shared" si="4"/>
        <v>38.950000000000003</v>
      </c>
      <c r="K87" s="160">
        <f t="shared" si="5"/>
        <v>817.95</v>
      </c>
      <c r="L87" s="13" t="s">
        <v>78</v>
      </c>
      <c r="P87">
        <v>1</v>
      </c>
    </row>
    <row r="88" spans="2:16" ht="17.25" customHeight="1" x14ac:dyDescent="0.25">
      <c r="B88" s="9" t="s">
        <v>292</v>
      </c>
      <c r="C88" s="40" t="s">
        <v>288</v>
      </c>
      <c r="D88" s="91">
        <v>45330</v>
      </c>
      <c r="E88" s="38" t="s">
        <v>74</v>
      </c>
      <c r="F88" s="9" t="s">
        <v>293</v>
      </c>
      <c r="G88" s="159">
        <v>140</v>
      </c>
      <c r="H88" s="159"/>
      <c r="I88" s="160">
        <f t="shared" si="3"/>
        <v>140</v>
      </c>
      <c r="J88" s="160">
        <f t="shared" si="4"/>
        <v>7</v>
      </c>
      <c r="K88" s="160">
        <f t="shared" si="5"/>
        <v>147</v>
      </c>
      <c r="L88" s="13" t="s">
        <v>9</v>
      </c>
      <c r="P88">
        <v>1</v>
      </c>
    </row>
    <row r="89" spans="2:16" ht="17.25" customHeight="1" x14ac:dyDescent="0.25">
      <c r="B89" s="9" t="s">
        <v>276</v>
      </c>
      <c r="C89" s="40" t="s">
        <v>289</v>
      </c>
      <c r="D89" s="91">
        <v>45334</v>
      </c>
      <c r="E89" s="38" t="s">
        <v>277</v>
      </c>
      <c r="F89" s="9" t="s">
        <v>294</v>
      </c>
      <c r="G89" s="159">
        <v>350</v>
      </c>
      <c r="H89" s="159"/>
      <c r="I89" s="160">
        <f t="shared" si="3"/>
        <v>350</v>
      </c>
      <c r="J89" s="160">
        <f t="shared" si="4"/>
        <v>17.5</v>
      </c>
      <c r="K89" s="160">
        <f t="shared" si="5"/>
        <v>367.5</v>
      </c>
      <c r="L89" s="13" t="s">
        <v>9</v>
      </c>
      <c r="P89">
        <v>1</v>
      </c>
    </row>
    <row r="90" spans="2:16" ht="17.25" customHeight="1" x14ac:dyDescent="0.25">
      <c r="B90" s="9" t="s">
        <v>297</v>
      </c>
      <c r="C90" s="40" t="s">
        <v>295</v>
      </c>
      <c r="D90" s="91">
        <v>45334</v>
      </c>
      <c r="E90" s="71" t="s">
        <v>301</v>
      </c>
      <c r="F90" s="9" t="s">
        <v>298</v>
      </c>
      <c r="G90" s="159">
        <v>989</v>
      </c>
      <c r="H90" s="159"/>
      <c r="I90" s="160">
        <f t="shared" si="3"/>
        <v>989</v>
      </c>
      <c r="J90" s="160">
        <f t="shared" si="4"/>
        <v>49.45</v>
      </c>
      <c r="K90" s="160">
        <f t="shared" si="5"/>
        <v>1038.45</v>
      </c>
      <c r="L90" s="13" t="s">
        <v>78</v>
      </c>
      <c r="P90">
        <v>1</v>
      </c>
    </row>
    <row r="91" spans="2:16" ht="17.25" customHeight="1" x14ac:dyDescent="0.25">
      <c r="B91" s="9" t="s">
        <v>299</v>
      </c>
      <c r="C91" s="40" t="s">
        <v>296</v>
      </c>
      <c r="D91" s="91">
        <v>45334</v>
      </c>
      <c r="E91" s="71" t="s">
        <v>302</v>
      </c>
      <c r="F91" s="9" t="s">
        <v>300</v>
      </c>
      <c r="G91" s="159">
        <v>1580</v>
      </c>
      <c r="H91" s="159"/>
      <c r="I91" s="160">
        <f t="shared" si="3"/>
        <v>1580</v>
      </c>
      <c r="J91" s="160">
        <f t="shared" si="4"/>
        <v>79</v>
      </c>
      <c r="K91" s="160">
        <f t="shared" si="5"/>
        <v>1659</v>
      </c>
      <c r="L91" s="13" t="s">
        <v>78</v>
      </c>
      <c r="P91">
        <v>1</v>
      </c>
    </row>
    <row r="92" spans="2:16" ht="17.25" customHeight="1" x14ac:dyDescent="0.25">
      <c r="B92" s="9" t="s">
        <v>10</v>
      </c>
      <c r="C92" s="40" t="s">
        <v>303</v>
      </c>
      <c r="D92" s="91">
        <v>45335</v>
      </c>
      <c r="E92" s="71" t="s">
        <v>16</v>
      </c>
      <c r="F92" s="9" t="s">
        <v>305</v>
      </c>
      <c r="G92" s="159">
        <v>1125</v>
      </c>
      <c r="H92" s="159"/>
      <c r="I92" s="160">
        <f t="shared" si="3"/>
        <v>1125</v>
      </c>
      <c r="J92" s="160">
        <f t="shared" si="4"/>
        <v>56.25</v>
      </c>
      <c r="K92" s="160">
        <f t="shared" si="5"/>
        <v>1181.25</v>
      </c>
      <c r="L92" s="13" t="s">
        <v>9</v>
      </c>
      <c r="P92">
        <v>1</v>
      </c>
    </row>
    <row r="93" spans="2:16" ht="17.25" customHeight="1" x14ac:dyDescent="0.25">
      <c r="B93" s="9" t="s">
        <v>100</v>
      </c>
      <c r="C93" s="40" t="s">
        <v>304</v>
      </c>
      <c r="D93" s="91">
        <v>45334</v>
      </c>
      <c r="E93" s="70" t="s">
        <v>74</v>
      </c>
      <c r="F93" s="9" t="s">
        <v>306</v>
      </c>
      <c r="G93" s="159">
        <v>190</v>
      </c>
      <c r="H93" s="159"/>
      <c r="I93" s="160">
        <f t="shared" si="3"/>
        <v>190</v>
      </c>
      <c r="J93" s="160">
        <f t="shared" si="4"/>
        <v>9.5</v>
      </c>
      <c r="K93" s="160">
        <f t="shared" si="5"/>
        <v>199.5</v>
      </c>
      <c r="L93" s="13" t="s">
        <v>9</v>
      </c>
      <c r="P93">
        <v>1</v>
      </c>
    </row>
    <row r="94" spans="2:16" ht="17.25" customHeight="1" x14ac:dyDescent="0.25">
      <c r="B94" s="9" t="s">
        <v>114</v>
      </c>
      <c r="C94" s="40" t="s">
        <v>307</v>
      </c>
      <c r="D94" s="91">
        <v>45335</v>
      </c>
      <c r="E94" s="71" t="s">
        <v>115</v>
      </c>
      <c r="F94" s="9" t="s">
        <v>309</v>
      </c>
      <c r="G94" s="159">
        <v>390</v>
      </c>
      <c r="H94" s="159"/>
      <c r="I94" s="160">
        <f t="shared" si="3"/>
        <v>390</v>
      </c>
      <c r="J94" s="160">
        <f t="shared" si="4"/>
        <v>19.5</v>
      </c>
      <c r="K94" s="160">
        <f t="shared" si="5"/>
        <v>409.5</v>
      </c>
      <c r="L94" s="13" t="s">
        <v>9</v>
      </c>
      <c r="P94">
        <v>1</v>
      </c>
    </row>
    <row r="95" spans="2:16" ht="17.25" customHeight="1" x14ac:dyDescent="0.25">
      <c r="B95" s="9" t="s">
        <v>114</v>
      </c>
      <c r="C95" s="40" t="s">
        <v>308</v>
      </c>
      <c r="D95" s="91">
        <v>45335</v>
      </c>
      <c r="E95" s="71" t="s">
        <v>115</v>
      </c>
      <c r="F95" s="9" t="s">
        <v>134</v>
      </c>
      <c r="G95" s="159">
        <v>1800</v>
      </c>
      <c r="H95" s="159"/>
      <c r="I95" s="160">
        <f t="shared" si="3"/>
        <v>1800</v>
      </c>
      <c r="J95" s="160">
        <f t="shared" si="4"/>
        <v>90</v>
      </c>
      <c r="K95" s="160">
        <f t="shared" si="5"/>
        <v>1890</v>
      </c>
      <c r="L95" s="13" t="s">
        <v>9</v>
      </c>
      <c r="P95">
        <v>1</v>
      </c>
    </row>
    <row r="96" spans="2:16" ht="17.25" customHeight="1" x14ac:dyDescent="0.25">
      <c r="B96" s="9" t="s">
        <v>319</v>
      </c>
      <c r="C96" s="60" t="s">
        <v>310</v>
      </c>
      <c r="D96" s="91">
        <v>45332</v>
      </c>
      <c r="E96" s="72">
        <v>100060213400003</v>
      </c>
      <c r="F96" s="9" t="s">
        <v>320</v>
      </c>
      <c r="G96" s="159">
        <v>13000</v>
      </c>
      <c r="H96" s="159"/>
      <c r="I96" s="160">
        <f t="shared" si="3"/>
        <v>13000</v>
      </c>
      <c r="J96" s="160">
        <f t="shared" si="4"/>
        <v>650</v>
      </c>
      <c r="K96" s="160">
        <f t="shared" si="5"/>
        <v>13650</v>
      </c>
      <c r="L96" s="13" t="s">
        <v>9</v>
      </c>
      <c r="P96">
        <v>1</v>
      </c>
    </row>
    <row r="97" spans="2:16" ht="17.25" customHeight="1" x14ac:dyDescent="0.25">
      <c r="B97" s="9" t="s">
        <v>321</v>
      </c>
      <c r="C97" s="40" t="s">
        <v>311</v>
      </c>
      <c r="D97" s="91">
        <v>45338</v>
      </c>
      <c r="E97" s="72" t="s">
        <v>74</v>
      </c>
      <c r="F97" s="9" t="s">
        <v>322</v>
      </c>
      <c r="G97" s="159">
        <v>525</v>
      </c>
      <c r="H97" s="159"/>
      <c r="I97" s="160">
        <f t="shared" si="3"/>
        <v>525</v>
      </c>
      <c r="J97" s="160">
        <f t="shared" si="4"/>
        <v>26.25</v>
      </c>
      <c r="K97" s="160">
        <f t="shared" si="5"/>
        <v>551.25</v>
      </c>
      <c r="L97" s="13" t="s">
        <v>9</v>
      </c>
      <c r="P97">
        <v>1</v>
      </c>
    </row>
    <row r="98" spans="2:16" ht="17.25" customHeight="1" x14ac:dyDescent="0.25">
      <c r="B98" s="9" t="s">
        <v>10</v>
      </c>
      <c r="C98" s="60" t="s">
        <v>312</v>
      </c>
      <c r="D98" s="91">
        <v>45337</v>
      </c>
      <c r="E98" s="72">
        <v>100542487200003</v>
      </c>
      <c r="F98" s="9" t="s">
        <v>323</v>
      </c>
      <c r="G98" s="159">
        <v>595</v>
      </c>
      <c r="H98" s="159"/>
      <c r="I98" s="160">
        <f t="shared" si="3"/>
        <v>595</v>
      </c>
      <c r="J98" s="160">
        <f t="shared" si="4"/>
        <v>29.75</v>
      </c>
      <c r="K98" s="160">
        <f t="shared" si="5"/>
        <v>624.75</v>
      </c>
      <c r="L98" s="13" t="s">
        <v>9</v>
      </c>
      <c r="P98">
        <v>1</v>
      </c>
    </row>
    <row r="99" spans="2:16" ht="17.25" customHeight="1" x14ac:dyDescent="0.25">
      <c r="B99" s="9" t="s">
        <v>10</v>
      </c>
      <c r="C99" s="40" t="s">
        <v>313</v>
      </c>
      <c r="D99" s="91">
        <v>45338</v>
      </c>
      <c r="E99" s="72">
        <v>100542487200003</v>
      </c>
      <c r="F99" s="9" t="s">
        <v>326</v>
      </c>
      <c r="G99" s="159">
        <v>145</v>
      </c>
      <c r="H99" s="159"/>
      <c r="I99" s="160">
        <f t="shared" si="3"/>
        <v>145</v>
      </c>
      <c r="J99" s="160">
        <f t="shared" si="4"/>
        <v>7.25</v>
      </c>
      <c r="K99" s="160">
        <f t="shared" si="5"/>
        <v>152.25</v>
      </c>
      <c r="L99" s="13" t="s">
        <v>9</v>
      </c>
      <c r="P99">
        <v>1</v>
      </c>
    </row>
    <row r="100" spans="2:16" ht="17.25" customHeight="1" x14ac:dyDescent="0.25">
      <c r="B100" s="9" t="s">
        <v>75</v>
      </c>
      <c r="C100" s="40" t="s">
        <v>314</v>
      </c>
      <c r="D100" s="91">
        <v>45341</v>
      </c>
      <c r="E100" s="72">
        <v>100540543400003</v>
      </c>
      <c r="F100" s="9" t="s">
        <v>327</v>
      </c>
      <c r="G100" s="159">
        <v>860</v>
      </c>
      <c r="H100" s="159"/>
      <c r="I100" s="160">
        <f t="shared" si="3"/>
        <v>860</v>
      </c>
      <c r="J100" s="160">
        <f t="shared" si="4"/>
        <v>43</v>
      </c>
      <c r="K100" s="160">
        <f t="shared" si="5"/>
        <v>903</v>
      </c>
      <c r="L100" s="13" t="s">
        <v>78</v>
      </c>
      <c r="P100">
        <v>1</v>
      </c>
    </row>
    <row r="101" spans="2:16" ht="17.25" customHeight="1" x14ac:dyDescent="0.25">
      <c r="B101" s="9" t="s">
        <v>10</v>
      </c>
      <c r="C101" s="40" t="s">
        <v>315</v>
      </c>
      <c r="D101" s="91">
        <v>45342</v>
      </c>
      <c r="E101" s="72">
        <v>100542487200003</v>
      </c>
      <c r="F101" s="9" t="s">
        <v>328</v>
      </c>
      <c r="G101" s="159">
        <v>625</v>
      </c>
      <c r="H101" s="159"/>
      <c r="I101" s="160">
        <f t="shared" si="3"/>
        <v>625</v>
      </c>
      <c r="J101" s="160">
        <f t="shared" si="4"/>
        <v>31.25</v>
      </c>
      <c r="K101" s="160">
        <f t="shared" si="5"/>
        <v>656.25</v>
      </c>
      <c r="L101" s="13" t="s">
        <v>9</v>
      </c>
      <c r="P101">
        <v>1</v>
      </c>
    </row>
    <row r="102" spans="2:16" ht="17.25" customHeight="1" x14ac:dyDescent="0.25">
      <c r="B102" s="9" t="s">
        <v>345</v>
      </c>
      <c r="C102" s="40" t="s">
        <v>316</v>
      </c>
      <c r="D102" s="91">
        <v>45338</v>
      </c>
      <c r="E102" s="72">
        <v>100470289800003</v>
      </c>
      <c r="F102" s="9" t="s">
        <v>329</v>
      </c>
      <c r="G102" s="159">
        <v>8850</v>
      </c>
      <c r="H102" s="159"/>
      <c r="I102" s="160">
        <f t="shared" si="3"/>
        <v>8850</v>
      </c>
      <c r="J102" s="160">
        <f t="shared" si="4"/>
        <v>442.5</v>
      </c>
      <c r="K102" s="160">
        <f t="shared" si="5"/>
        <v>9292.5</v>
      </c>
      <c r="L102" s="13" t="s">
        <v>9</v>
      </c>
      <c r="P102">
        <v>1</v>
      </c>
    </row>
    <row r="103" spans="2:16" ht="17.25" customHeight="1" x14ac:dyDescent="0.25">
      <c r="B103" s="9" t="s">
        <v>330</v>
      </c>
      <c r="C103" s="40" t="s">
        <v>317</v>
      </c>
      <c r="D103" s="91">
        <v>45338</v>
      </c>
      <c r="E103" s="72" t="s">
        <v>331</v>
      </c>
      <c r="F103" s="9" t="s">
        <v>332</v>
      </c>
      <c r="G103" s="159">
        <v>3335</v>
      </c>
      <c r="H103" s="159"/>
      <c r="I103" s="160">
        <f t="shared" si="3"/>
        <v>3335</v>
      </c>
      <c r="J103" s="160">
        <f t="shared" si="4"/>
        <v>166.75</v>
      </c>
      <c r="K103" s="160">
        <f t="shared" si="5"/>
        <v>3501.75</v>
      </c>
      <c r="L103" s="13" t="s">
        <v>78</v>
      </c>
      <c r="P103">
        <v>1</v>
      </c>
    </row>
    <row r="104" spans="2:16" ht="17.25" customHeight="1" x14ac:dyDescent="0.25">
      <c r="B104" s="9" t="s">
        <v>324</v>
      </c>
      <c r="C104" s="40" t="s">
        <v>318</v>
      </c>
      <c r="D104" s="91">
        <v>45338</v>
      </c>
      <c r="E104" s="72" t="s">
        <v>74</v>
      </c>
      <c r="F104" s="9" t="s">
        <v>325</v>
      </c>
      <c r="G104" s="159">
        <v>1225</v>
      </c>
      <c r="H104" s="159"/>
      <c r="I104" s="160">
        <f t="shared" si="3"/>
        <v>1225</v>
      </c>
      <c r="J104" s="160">
        <f t="shared" si="4"/>
        <v>61.25</v>
      </c>
      <c r="K104" s="160">
        <f t="shared" si="5"/>
        <v>1286.25</v>
      </c>
      <c r="L104" s="13" t="s">
        <v>9</v>
      </c>
      <c r="P104">
        <v>1</v>
      </c>
    </row>
    <row r="105" spans="2:16" ht="17.25" customHeight="1" x14ac:dyDescent="0.25">
      <c r="B105" s="9" t="s">
        <v>102</v>
      </c>
      <c r="C105" s="40" t="s">
        <v>333</v>
      </c>
      <c r="D105" s="91">
        <v>45341</v>
      </c>
      <c r="E105" s="72">
        <v>100593105800003</v>
      </c>
      <c r="F105" s="9" t="s">
        <v>340</v>
      </c>
      <c r="G105" s="159">
        <v>103245.5</v>
      </c>
      <c r="H105" s="159"/>
      <c r="I105" s="160">
        <f t="shared" si="3"/>
        <v>103245.5</v>
      </c>
      <c r="J105" s="160">
        <f t="shared" si="4"/>
        <v>5162.2750000000005</v>
      </c>
      <c r="K105" s="160">
        <f t="shared" si="5"/>
        <v>108407.77499999999</v>
      </c>
      <c r="L105" s="13" t="s">
        <v>9</v>
      </c>
      <c r="P105">
        <v>1</v>
      </c>
    </row>
    <row r="106" spans="2:16" ht="17.25" customHeight="1" x14ac:dyDescent="0.25">
      <c r="B106" s="9" t="s">
        <v>102</v>
      </c>
      <c r="C106" s="40" t="s">
        <v>334</v>
      </c>
      <c r="D106" s="91">
        <v>45341</v>
      </c>
      <c r="E106" s="72">
        <v>100593105800003</v>
      </c>
      <c r="F106" s="9" t="s">
        <v>341</v>
      </c>
      <c r="G106" s="159">
        <v>51717.75</v>
      </c>
      <c r="H106" s="159"/>
      <c r="I106" s="160">
        <f t="shared" si="3"/>
        <v>51717.75</v>
      </c>
      <c r="J106" s="160">
        <f t="shared" si="4"/>
        <v>2585.8875000000003</v>
      </c>
      <c r="K106" s="160">
        <f t="shared" si="5"/>
        <v>54303.637499999997</v>
      </c>
      <c r="L106" s="13" t="s">
        <v>9</v>
      </c>
      <c r="P106">
        <v>1</v>
      </c>
    </row>
    <row r="107" spans="2:16" ht="17.25" customHeight="1" x14ac:dyDescent="0.25">
      <c r="B107" s="9" t="s">
        <v>337</v>
      </c>
      <c r="C107" s="40" t="s">
        <v>335</v>
      </c>
      <c r="D107" s="91">
        <v>45343</v>
      </c>
      <c r="E107" s="72">
        <v>100323347300003</v>
      </c>
      <c r="F107" s="9" t="s">
        <v>338</v>
      </c>
      <c r="G107" s="159">
        <v>892.5</v>
      </c>
      <c r="H107" s="159"/>
      <c r="I107" s="160">
        <f t="shared" si="3"/>
        <v>892.5</v>
      </c>
      <c r="J107" s="160">
        <f t="shared" si="4"/>
        <v>44.625</v>
      </c>
      <c r="K107" s="160">
        <f t="shared" si="5"/>
        <v>937.125</v>
      </c>
      <c r="L107" s="13" t="s">
        <v>78</v>
      </c>
      <c r="P107">
        <v>1</v>
      </c>
    </row>
    <row r="108" spans="2:16" ht="17.25" customHeight="1" x14ac:dyDescent="0.25">
      <c r="B108" s="9" t="s">
        <v>10</v>
      </c>
      <c r="C108" s="40" t="s">
        <v>336</v>
      </c>
      <c r="D108" s="91">
        <v>45343</v>
      </c>
      <c r="E108" s="72">
        <v>100542487200003</v>
      </c>
      <c r="F108" s="9" t="s">
        <v>339</v>
      </c>
      <c r="G108" s="159">
        <v>190</v>
      </c>
      <c r="H108" s="159"/>
      <c r="I108" s="160">
        <f t="shared" si="3"/>
        <v>190</v>
      </c>
      <c r="J108" s="160">
        <f t="shared" si="4"/>
        <v>9.5</v>
      </c>
      <c r="K108" s="160">
        <f t="shared" si="5"/>
        <v>199.5</v>
      </c>
      <c r="L108" s="13" t="s">
        <v>9</v>
      </c>
      <c r="P108">
        <v>1</v>
      </c>
    </row>
    <row r="109" spans="2:16" ht="17.25" customHeight="1" x14ac:dyDescent="0.25">
      <c r="B109" s="9" t="s">
        <v>10</v>
      </c>
      <c r="C109" s="40" t="s">
        <v>342</v>
      </c>
      <c r="D109" s="91">
        <v>45342</v>
      </c>
      <c r="E109" s="72">
        <v>100542487200003</v>
      </c>
      <c r="F109" s="9" t="s">
        <v>344</v>
      </c>
      <c r="G109" s="159">
        <v>585</v>
      </c>
      <c r="H109" s="159"/>
      <c r="I109" s="160">
        <f t="shared" si="3"/>
        <v>585</v>
      </c>
      <c r="J109" s="160">
        <f t="shared" si="4"/>
        <v>29.25</v>
      </c>
      <c r="K109" s="160">
        <f t="shared" si="5"/>
        <v>614.25</v>
      </c>
      <c r="L109" s="13" t="s">
        <v>9</v>
      </c>
      <c r="P109">
        <v>1</v>
      </c>
    </row>
    <row r="110" spans="2:16" ht="17.25" customHeight="1" x14ac:dyDescent="0.25">
      <c r="B110" s="9" t="s">
        <v>346</v>
      </c>
      <c r="C110" s="60" t="s">
        <v>343</v>
      </c>
      <c r="D110" s="91">
        <v>45343</v>
      </c>
      <c r="E110" s="72">
        <v>100359923800003</v>
      </c>
      <c r="F110" s="9" t="s">
        <v>91</v>
      </c>
      <c r="G110" s="159">
        <v>1920</v>
      </c>
      <c r="H110" s="159"/>
      <c r="I110" s="160">
        <f t="shared" si="3"/>
        <v>1920</v>
      </c>
      <c r="J110" s="160">
        <f t="shared" si="4"/>
        <v>96</v>
      </c>
      <c r="K110" s="160">
        <f t="shared" si="5"/>
        <v>2016</v>
      </c>
      <c r="L110" s="13" t="s">
        <v>78</v>
      </c>
      <c r="P110">
        <v>1</v>
      </c>
    </row>
    <row r="111" spans="2:16" ht="17.25" customHeight="1" x14ac:dyDescent="0.25">
      <c r="B111" s="9" t="s">
        <v>357</v>
      </c>
      <c r="C111" s="40" t="s">
        <v>347</v>
      </c>
      <c r="D111" s="91">
        <v>45344</v>
      </c>
      <c r="E111" s="72">
        <v>100484375900003</v>
      </c>
      <c r="F111" s="9" t="s">
        <v>358</v>
      </c>
      <c r="G111" s="159">
        <v>420</v>
      </c>
      <c r="H111" s="159"/>
      <c r="I111" s="160">
        <f t="shared" si="3"/>
        <v>420</v>
      </c>
      <c r="J111" s="160">
        <f t="shared" si="4"/>
        <v>21</v>
      </c>
      <c r="K111" s="160">
        <f t="shared" si="5"/>
        <v>441</v>
      </c>
      <c r="L111" s="13" t="s">
        <v>9</v>
      </c>
      <c r="P111">
        <v>1</v>
      </c>
    </row>
    <row r="112" spans="2:16" ht="17.25" customHeight="1" x14ac:dyDescent="0.25">
      <c r="B112" s="9" t="s">
        <v>10</v>
      </c>
      <c r="C112" s="40" t="s">
        <v>348</v>
      </c>
      <c r="D112" s="91">
        <v>45344</v>
      </c>
      <c r="E112" s="72">
        <v>100542487200003</v>
      </c>
      <c r="F112" s="9" t="s">
        <v>359</v>
      </c>
      <c r="G112" s="159">
        <v>6250</v>
      </c>
      <c r="H112" s="159"/>
      <c r="I112" s="160">
        <f t="shared" si="3"/>
        <v>6250</v>
      </c>
      <c r="J112" s="160">
        <f t="shared" si="4"/>
        <v>312.5</v>
      </c>
      <c r="K112" s="160">
        <f t="shared" si="5"/>
        <v>6562.5</v>
      </c>
      <c r="L112" s="13" t="s">
        <v>9</v>
      </c>
      <c r="P112">
        <v>1</v>
      </c>
    </row>
    <row r="113" spans="2:16" ht="17.25" customHeight="1" x14ac:dyDescent="0.25">
      <c r="B113" s="9" t="s">
        <v>10</v>
      </c>
      <c r="C113" s="40" t="s">
        <v>349</v>
      </c>
      <c r="D113" s="91">
        <v>45345</v>
      </c>
      <c r="E113" s="72">
        <v>100542487200003</v>
      </c>
      <c r="F113" s="9" t="s">
        <v>361</v>
      </c>
      <c r="G113" s="159">
        <v>390</v>
      </c>
      <c r="H113" s="159"/>
      <c r="I113" s="160">
        <f t="shared" si="3"/>
        <v>390</v>
      </c>
      <c r="J113" s="160">
        <f t="shared" si="4"/>
        <v>19.5</v>
      </c>
      <c r="K113" s="160">
        <f t="shared" si="5"/>
        <v>409.5</v>
      </c>
      <c r="L113" s="13" t="s">
        <v>9</v>
      </c>
      <c r="P113">
        <v>1</v>
      </c>
    </row>
    <row r="114" spans="2:16" ht="17.25" customHeight="1" x14ac:dyDescent="0.25">
      <c r="B114" s="9" t="s">
        <v>10</v>
      </c>
      <c r="C114" s="40" t="s">
        <v>350</v>
      </c>
      <c r="D114" s="91">
        <v>45345</v>
      </c>
      <c r="E114" s="72">
        <v>100542487200003</v>
      </c>
      <c r="F114" s="9" t="s">
        <v>362</v>
      </c>
      <c r="G114" s="159">
        <v>4220.5</v>
      </c>
      <c r="H114" s="159"/>
      <c r="I114" s="160">
        <f t="shared" si="3"/>
        <v>4220.5</v>
      </c>
      <c r="J114" s="160">
        <f t="shared" si="4"/>
        <v>211.02500000000001</v>
      </c>
      <c r="K114" s="160">
        <f t="shared" si="5"/>
        <v>4431.5249999999996</v>
      </c>
      <c r="L114" s="13" t="s">
        <v>9</v>
      </c>
      <c r="P114">
        <v>1</v>
      </c>
    </row>
    <row r="115" spans="2:16" ht="17.25" customHeight="1" x14ac:dyDescent="0.25">
      <c r="B115" s="9" t="s">
        <v>114</v>
      </c>
      <c r="C115" s="60" t="s">
        <v>351</v>
      </c>
      <c r="D115" s="91">
        <v>45345</v>
      </c>
      <c r="E115" s="72">
        <v>100235699400003</v>
      </c>
      <c r="F115" s="9" t="s">
        <v>363</v>
      </c>
      <c r="G115" s="159">
        <v>405</v>
      </c>
      <c r="H115" s="159"/>
      <c r="I115" s="160">
        <f t="shared" si="3"/>
        <v>405</v>
      </c>
      <c r="J115" s="160">
        <f t="shared" si="4"/>
        <v>20.25</v>
      </c>
      <c r="K115" s="160">
        <f t="shared" si="5"/>
        <v>425.25</v>
      </c>
      <c r="L115" s="13" t="s">
        <v>9</v>
      </c>
      <c r="P115">
        <v>1</v>
      </c>
    </row>
    <row r="116" spans="2:16" ht="17.25" customHeight="1" x14ac:dyDescent="0.25">
      <c r="B116" s="9" t="s">
        <v>199</v>
      </c>
      <c r="C116" s="40" t="s">
        <v>352</v>
      </c>
      <c r="D116" s="91">
        <v>45348</v>
      </c>
      <c r="E116" s="72">
        <v>100349055200003</v>
      </c>
      <c r="F116" s="9" t="s">
        <v>364</v>
      </c>
      <c r="G116" s="159">
        <v>225</v>
      </c>
      <c r="H116" s="159"/>
      <c r="I116" s="160">
        <f t="shared" si="3"/>
        <v>225</v>
      </c>
      <c r="J116" s="160">
        <f t="shared" si="4"/>
        <v>11.25</v>
      </c>
      <c r="K116" s="160">
        <f t="shared" si="5"/>
        <v>236.25</v>
      </c>
      <c r="L116" s="13" t="s">
        <v>78</v>
      </c>
      <c r="P116">
        <v>1</v>
      </c>
    </row>
    <row r="117" spans="2:16" ht="17.25" customHeight="1" x14ac:dyDescent="0.25">
      <c r="B117" s="50" t="s">
        <v>365</v>
      </c>
      <c r="C117" s="51" t="s">
        <v>353</v>
      </c>
      <c r="D117" s="91">
        <v>45345</v>
      </c>
      <c r="E117" s="74">
        <v>103215109200003</v>
      </c>
      <c r="F117" s="53" t="s">
        <v>366</v>
      </c>
      <c r="G117" s="162">
        <v>2715</v>
      </c>
      <c r="H117" s="162"/>
      <c r="I117" s="163">
        <f t="shared" si="3"/>
        <v>2715</v>
      </c>
      <c r="J117" s="163">
        <f t="shared" si="4"/>
        <v>135.75</v>
      </c>
      <c r="K117" s="163">
        <f t="shared" si="5"/>
        <v>2850.75</v>
      </c>
      <c r="L117" s="68" t="s">
        <v>9</v>
      </c>
      <c r="P117">
        <v>1</v>
      </c>
    </row>
    <row r="118" spans="2:16" ht="17.25" customHeight="1" x14ac:dyDescent="0.25">
      <c r="B118" s="9" t="s">
        <v>142</v>
      </c>
      <c r="C118" s="40" t="s">
        <v>354</v>
      </c>
      <c r="D118" s="91">
        <v>45350</v>
      </c>
      <c r="E118" s="72">
        <v>100377505100003</v>
      </c>
      <c r="F118" s="9" t="s">
        <v>283</v>
      </c>
      <c r="G118" s="159">
        <v>3150</v>
      </c>
      <c r="H118" s="159"/>
      <c r="I118" s="160">
        <f t="shared" si="3"/>
        <v>3150</v>
      </c>
      <c r="J118" s="160">
        <f t="shared" si="4"/>
        <v>157.5</v>
      </c>
      <c r="K118" s="160">
        <f t="shared" si="5"/>
        <v>3307.5</v>
      </c>
      <c r="L118" s="13" t="s">
        <v>9</v>
      </c>
      <c r="P118">
        <v>1</v>
      </c>
    </row>
    <row r="119" spans="2:16" ht="17.25" customHeight="1" x14ac:dyDescent="0.25">
      <c r="B119" s="61" t="s">
        <v>102</v>
      </c>
      <c r="C119" s="62" t="s">
        <v>355</v>
      </c>
      <c r="D119" s="92">
        <v>45345</v>
      </c>
      <c r="E119" s="151" t="s">
        <v>104</v>
      </c>
      <c r="F119" s="61" t="s">
        <v>367</v>
      </c>
      <c r="G119" s="161">
        <v>0</v>
      </c>
      <c r="H119" s="161"/>
      <c r="I119" s="161">
        <f t="shared" si="3"/>
        <v>0</v>
      </c>
      <c r="J119" s="161">
        <f t="shared" si="4"/>
        <v>0</v>
      </c>
      <c r="K119" s="161">
        <f t="shared" si="5"/>
        <v>0</v>
      </c>
      <c r="L119" s="64" t="s">
        <v>9</v>
      </c>
      <c r="P119">
        <v>1</v>
      </c>
    </row>
    <row r="120" spans="2:16" ht="17.25" customHeight="1" x14ac:dyDescent="0.25">
      <c r="B120" s="9" t="s">
        <v>102</v>
      </c>
      <c r="C120" s="73" t="s">
        <v>356</v>
      </c>
      <c r="D120" s="91">
        <v>45345</v>
      </c>
      <c r="E120" s="72">
        <v>100593105800003</v>
      </c>
      <c r="F120" s="9" t="s">
        <v>368</v>
      </c>
      <c r="G120" s="159">
        <v>7142.1</v>
      </c>
      <c r="H120" s="159"/>
      <c r="I120" s="160">
        <f t="shared" si="3"/>
        <v>7142.1</v>
      </c>
      <c r="J120" s="160">
        <f t="shared" si="4"/>
        <v>357.10500000000002</v>
      </c>
      <c r="K120" s="160">
        <f t="shared" si="5"/>
        <v>7499.2049999999999</v>
      </c>
      <c r="L120" s="13" t="s">
        <v>9</v>
      </c>
      <c r="P120">
        <v>1</v>
      </c>
    </row>
    <row r="121" spans="2:16" ht="17.25" customHeight="1" x14ac:dyDescent="0.25">
      <c r="B121" s="9" t="s">
        <v>102</v>
      </c>
      <c r="C121" s="73" t="s">
        <v>360</v>
      </c>
      <c r="D121" s="91">
        <v>45345</v>
      </c>
      <c r="E121" s="72">
        <v>100593105800003</v>
      </c>
      <c r="F121" s="9" t="s">
        <v>117</v>
      </c>
      <c r="G121" s="159">
        <v>1419</v>
      </c>
      <c r="H121" s="159"/>
      <c r="I121" s="160">
        <f t="shared" si="3"/>
        <v>1419</v>
      </c>
      <c r="J121" s="160">
        <f t="shared" si="4"/>
        <v>70.95</v>
      </c>
      <c r="K121" s="160">
        <f t="shared" si="5"/>
        <v>1489.95</v>
      </c>
      <c r="L121" s="13" t="s">
        <v>9</v>
      </c>
      <c r="P121">
        <v>1</v>
      </c>
    </row>
    <row r="122" spans="2:16" ht="17.25" customHeight="1" x14ac:dyDescent="0.25">
      <c r="B122" s="9" t="s">
        <v>102</v>
      </c>
      <c r="C122" s="60" t="s">
        <v>369</v>
      </c>
      <c r="D122" s="91">
        <v>45345</v>
      </c>
      <c r="E122" s="72">
        <v>100593105800003</v>
      </c>
      <c r="F122" s="9" t="s">
        <v>371</v>
      </c>
      <c r="G122" s="159">
        <v>960</v>
      </c>
      <c r="H122" s="159"/>
      <c r="I122" s="160">
        <f t="shared" si="3"/>
        <v>960</v>
      </c>
      <c r="J122" s="160">
        <f t="shared" si="4"/>
        <v>48</v>
      </c>
      <c r="K122" s="160">
        <f t="shared" si="5"/>
        <v>1008</v>
      </c>
      <c r="L122" s="13" t="s">
        <v>9</v>
      </c>
      <c r="P122">
        <v>1</v>
      </c>
    </row>
    <row r="123" spans="2:16" ht="17.25" customHeight="1" x14ac:dyDescent="0.25">
      <c r="B123" s="61" t="s">
        <v>102</v>
      </c>
      <c r="C123" s="62" t="s">
        <v>370</v>
      </c>
      <c r="D123" s="92">
        <v>45345</v>
      </c>
      <c r="E123" s="75">
        <v>100593105800003</v>
      </c>
      <c r="F123" s="61" t="s">
        <v>372</v>
      </c>
      <c r="G123" s="161">
        <v>0</v>
      </c>
      <c r="H123" s="161"/>
      <c r="I123" s="161">
        <f t="shared" si="3"/>
        <v>0</v>
      </c>
      <c r="J123" s="161">
        <f t="shared" si="4"/>
        <v>0</v>
      </c>
      <c r="K123" s="161">
        <f t="shared" si="5"/>
        <v>0</v>
      </c>
      <c r="L123" s="64" t="s">
        <v>9</v>
      </c>
      <c r="P123">
        <v>1</v>
      </c>
    </row>
    <row r="124" spans="2:16" ht="17.25" customHeight="1" x14ac:dyDescent="0.25">
      <c r="B124" s="9" t="s">
        <v>386</v>
      </c>
      <c r="C124" s="40" t="s">
        <v>374</v>
      </c>
      <c r="D124" s="91">
        <v>45351</v>
      </c>
      <c r="E124" s="72">
        <v>100246622300003</v>
      </c>
      <c r="F124" s="9" t="s">
        <v>387</v>
      </c>
      <c r="G124" s="159">
        <v>3490</v>
      </c>
      <c r="H124" s="159"/>
      <c r="I124" s="160">
        <f t="shared" si="3"/>
        <v>3490</v>
      </c>
      <c r="J124" s="160">
        <v>174</v>
      </c>
      <c r="K124" s="160">
        <f t="shared" si="5"/>
        <v>3664</v>
      </c>
      <c r="L124" s="13" t="s">
        <v>9</v>
      </c>
      <c r="P124">
        <v>1</v>
      </c>
    </row>
    <row r="125" spans="2:16" ht="17.25" customHeight="1" x14ac:dyDescent="0.25">
      <c r="B125" s="61" t="s">
        <v>379</v>
      </c>
      <c r="C125" s="62" t="s">
        <v>375</v>
      </c>
      <c r="D125" s="92">
        <v>45348</v>
      </c>
      <c r="E125" s="75">
        <v>100247605700003</v>
      </c>
      <c r="F125" s="61" t="s">
        <v>380</v>
      </c>
      <c r="G125" s="161">
        <v>0</v>
      </c>
      <c r="H125" s="161"/>
      <c r="I125" s="161">
        <f t="shared" si="3"/>
        <v>0</v>
      </c>
      <c r="J125" s="161">
        <f t="shared" si="4"/>
        <v>0</v>
      </c>
      <c r="K125" s="161">
        <f t="shared" si="5"/>
        <v>0</v>
      </c>
      <c r="L125" s="64" t="s">
        <v>9</v>
      </c>
      <c r="P125">
        <v>1</v>
      </c>
    </row>
    <row r="126" spans="2:16" ht="17.25" customHeight="1" x14ac:dyDescent="0.25">
      <c r="B126" s="9" t="s">
        <v>86</v>
      </c>
      <c r="C126" s="40" t="s">
        <v>376</v>
      </c>
      <c r="D126" s="91">
        <v>45351</v>
      </c>
      <c r="E126" s="72">
        <v>100482284500003</v>
      </c>
      <c r="F126" s="9" t="s">
        <v>95</v>
      </c>
      <c r="G126" s="159">
        <v>310</v>
      </c>
      <c r="H126" s="159"/>
      <c r="I126" s="160">
        <f t="shared" si="3"/>
        <v>310</v>
      </c>
      <c r="J126" s="160">
        <f t="shared" si="4"/>
        <v>15.5</v>
      </c>
      <c r="K126" s="160">
        <f t="shared" si="5"/>
        <v>325.5</v>
      </c>
      <c r="L126" s="13" t="s">
        <v>9</v>
      </c>
      <c r="P126">
        <v>1</v>
      </c>
    </row>
    <row r="127" spans="2:16" ht="17.25" customHeight="1" x14ac:dyDescent="0.25">
      <c r="B127" s="9" t="s">
        <v>379</v>
      </c>
      <c r="C127" s="60" t="s">
        <v>377</v>
      </c>
      <c r="D127" s="91">
        <v>45349</v>
      </c>
      <c r="E127" s="72">
        <v>100247605700003</v>
      </c>
      <c r="F127" s="9" t="s">
        <v>385</v>
      </c>
      <c r="G127" s="159">
        <v>6775</v>
      </c>
      <c r="H127" s="159"/>
      <c r="I127" s="160">
        <f t="shared" si="3"/>
        <v>6775</v>
      </c>
      <c r="J127" s="160">
        <f t="shared" si="4"/>
        <v>338.75</v>
      </c>
      <c r="K127" s="160">
        <f t="shared" si="5"/>
        <v>7113.75</v>
      </c>
      <c r="L127" s="13" t="s">
        <v>9</v>
      </c>
      <c r="P127">
        <v>1</v>
      </c>
    </row>
    <row r="128" spans="2:16" ht="17.25" customHeight="1" x14ac:dyDescent="0.25">
      <c r="B128" s="9" t="s">
        <v>238</v>
      </c>
      <c r="C128" s="60" t="s">
        <v>378</v>
      </c>
      <c r="D128" s="91">
        <v>45349</v>
      </c>
      <c r="E128" s="72">
        <v>100435244700003</v>
      </c>
      <c r="F128" s="9" t="s">
        <v>388</v>
      </c>
      <c r="G128" s="159">
        <v>915</v>
      </c>
      <c r="H128" s="159"/>
      <c r="I128" s="160">
        <f t="shared" si="3"/>
        <v>915</v>
      </c>
      <c r="J128" s="160">
        <f t="shared" si="4"/>
        <v>45.75</v>
      </c>
      <c r="K128" s="160">
        <f t="shared" si="5"/>
        <v>960.75</v>
      </c>
      <c r="L128" s="13" t="s">
        <v>78</v>
      </c>
      <c r="P128">
        <v>1</v>
      </c>
    </row>
    <row r="129" spans="2:16" ht="17.25" customHeight="1" x14ac:dyDescent="0.25">
      <c r="B129" s="9" t="s">
        <v>450</v>
      </c>
      <c r="C129" s="60" t="s">
        <v>381</v>
      </c>
      <c r="D129" s="91">
        <v>45349</v>
      </c>
      <c r="E129" s="72" t="s">
        <v>74</v>
      </c>
      <c r="F129" s="9" t="s">
        <v>389</v>
      </c>
      <c r="G129" s="159">
        <v>1925</v>
      </c>
      <c r="H129" s="159"/>
      <c r="I129" s="160">
        <f t="shared" si="3"/>
        <v>1925</v>
      </c>
      <c r="J129" s="160">
        <f t="shared" si="4"/>
        <v>96.25</v>
      </c>
      <c r="K129" s="160">
        <f t="shared" si="5"/>
        <v>2021.25</v>
      </c>
      <c r="L129" s="13" t="s">
        <v>9</v>
      </c>
      <c r="P129">
        <v>1</v>
      </c>
    </row>
    <row r="130" spans="2:16" ht="17.25" customHeight="1" x14ac:dyDescent="0.25">
      <c r="B130" s="9" t="s">
        <v>177</v>
      </c>
      <c r="C130" s="60" t="s">
        <v>382</v>
      </c>
      <c r="D130" s="91">
        <v>45350</v>
      </c>
      <c r="E130" s="72">
        <v>104020641700003</v>
      </c>
      <c r="F130" s="9" t="s">
        <v>408</v>
      </c>
      <c r="G130" s="159">
        <v>2362.38</v>
      </c>
      <c r="H130" s="159"/>
      <c r="I130" s="160">
        <f t="shared" si="3"/>
        <v>2362.38</v>
      </c>
      <c r="J130" s="160">
        <f t="shared" si="4"/>
        <v>118.11900000000001</v>
      </c>
      <c r="K130" s="160">
        <f t="shared" si="5"/>
        <v>2480.4990000000003</v>
      </c>
      <c r="L130" s="13" t="s">
        <v>9</v>
      </c>
      <c r="P130">
        <v>1</v>
      </c>
    </row>
    <row r="131" spans="2:16" ht="17.25" customHeight="1" x14ac:dyDescent="0.25">
      <c r="B131" s="9" t="s">
        <v>409</v>
      </c>
      <c r="C131" s="60" t="s">
        <v>383</v>
      </c>
      <c r="D131" s="91">
        <v>45350</v>
      </c>
      <c r="E131" s="72">
        <v>100566746200003</v>
      </c>
      <c r="F131" s="9" t="s">
        <v>408</v>
      </c>
      <c r="G131" s="159">
        <v>2362.38</v>
      </c>
      <c r="H131" s="159"/>
      <c r="I131" s="160">
        <f t="shared" ref="I131:I194" si="6">G131-H131</f>
        <v>2362.38</v>
      </c>
      <c r="J131" s="160">
        <f t="shared" ref="J131:J194" si="7">G131*5%</f>
        <v>118.11900000000001</v>
      </c>
      <c r="K131" s="160">
        <f t="shared" ref="K131:K194" si="8">G131+J131</f>
        <v>2480.4990000000003</v>
      </c>
      <c r="L131" s="13" t="s">
        <v>9</v>
      </c>
      <c r="P131">
        <v>1</v>
      </c>
    </row>
    <row r="132" spans="2:16" ht="17.25" customHeight="1" x14ac:dyDescent="0.25">
      <c r="B132" s="9" t="s">
        <v>409</v>
      </c>
      <c r="C132" s="60" t="s">
        <v>384</v>
      </c>
      <c r="D132" s="91">
        <v>45350</v>
      </c>
      <c r="E132" s="72">
        <v>100494671900003</v>
      </c>
      <c r="F132" s="9" t="s">
        <v>408</v>
      </c>
      <c r="G132" s="159">
        <v>2362.38</v>
      </c>
      <c r="H132" s="159"/>
      <c r="I132" s="160">
        <f t="shared" si="6"/>
        <v>2362.38</v>
      </c>
      <c r="J132" s="160">
        <f t="shared" si="7"/>
        <v>118.11900000000001</v>
      </c>
      <c r="K132" s="160">
        <f t="shared" si="8"/>
        <v>2480.4990000000003</v>
      </c>
      <c r="L132" s="13" t="s">
        <v>9</v>
      </c>
      <c r="P132">
        <v>1</v>
      </c>
    </row>
    <row r="133" spans="2:16" ht="17.25" customHeight="1" x14ac:dyDescent="0.25">
      <c r="B133" s="9" t="s">
        <v>394</v>
      </c>
      <c r="C133" s="40" t="s">
        <v>390</v>
      </c>
      <c r="D133" s="91">
        <v>45350</v>
      </c>
      <c r="E133" s="72">
        <v>104061117800003</v>
      </c>
      <c r="F133" s="9" t="s">
        <v>395</v>
      </c>
      <c r="G133" s="159">
        <v>47.62</v>
      </c>
      <c r="H133" s="159"/>
      <c r="I133" s="160">
        <f t="shared" si="6"/>
        <v>47.62</v>
      </c>
      <c r="J133" s="160">
        <f t="shared" si="7"/>
        <v>2.3809999999999998</v>
      </c>
      <c r="K133" s="160">
        <f t="shared" si="8"/>
        <v>50.000999999999998</v>
      </c>
      <c r="L133" s="13" t="s">
        <v>9</v>
      </c>
      <c r="P133">
        <v>1</v>
      </c>
    </row>
    <row r="134" spans="2:16" ht="17.25" customHeight="1" x14ac:dyDescent="0.25">
      <c r="B134" s="9" t="s">
        <v>43</v>
      </c>
      <c r="C134" s="40" t="s">
        <v>391</v>
      </c>
      <c r="D134" s="91">
        <v>45351</v>
      </c>
      <c r="E134" s="72">
        <v>104166051300003</v>
      </c>
      <c r="F134" s="9" t="s">
        <v>396</v>
      </c>
      <c r="G134" s="159">
        <v>1248</v>
      </c>
      <c r="H134" s="159"/>
      <c r="I134" s="160">
        <f t="shared" si="6"/>
        <v>1248</v>
      </c>
      <c r="J134" s="160">
        <f t="shared" si="7"/>
        <v>62.400000000000006</v>
      </c>
      <c r="K134" s="160">
        <f t="shared" si="8"/>
        <v>1310.4000000000001</v>
      </c>
      <c r="L134" s="13" t="s">
        <v>9</v>
      </c>
      <c r="P134">
        <v>1</v>
      </c>
    </row>
    <row r="135" spans="2:16" ht="17.25" customHeight="1" x14ac:dyDescent="0.25">
      <c r="B135" s="9" t="s">
        <v>236</v>
      </c>
      <c r="C135" s="40" t="s">
        <v>392</v>
      </c>
      <c r="D135" s="91">
        <v>45351</v>
      </c>
      <c r="E135" s="72">
        <v>100048520900003</v>
      </c>
      <c r="F135" s="9" t="s">
        <v>400</v>
      </c>
      <c r="G135" s="159">
        <v>90</v>
      </c>
      <c r="H135" s="159"/>
      <c r="I135" s="160">
        <f t="shared" si="6"/>
        <v>90</v>
      </c>
      <c r="J135" s="160">
        <f t="shared" si="7"/>
        <v>4.5</v>
      </c>
      <c r="K135" s="160">
        <f t="shared" si="8"/>
        <v>94.5</v>
      </c>
      <c r="L135" s="13" t="s">
        <v>9</v>
      </c>
      <c r="P135">
        <v>1</v>
      </c>
    </row>
    <row r="136" spans="2:16" ht="17.25" customHeight="1" x14ac:dyDescent="0.25">
      <c r="B136" s="9" t="s">
        <v>236</v>
      </c>
      <c r="C136" s="40" t="s">
        <v>393</v>
      </c>
      <c r="D136" s="91">
        <v>45351</v>
      </c>
      <c r="E136" s="72">
        <v>100048520900003</v>
      </c>
      <c r="F136" s="9" t="s">
        <v>400</v>
      </c>
      <c r="G136" s="159">
        <v>105</v>
      </c>
      <c r="H136" s="159"/>
      <c r="I136" s="160">
        <f t="shared" si="6"/>
        <v>105</v>
      </c>
      <c r="J136" s="160">
        <f t="shared" si="7"/>
        <v>5.25</v>
      </c>
      <c r="K136" s="160">
        <f t="shared" si="8"/>
        <v>110.25</v>
      </c>
      <c r="L136" s="13" t="s">
        <v>9</v>
      </c>
      <c r="P136">
        <v>1</v>
      </c>
    </row>
    <row r="137" spans="2:16" ht="17.25" customHeight="1" x14ac:dyDescent="0.25">
      <c r="B137" s="9" t="s">
        <v>29</v>
      </c>
      <c r="C137" s="40" t="s">
        <v>397</v>
      </c>
      <c r="D137" s="91">
        <v>45352</v>
      </c>
      <c r="E137" s="72">
        <v>100282822400003</v>
      </c>
      <c r="F137" s="9" t="s">
        <v>399</v>
      </c>
      <c r="G137" s="164">
        <v>485</v>
      </c>
      <c r="H137" s="159"/>
      <c r="I137" s="160">
        <f t="shared" si="6"/>
        <v>485</v>
      </c>
      <c r="J137" s="160">
        <f t="shared" si="7"/>
        <v>24.25</v>
      </c>
      <c r="K137" s="160">
        <f t="shared" si="8"/>
        <v>509.25</v>
      </c>
      <c r="L137" s="13" t="s">
        <v>9</v>
      </c>
      <c r="P137">
        <v>1</v>
      </c>
    </row>
    <row r="138" spans="2:16" ht="17.25" customHeight="1" x14ac:dyDescent="0.25">
      <c r="B138" s="9" t="s">
        <v>10</v>
      </c>
      <c r="C138" s="40" t="s">
        <v>402</v>
      </c>
      <c r="D138" s="91">
        <v>45351</v>
      </c>
      <c r="E138" s="72">
        <v>100542487200003</v>
      </c>
      <c r="F138" s="9" t="s">
        <v>405</v>
      </c>
      <c r="G138" s="159">
        <v>1890</v>
      </c>
      <c r="H138" s="159"/>
      <c r="I138" s="160">
        <f t="shared" si="6"/>
        <v>1890</v>
      </c>
      <c r="J138" s="160">
        <f t="shared" si="7"/>
        <v>94.5</v>
      </c>
      <c r="K138" s="160">
        <f t="shared" si="8"/>
        <v>1984.5</v>
      </c>
      <c r="L138" s="13" t="s">
        <v>9</v>
      </c>
      <c r="P138">
        <v>1</v>
      </c>
    </row>
    <row r="139" spans="2:16" ht="17.25" customHeight="1" x14ac:dyDescent="0.25">
      <c r="B139" s="9" t="s">
        <v>75</v>
      </c>
      <c r="C139" s="40" t="s">
        <v>403</v>
      </c>
      <c r="D139" s="91">
        <v>45351</v>
      </c>
      <c r="E139" s="72">
        <v>100540543400003</v>
      </c>
      <c r="F139" s="9" t="s">
        <v>406</v>
      </c>
      <c r="G139" s="159">
        <v>487.5</v>
      </c>
      <c r="H139" s="159"/>
      <c r="I139" s="160">
        <f t="shared" si="6"/>
        <v>487.5</v>
      </c>
      <c r="J139" s="160">
        <f t="shared" si="7"/>
        <v>24.375</v>
      </c>
      <c r="K139" s="160">
        <f t="shared" si="8"/>
        <v>511.875</v>
      </c>
      <c r="L139" s="13" t="s">
        <v>78</v>
      </c>
      <c r="P139">
        <v>1</v>
      </c>
    </row>
    <row r="140" spans="2:16" ht="17.25" customHeight="1" x14ac:dyDescent="0.25">
      <c r="B140" s="9" t="s">
        <v>43</v>
      </c>
      <c r="C140" s="40" t="s">
        <v>404</v>
      </c>
      <c r="D140" s="91">
        <v>45351</v>
      </c>
      <c r="E140" s="72">
        <v>104166051300003</v>
      </c>
      <c r="F140" s="9" t="s">
        <v>407</v>
      </c>
      <c r="G140" s="159">
        <v>1162.5</v>
      </c>
      <c r="H140" s="159"/>
      <c r="I140" s="160">
        <f t="shared" si="6"/>
        <v>1162.5</v>
      </c>
      <c r="J140" s="160">
        <f t="shared" si="7"/>
        <v>58.125</v>
      </c>
      <c r="K140" s="160">
        <f t="shared" si="8"/>
        <v>1220.625</v>
      </c>
      <c r="L140" s="13" t="s">
        <v>9</v>
      </c>
      <c r="P140">
        <v>1</v>
      </c>
    </row>
    <row r="141" spans="2:16" ht="17.25" customHeight="1" x14ac:dyDescent="0.25">
      <c r="B141" s="9" t="s">
        <v>177</v>
      </c>
      <c r="C141" s="40" t="s">
        <v>410</v>
      </c>
      <c r="D141" s="91">
        <v>45350</v>
      </c>
      <c r="E141" s="72">
        <v>104020641700003</v>
      </c>
      <c r="F141" s="9" t="s">
        <v>413</v>
      </c>
      <c r="G141" s="159">
        <v>787.62</v>
      </c>
      <c r="H141" s="159"/>
      <c r="I141" s="160">
        <f t="shared" si="6"/>
        <v>787.62</v>
      </c>
      <c r="J141" s="160">
        <f t="shared" si="7"/>
        <v>39.381</v>
      </c>
      <c r="K141" s="160">
        <f t="shared" si="8"/>
        <v>827.00099999999998</v>
      </c>
      <c r="L141" s="13" t="s">
        <v>78</v>
      </c>
      <c r="P141">
        <v>1</v>
      </c>
    </row>
    <row r="142" spans="2:16" ht="17.25" customHeight="1" x14ac:dyDescent="0.25">
      <c r="B142" s="9" t="s">
        <v>409</v>
      </c>
      <c r="C142" s="40" t="s">
        <v>411</v>
      </c>
      <c r="D142" s="91">
        <v>45350</v>
      </c>
      <c r="E142" s="72">
        <v>100566746200003</v>
      </c>
      <c r="F142" s="9" t="s">
        <v>413</v>
      </c>
      <c r="G142" s="159">
        <v>787.62</v>
      </c>
      <c r="H142" s="159"/>
      <c r="I142" s="160">
        <f t="shared" si="6"/>
        <v>787.62</v>
      </c>
      <c r="J142" s="160">
        <f t="shared" si="7"/>
        <v>39.381</v>
      </c>
      <c r="K142" s="160">
        <f t="shared" si="8"/>
        <v>827.00099999999998</v>
      </c>
      <c r="L142" s="13" t="s">
        <v>78</v>
      </c>
      <c r="P142">
        <v>1</v>
      </c>
    </row>
    <row r="143" spans="2:16" ht="17.25" customHeight="1" x14ac:dyDescent="0.25">
      <c r="B143" s="9" t="s">
        <v>409</v>
      </c>
      <c r="C143" s="40" t="s">
        <v>412</v>
      </c>
      <c r="D143" s="91">
        <v>45350</v>
      </c>
      <c r="E143" s="72">
        <v>100494671900003</v>
      </c>
      <c r="F143" s="9" t="s">
        <v>413</v>
      </c>
      <c r="G143" s="159">
        <v>787.62</v>
      </c>
      <c r="H143" s="159"/>
      <c r="I143" s="160">
        <f t="shared" si="6"/>
        <v>787.62</v>
      </c>
      <c r="J143" s="160">
        <f t="shared" si="7"/>
        <v>39.381</v>
      </c>
      <c r="K143" s="160">
        <f t="shared" si="8"/>
        <v>827.00099999999998</v>
      </c>
      <c r="L143" s="13" t="s">
        <v>78</v>
      </c>
      <c r="P143">
        <v>1</v>
      </c>
    </row>
    <row r="144" spans="2:16" ht="17.25" customHeight="1" x14ac:dyDescent="0.25">
      <c r="B144" s="9" t="s">
        <v>10</v>
      </c>
      <c r="C144" s="40" t="s">
        <v>414</v>
      </c>
      <c r="D144" s="91">
        <v>45352</v>
      </c>
      <c r="E144" s="71" t="s">
        <v>16</v>
      </c>
      <c r="F144" s="9" t="s">
        <v>417</v>
      </c>
      <c r="G144" s="164">
        <v>450</v>
      </c>
      <c r="H144" s="159"/>
      <c r="I144" s="160">
        <f t="shared" si="6"/>
        <v>450</v>
      </c>
      <c r="J144" s="160">
        <f t="shared" si="7"/>
        <v>22.5</v>
      </c>
      <c r="K144" s="160">
        <f t="shared" si="8"/>
        <v>472.5</v>
      </c>
      <c r="L144" s="13" t="s">
        <v>9</v>
      </c>
      <c r="P144">
        <v>1</v>
      </c>
    </row>
    <row r="145" spans="2:16" ht="17.25" customHeight="1" x14ac:dyDescent="0.25">
      <c r="B145" s="9" t="s">
        <v>29</v>
      </c>
      <c r="C145" s="40" t="s">
        <v>415</v>
      </c>
      <c r="D145" s="91">
        <v>45355</v>
      </c>
      <c r="E145" s="71" t="s">
        <v>128</v>
      </c>
      <c r="F145" s="9" t="s">
        <v>225</v>
      </c>
      <c r="G145" s="164">
        <v>275</v>
      </c>
      <c r="H145" s="159"/>
      <c r="I145" s="160">
        <f t="shared" si="6"/>
        <v>275</v>
      </c>
      <c r="J145" s="160">
        <f t="shared" si="7"/>
        <v>13.75</v>
      </c>
      <c r="K145" s="160">
        <f t="shared" si="8"/>
        <v>288.75</v>
      </c>
      <c r="L145" s="13" t="s">
        <v>9</v>
      </c>
      <c r="P145">
        <v>1</v>
      </c>
    </row>
    <row r="146" spans="2:16" ht="17.25" customHeight="1" x14ac:dyDescent="0.25">
      <c r="B146" s="9" t="s">
        <v>29</v>
      </c>
      <c r="C146" s="40" t="s">
        <v>416</v>
      </c>
      <c r="D146" s="91">
        <v>45355</v>
      </c>
      <c r="E146" s="71" t="s">
        <v>418</v>
      </c>
      <c r="F146" s="9" t="s">
        <v>419</v>
      </c>
      <c r="G146" s="164">
        <v>505</v>
      </c>
      <c r="H146" s="159"/>
      <c r="I146" s="160">
        <f t="shared" si="6"/>
        <v>505</v>
      </c>
      <c r="J146" s="160">
        <f t="shared" si="7"/>
        <v>25.25</v>
      </c>
      <c r="K146" s="160">
        <f t="shared" si="8"/>
        <v>530.25</v>
      </c>
      <c r="L146" s="13" t="s">
        <v>9</v>
      </c>
      <c r="P146">
        <v>1</v>
      </c>
    </row>
    <row r="147" spans="2:16" ht="17.25" customHeight="1" x14ac:dyDescent="0.25">
      <c r="B147" s="9" t="s">
        <v>10</v>
      </c>
      <c r="C147" s="40" t="s">
        <v>420</v>
      </c>
      <c r="D147" s="91">
        <v>45355</v>
      </c>
      <c r="E147" s="71" t="s">
        <v>16</v>
      </c>
      <c r="F147" s="9" t="s">
        <v>423</v>
      </c>
      <c r="G147" s="164">
        <v>220</v>
      </c>
      <c r="H147" s="159"/>
      <c r="I147" s="160">
        <f t="shared" si="6"/>
        <v>220</v>
      </c>
      <c r="J147" s="160">
        <f t="shared" si="7"/>
        <v>11</v>
      </c>
      <c r="K147" s="160">
        <f t="shared" si="8"/>
        <v>231</v>
      </c>
      <c r="L147" s="13" t="s">
        <v>9</v>
      </c>
      <c r="P147">
        <v>1</v>
      </c>
    </row>
    <row r="148" spans="2:16" ht="17.25" customHeight="1" x14ac:dyDescent="0.25">
      <c r="B148" s="9" t="s">
        <v>114</v>
      </c>
      <c r="C148" s="40" t="s">
        <v>421</v>
      </c>
      <c r="D148" s="91">
        <v>45356</v>
      </c>
      <c r="E148" s="71" t="s">
        <v>115</v>
      </c>
      <c r="F148" s="9" t="s">
        <v>429</v>
      </c>
      <c r="G148" s="164">
        <v>405</v>
      </c>
      <c r="H148" s="159"/>
      <c r="I148" s="160">
        <f t="shared" si="6"/>
        <v>405</v>
      </c>
      <c r="J148" s="160">
        <f t="shared" si="7"/>
        <v>20.25</v>
      </c>
      <c r="K148" s="160">
        <f t="shared" si="8"/>
        <v>425.25</v>
      </c>
      <c r="L148" s="13" t="s">
        <v>9</v>
      </c>
      <c r="P148">
        <v>1</v>
      </c>
    </row>
    <row r="149" spans="2:16" ht="17.25" customHeight="1" x14ac:dyDescent="0.25">
      <c r="B149" s="9" t="s">
        <v>122</v>
      </c>
      <c r="C149" s="40" t="s">
        <v>422</v>
      </c>
      <c r="D149" s="91">
        <v>45353</v>
      </c>
      <c r="E149" s="70" t="s">
        <v>74</v>
      </c>
      <c r="F149" s="9" t="s">
        <v>424</v>
      </c>
      <c r="G149" s="164">
        <v>18930</v>
      </c>
      <c r="H149" s="159"/>
      <c r="I149" s="160">
        <f t="shared" si="6"/>
        <v>18930</v>
      </c>
      <c r="J149" s="160">
        <f t="shared" si="7"/>
        <v>946.5</v>
      </c>
      <c r="K149" s="160">
        <f t="shared" si="8"/>
        <v>19876.5</v>
      </c>
      <c r="L149" s="13" t="s">
        <v>9</v>
      </c>
      <c r="P149">
        <v>1</v>
      </c>
    </row>
    <row r="150" spans="2:16" ht="17.25" customHeight="1" x14ac:dyDescent="0.25">
      <c r="B150" s="9" t="s">
        <v>122</v>
      </c>
      <c r="C150" s="40" t="s">
        <v>425</v>
      </c>
      <c r="D150" s="91">
        <v>45355</v>
      </c>
      <c r="E150" s="70" t="s">
        <v>74</v>
      </c>
      <c r="F150" s="9" t="s">
        <v>426</v>
      </c>
      <c r="G150" s="164">
        <v>2585</v>
      </c>
      <c r="H150" s="159"/>
      <c r="I150" s="160">
        <f t="shared" si="6"/>
        <v>2585</v>
      </c>
      <c r="J150" s="160">
        <f t="shared" si="7"/>
        <v>129.25</v>
      </c>
      <c r="K150" s="160">
        <f t="shared" si="8"/>
        <v>2714.25</v>
      </c>
      <c r="L150" s="13" t="s">
        <v>9</v>
      </c>
      <c r="P150">
        <v>1</v>
      </c>
    </row>
    <row r="151" spans="2:16" ht="17.25" customHeight="1" x14ac:dyDescent="0.25">
      <c r="B151" s="9" t="s">
        <v>299</v>
      </c>
      <c r="C151" s="40" t="s">
        <v>427</v>
      </c>
      <c r="D151" s="91">
        <v>45358</v>
      </c>
      <c r="E151" s="71" t="s">
        <v>302</v>
      </c>
      <c r="F151" s="9" t="s">
        <v>428</v>
      </c>
      <c r="G151" s="164">
        <v>1130</v>
      </c>
      <c r="H151" s="159"/>
      <c r="I151" s="160">
        <f t="shared" si="6"/>
        <v>1130</v>
      </c>
      <c r="J151" s="160">
        <f t="shared" si="7"/>
        <v>56.5</v>
      </c>
      <c r="K151" s="160">
        <f t="shared" si="8"/>
        <v>1186.5</v>
      </c>
      <c r="L151" s="13" t="s">
        <v>78</v>
      </c>
      <c r="P151">
        <v>1</v>
      </c>
    </row>
    <row r="152" spans="2:16" ht="17.25" customHeight="1" x14ac:dyDescent="0.25">
      <c r="B152" s="9" t="s">
        <v>114</v>
      </c>
      <c r="C152" s="40" t="s">
        <v>430</v>
      </c>
      <c r="D152" s="91">
        <v>45356</v>
      </c>
      <c r="E152" s="71" t="s">
        <v>115</v>
      </c>
      <c r="F152" s="9" t="s">
        <v>431</v>
      </c>
      <c r="G152" s="164">
        <v>405</v>
      </c>
      <c r="H152" s="159"/>
      <c r="I152" s="160">
        <f t="shared" si="6"/>
        <v>405</v>
      </c>
      <c r="J152" s="160">
        <f t="shared" si="7"/>
        <v>20.25</v>
      </c>
      <c r="K152" s="160">
        <f t="shared" si="8"/>
        <v>425.25</v>
      </c>
      <c r="L152" s="13" t="s">
        <v>9</v>
      </c>
      <c r="P152">
        <v>1</v>
      </c>
    </row>
    <row r="153" spans="2:16" ht="17.25" customHeight="1" x14ac:dyDescent="0.25">
      <c r="B153" s="9" t="s">
        <v>10</v>
      </c>
      <c r="C153" s="40" t="s">
        <v>432</v>
      </c>
      <c r="D153" s="91">
        <v>45357</v>
      </c>
      <c r="E153" s="71" t="s">
        <v>16</v>
      </c>
      <c r="F153" s="9" t="s">
        <v>433</v>
      </c>
      <c r="G153" s="164">
        <v>840</v>
      </c>
      <c r="H153" s="159"/>
      <c r="I153" s="160">
        <f t="shared" si="6"/>
        <v>840</v>
      </c>
      <c r="J153" s="160">
        <f t="shared" si="7"/>
        <v>42</v>
      </c>
      <c r="K153" s="160">
        <f t="shared" si="8"/>
        <v>882</v>
      </c>
      <c r="L153" s="13" t="s">
        <v>9</v>
      </c>
      <c r="P153">
        <v>1</v>
      </c>
    </row>
    <row r="154" spans="2:16" ht="17.25" customHeight="1" x14ac:dyDescent="0.25">
      <c r="B154" s="9" t="s">
        <v>114</v>
      </c>
      <c r="C154" s="40" t="s">
        <v>434</v>
      </c>
      <c r="D154" s="91">
        <v>45360</v>
      </c>
      <c r="E154" s="71" t="s">
        <v>23</v>
      </c>
      <c r="F154" s="9" t="s">
        <v>435</v>
      </c>
      <c r="G154" s="164">
        <v>540</v>
      </c>
      <c r="H154" s="159"/>
      <c r="I154" s="160">
        <f t="shared" si="6"/>
        <v>540</v>
      </c>
      <c r="J154" s="160">
        <f t="shared" si="7"/>
        <v>27</v>
      </c>
      <c r="K154" s="160">
        <f t="shared" si="8"/>
        <v>567</v>
      </c>
      <c r="L154" s="13" t="s">
        <v>9</v>
      </c>
      <c r="P154">
        <v>1</v>
      </c>
    </row>
    <row r="155" spans="2:16" ht="17.25" customHeight="1" x14ac:dyDescent="0.25">
      <c r="B155" s="9" t="s">
        <v>436</v>
      </c>
      <c r="C155" s="40" t="s">
        <v>437</v>
      </c>
      <c r="D155" s="91">
        <v>45360</v>
      </c>
      <c r="E155" s="71" t="s">
        <v>440</v>
      </c>
      <c r="F155" s="9" t="s">
        <v>441</v>
      </c>
      <c r="G155" s="164">
        <v>925</v>
      </c>
      <c r="H155" s="159"/>
      <c r="I155" s="160">
        <f t="shared" si="6"/>
        <v>925</v>
      </c>
      <c r="J155" s="160">
        <f t="shared" si="7"/>
        <v>46.25</v>
      </c>
      <c r="K155" s="160">
        <f t="shared" si="8"/>
        <v>971.25</v>
      </c>
      <c r="L155" s="13" t="s">
        <v>9</v>
      </c>
      <c r="P155">
        <v>1</v>
      </c>
    </row>
    <row r="156" spans="2:16" ht="17.25" customHeight="1" x14ac:dyDescent="0.25">
      <c r="B156" s="9" t="s">
        <v>10</v>
      </c>
      <c r="C156" s="40" t="s">
        <v>438</v>
      </c>
      <c r="D156" s="91">
        <v>45360</v>
      </c>
      <c r="E156" s="71" t="s">
        <v>16</v>
      </c>
      <c r="F156" s="9" t="s">
        <v>442</v>
      </c>
      <c r="G156" s="164">
        <v>450</v>
      </c>
      <c r="H156" s="159"/>
      <c r="I156" s="160">
        <f t="shared" si="6"/>
        <v>450</v>
      </c>
      <c r="J156" s="160">
        <f t="shared" si="7"/>
        <v>22.5</v>
      </c>
      <c r="K156" s="160">
        <f t="shared" si="8"/>
        <v>472.5</v>
      </c>
      <c r="L156" s="13" t="s">
        <v>9</v>
      </c>
      <c r="P156">
        <v>1</v>
      </c>
    </row>
    <row r="157" spans="2:16" ht="17.25" customHeight="1" x14ac:dyDescent="0.25">
      <c r="B157" s="9" t="s">
        <v>443</v>
      </c>
      <c r="C157" s="40" t="s">
        <v>439</v>
      </c>
      <c r="D157" s="91">
        <v>45362</v>
      </c>
      <c r="E157" s="70" t="s">
        <v>74</v>
      </c>
      <c r="F157" s="9" t="s">
        <v>135</v>
      </c>
      <c r="G157" s="164">
        <v>210</v>
      </c>
      <c r="H157" s="159"/>
      <c r="I157" s="160">
        <f t="shared" si="6"/>
        <v>210</v>
      </c>
      <c r="J157" s="160">
        <f t="shared" si="7"/>
        <v>10.5</v>
      </c>
      <c r="K157" s="160">
        <f t="shared" si="8"/>
        <v>220.5</v>
      </c>
      <c r="L157" s="13" t="s">
        <v>9</v>
      </c>
      <c r="P157">
        <v>1</v>
      </c>
    </row>
    <row r="158" spans="2:16" ht="17.25" customHeight="1" x14ac:dyDescent="0.25">
      <c r="B158" s="9" t="s">
        <v>321</v>
      </c>
      <c r="C158" s="40" t="s">
        <v>444</v>
      </c>
      <c r="D158" s="91">
        <v>45359</v>
      </c>
      <c r="E158" s="70" t="s">
        <v>74</v>
      </c>
      <c r="F158" s="9" t="s">
        <v>225</v>
      </c>
      <c r="G158" s="164">
        <v>550</v>
      </c>
      <c r="H158" s="159"/>
      <c r="I158" s="160">
        <f t="shared" si="6"/>
        <v>550</v>
      </c>
      <c r="J158" s="160">
        <f t="shared" si="7"/>
        <v>27.5</v>
      </c>
      <c r="K158" s="160">
        <f t="shared" si="8"/>
        <v>577.5</v>
      </c>
      <c r="L158" s="13" t="s">
        <v>9</v>
      </c>
      <c r="P158">
        <v>1</v>
      </c>
    </row>
    <row r="159" spans="2:16" ht="17.25" customHeight="1" x14ac:dyDescent="0.25">
      <c r="B159" s="9" t="s">
        <v>122</v>
      </c>
      <c r="C159" s="40" t="s">
        <v>445</v>
      </c>
      <c r="D159" s="91">
        <v>45362</v>
      </c>
      <c r="E159" s="70" t="s">
        <v>74</v>
      </c>
      <c r="F159" s="9" t="s">
        <v>449</v>
      </c>
      <c r="G159" s="164">
        <v>662.5</v>
      </c>
      <c r="H159" s="159"/>
      <c r="I159" s="160">
        <f t="shared" si="6"/>
        <v>662.5</v>
      </c>
      <c r="J159" s="160">
        <f t="shared" si="7"/>
        <v>33.125</v>
      </c>
      <c r="K159" s="160">
        <f t="shared" si="8"/>
        <v>695.625</v>
      </c>
      <c r="L159" s="13" t="s">
        <v>9</v>
      </c>
      <c r="P159">
        <v>1</v>
      </c>
    </row>
    <row r="160" spans="2:16" ht="17.25" customHeight="1" x14ac:dyDescent="0.25">
      <c r="B160" s="9" t="s">
        <v>357</v>
      </c>
      <c r="C160" s="40" t="s">
        <v>446</v>
      </c>
      <c r="D160" s="91">
        <v>45360</v>
      </c>
      <c r="E160" s="71" t="s">
        <v>447</v>
      </c>
      <c r="F160" s="9" t="s">
        <v>448</v>
      </c>
      <c r="G160" s="164">
        <v>185</v>
      </c>
      <c r="H160" s="159"/>
      <c r="I160" s="160">
        <f t="shared" si="6"/>
        <v>185</v>
      </c>
      <c r="J160" s="160">
        <f t="shared" si="7"/>
        <v>9.25</v>
      </c>
      <c r="K160" s="160">
        <f t="shared" si="8"/>
        <v>194.25</v>
      </c>
      <c r="L160" s="13" t="s">
        <v>9</v>
      </c>
      <c r="P160">
        <v>1</v>
      </c>
    </row>
    <row r="161" spans="2:16" ht="17.25" customHeight="1" x14ac:dyDescent="0.25">
      <c r="B161" s="9" t="s">
        <v>29</v>
      </c>
      <c r="C161" s="73" t="s">
        <v>451</v>
      </c>
      <c r="D161" s="91">
        <v>45362</v>
      </c>
      <c r="E161" s="71" t="s">
        <v>418</v>
      </c>
      <c r="F161" s="9" t="s">
        <v>452</v>
      </c>
      <c r="G161" s="164">
        <v>135</v>
      </c>
      <c r="H161" s="159"/>
      <c r="I161" s="160">
        <f t="shared" si="6"/>
        <v>135</v>
      </c>
      <c r="J161" s="160">
        <f t="shared" si="7"/>
        <v>6.75</v>
      </c>
      <c r="K161" s="160">
        <f t="shared" si="8"/>
        <v>141.75</v>
      </c>
      <c r="L161" s="13" t="s">
        <v>9</v>
      </c>
      <c r="P161">
        <v>1</v>
      </c>
    </row>
    <row r="162" spans="2:16" ht="17.25" customHeight="1" x14ac:dyDescent="0.25">
      <c r="B162" s="9" t="s">
        <v>10</v>
      </c>
      <c r="C162" s="10" t="s">
        <v>453</v>
      </c>
      <c r="D162" s="89">
        <v>45364</v>
      </c>
      <c r="E162" s="70"/>
      <c r="F162" s="9" t="s">
        <v>455</v>
      </c>
      <c r="G162" s="164">
        <v>3703.5</v>
      </c>
      <c r="H162" s="159"/>
      <c r="I162" s="160">
        <f t="shared" si="6"/>
        <v>3703.5</v>
      </c>
      <c r="J162" s="160">
        <f t="shared" si="7"/>
        <v>185.17500000000001</v>
      </c>
      <c r="K162" s="160">
        <f t="shared" si="8"/>
        <v>3888.6750000000002</v>
      </c>
      <c r="L162" s="13" t="s">
        <v>9</v>
      </c>
      <c r="P162">
        <v>1</v>
      </c>
    </row>
    <row r="163" spans="2:16" ht="17.25" customHeight="1" x14ac:dyDescent="0.25">
      <c r="B163" s="9" t="s">
        <v>10</v>
      </c>
      <c r="C163" s="10" t="s">
        <v>456</v>
      </c>
      <c r="D163" s="89">
        <v>45364</v>
      </c>
      <c r="E163" s="70"/>
      <c r="F163" s="9" t="s">
        <v>457</v>
      </c>
      <c r="G163" s="164">
        <v>3360</v>
      </c>
      <c r="H163" s="159"/>
      <c r="I163" s="160">
        <f t="shared" si="6"/>
        <v>3360</v>
      </c>
      <c r="J163" s="160">
        <f t="shared" si="7"/>
        <v>168</v>
      </c>
      <c r="K163" s="160">
        <f t="shared" si="8"/>
        <v>3528</v>
      </c>
      <c r="L163" s="13" t="s">
        <v>9</v>
      </c>
      <c r="P163">
        <v>1</v>
      </c>
    </row>
    <row r="164" spans="2:16" ht="17.25" customHeight="1" x14ac:dyDescent="0.25">
      <c r="B164" s="9" t="s">
        <v>10</v>
      </c>
      <c r="C164" s="10" t="s">
        <v>458</v>
      </c>
      <c r="D164" s="89">
        <v>45364</v>
      </c>
      <c r="E164" s="70"/>
      <c r="F164" s="9" t="s">
        <v>459</v>
      </c>
      <c r="G164" s="164">
        <v>475</v>
      </c>
      <c r="H164" s="159"/>
      <c r="I164" s="160">
        <f t="shared" si="6"/>
        <v>475</v>
      </c>
      <c r="J164" s="160">
        <f t="shared" si="7"/>
        <v>23.75</v>
      </c>
      <c r="K164" s="160">
        <f t="shared" si="8"/>
        <v>498.75</v>
      </c>
      <c r="L164" s="13" t="s">
        <v>9</v>
      </c>
      <c r="P164">
        <v>1</v>
      </c>
    </row>
    <row r="165" spans="2:16" ht="17.25" customHeight="1" x14ac:dyDescent="0.25">
      <c r="B165" s="9" t="s">
        <v>460</v>
      </c>
      <c r="C165" s="10" t="s">
        <v>461</v>
      </c>
      <c r="D165" s="89">
        <v>45364</v>
      </c>
      <c r="E165" s="70"/>
      <c r="F165" s="9" t="s">
        <v>462</v>
      </c>
      <c r="G165" s="164">
        <v>750</v>
      </c>
      <c r="H165" s="159"/>
      <c r="I165" s="160">
        <f t="shared" si="6"/>
        <v>750</v>
      </c>
      <c r="J165" s="160">
        <f t="shared" si="7"/>
        <v>37.5</v>
      </c>
      <c r="K165" s="160">
        <f t="shared" si="8"/>
        <v>787.5</v>
      </c>
      <c r="L165" s="13" t="s">
        <v>78</v>
      </c>
      <c r="P165">
        <v>1</v>
      </c>
    </row>
    <row r="166" spans="2:16" ht="17.25" customHeight="1" x14ac:dyDescent="0.25">
      <c r="B166" s="9" t="s">
        <v>114</v>
      </c>
      <c r="C166" s="10" t="s">
        <v>463</v>
      </c>
      <c r="D166" s="89">
        <v>45365</v>
      </c>
      <c r="E166" s="70"/>
      <c r="F166" s="9" t="s">
        <v>467</v>
      </c>
      <c r="G166" s="164">
        <v>405</v>
      </c>
      <c r="H166" s="159"/>
      <c r="I166" s="160">
        <f t="shared" si="6"/>
        <v>405</v>
      </c>
      <c r="J166" s="160">
        <f t="shared" si="7"/>
        <v>20.25</v>
      </c>
      <c r="K166" s="160">
        <f t="shared" si="8"/>
        <v>425.25</v>
      </c>
      <c r="L166" s="13" t="s">
        <v>9</v>
      </c>
      <c r="P166">
        <v>1</v>
      </c>
    </row>
    <row r="167" spans="2:16" ht="17.25" customHeight="1" x14ac:dyDescent="0.25">
      <c r="B167" s="9" t="s">
        <v>10</v>
      </c>
      <c r="C167" s="10" t="s">
        <v>464</v>
      </c>
      <c r="D167" s="89">
        <v>45366</v>
      </c>
      <c r="E167" s="70"/>
      <c r="F167" s="9" t="s">
        <v>470</v>
      </c>
      <c r="G167" s="164">
        <v>3600</v>
      </c>
      <c r="H167" s="159"/>
      <c r="I167" s="160">
        <f t="shared" si="6"/>
        <v>3600</v>
      </c>
      <c r="J167" s="160">
        <f t="shared" si="7"/>
        <v>180</v>
      </c>
      <c r="K167" s="160">
        <f t="shared" si="8"/>
        <v>3780</v>
      </c>
      <c r="L167" s="13" t="s">
        <v>9</v>
      </c>
      <c r="P167">
        <v>1</v>
      </c>
    </row>
    <row r="168" spans="2:16" ht="17.25" customHeight="1" x14ac:dyDescent="0.25">
      <c r="B168" s="9" t="s">
        <v>10</v>
      </c>
      <c r="C168" s="10" t="s">
        <v>465</v>
      </c>
      <c r="D168" s="89">
        <v>45366</v>
      </c>
      <c r="E168" s="70"/>
      <c r="F168" s="9" t="s">
        <v>469</v>
      </c>
      <c r="G168" s="164">
        <v>2242.5</v>
      </c>
      <c r="H168" s="159"/>
      <c r="I168" s="160">
        <f t="shared" si="6"/>
        <v>2242.5</v>
      </c>
      <c r="J168" s="160">
        <f t="shared" si="7"/>
        <v>112.125</v>
      </c>
      <c r="K168" s="160">
        <f t="shared" si="8"/>
        <v>2354.625</v>
      </c>
      <c r="L168" s="13" t="s">
        <v>9</v>
      </c>
      <c r="P168">
        <v>1</v>
      </c>
    </row>
    <row r="169" spans="2:16" ht="17.25" customHeight="1" x14ac:dyDescent="0.25">
      <c r="B169" s="9" t="s">
        <v>29</v>
      </c>
      <c r="C169" s="10" t="s">
        <v>466</v>
      </c>
      <c r="D169" s="89">
        <v>45366</v>
      </c>
      <c r="E169" s="70"/>
      <c r="F169" s="9" t="s">
        <v>468</v>
      </c>
      <c r="G169" s="164">
        <v>275</v>
      </c>
      <c r="H169" s="159"/>
      <c r="I169" s="160">
        <f t="shared" si="6"/>
        <v>275</v>
      </c>
      <c r="J169" s="160">
        <f t="shared" si="7"/>
        <v>13.75</v>
      </c>
      <c r="K169" s="160">
        <f t="shared" si="8"/>
        <v>288.75</v>
      </c>
      <c r="L169" s="13" t="s">
        <v>9</v>
      </c>
      <c r="P169">
        <v>1</v>
      </c>
    </row>
    <row r="170" spans="2:16" ht="17.25" customHeight="1" x14ac:dyDescent="0.25">
      <c r="B170" s="9" t="s">
        <v>482</v>
      </c>
      <c r="C170" s="10" t="s">
        <v>471</v>
      </c>
      <c r="D170" s="89">
        <v>45369</v>
      </c>
      <c r="E170" s="70"/>
      <c r="F170" s="9" t="s">
        <v>483</v>
      </c>
      <c r="G170" s="164">
        <v>5350</v>
      </c>
      <c r="H170" s="159"/>
      <c r="I170" s="160">
        <f t="shared" si="6"/>
        <v>5350</v>
      </c>
      <c r="J170" s="160">
        <f t="shared" si="7"/>
        <v>267.5</v>
      </c>
      <c r="K170" s="160">
        <f t="shared" si="8"/>
        <v>5617.5</v>
      </c>
      <c r="L170" s="13" t="s">
        <v>9</v>
      </c>
      <c r="P170">
        <v>1</v>
      </c>
    </row>
    <row r="171" spans="2:16" ht="17.25" customHeight="1" x14ac:dyDescent="0.25">
      <c r="B171" s="9" t="s">
        <v>10</v>
      </c>
      <c r="C171" s="10" t="s">
        <v>472</v>
      </c>
      <c r="D171" s="89">
        <v>45370</v>
      </c>
      <c r="E171" s="70"/>
      <c r="F171" s="9" t="s">
        <v>484</v>
      </c>
      <c r="G171" s="164">
        <v>290</v>
      </c>
      <c r="H171" s="159"/>
      <c r="I171" s="160">
        <f t="shared" si="6"/>
        <v>290</v>
      </c>
      <c r="J171" s="160">
        <f t="shared" si="7"/>
        <v>14.5</v>
      </c>
      <c r="K171" s="160">
        <f t="shared" si="8"/>
        <v>304.5</v>
      </c>
      <c r="L171" s="13" t="s">
        <v>9</v>
      </c>
      <c r="P171">
        <v>1</v>
      </c>
    </row>
    <row r="172" spans="2:16" ht="17.25" customHeight="1" x14ac:dyDescent="0.25">
      <c r="B172" s="9" t="s">
        <v>443</v>
      </c>
      <c r="C172" s="10" t="s">
        <v>473</v>
      </c>
      <c r="D172" s="89">
        <v>45371</v>
      </c>
      <c r="E172" s="70"/>
      <c r="F172" s="9" t="s">
        <v>485</v>
      </c>
      <c r="G172" s="164">
        <v>195</v>
      </c>
      <c r="H172" s="159"/>
      <c r="I172" s="160">
        <f t="shared" si="6"/>
        <v>195</v>
      </c>
      <c r="J172" s="160">
        <f t="shared" si="7"/>
        <v>9.75</v>
      </c>
      <c r="K172" s="160">
        <f t="shared" si="8"/>
        <v>204.75</v>
      </c>
      <c r="L172" s="13" t="s">
        <v>9</v>
      </c>
      <c r="P172">
        <v>1</v>
      </c>
    </row>
    <row r="173" spans="2:16" ht="17.25" customHeight="1" x14ac:dyDescent="0.25">
      <c r="B173" s="9" t="s">
        <v>486</v>
      </c>
      <c r="C173" s="10" t="s">
        <v>474</v>
      </c>
      <c r="D173" s="89">
        <v>45377</v>
      </c>
      <c r="E173" s="70"/>
      <c r="F173" s="9" t="s">
        <v>487</v>
      </c>
      <c r="G173" s="164">
        <v>1725</v>
      </c>
      <c r="H173" s="159"/>
      <c r="I173" s="160">
        <f t="shared" si="6"/>
        <v>1725</v>
      </c>
      <c r="J173" s="160">
        <f t="shared" si="7"/>
        <v>86.25</v>
      </c>
      <c r="K173" s="160">
        <f t="shared" si="8"/>
        <v>1811.25</v>
      </c>
      <c r="L173" s="13" t="s">
        <v>78</v>
      </c>
      <c r="P173">
        <v>1</v>
      </c>
    </row>
    <row r="174" spans="2:16" ht="17.25" customHeight="1" x14ac:dyDescent="0.25">
      <c r="B174" s="9" t="s">
        <v>524</v>
      </c>
      <c r="C174" s="10" t="s">
        <v>475</v>
      </c>
      <c r="D174" s="89">
        <v>45371</v>
      </c>
      <c r="E174" s="70"/>
      <c r="F174" s="9" t="s">
        <v>489</v>
      </c>
      <c r="G174" s="164">
        <v>1925</v>
      </c>
      <c r="H174" s="159"/>
      <c r="I174" s="160">
        <f t="shared" si="6"/>
        <v>1925</v>
      </c>
      <c r="J174" s="160">
        <f t="shared" si="7"/>
        <v>96.25</v>
      </c>
      <c r="K174" s="160">
        <f t="shared" si="8"/>
        <v>2021.25</v>
      </c>
      <c r="L174" s="13" t="s">
        <v>9</v>
      </c>
      <c r="P174">
        <v>1</v>
      </c>
    </row>
    <row r="175" spans="2:16" ht="17.25" customHeight="1" x14ac:dyDescent="0.25">
      <c r="B175" s="9" t="s">
        <v>29</v>
      </c>
      <c r="C175" s="10" t="s">
        <v>476</v>
      </c>
      <c r="D175" s="89">
        <v>45372</v>
      </c>
      <c r="E175" s="70"/>
      <c r="F175" s="9" t="s">
        <v>491</v>
      </c>
      <c r="G175" s="164">
        <v>275</v>
      </c>
      <c r="H175" s="159"/>
      <c r="I175" s="160">
        <f t="shared" si="6"/>
        <v>275</v>
      </c>
      <c r="J175" s="160">
        <f t="shared" si="7"/>
        <v>13.75</v>
      </c>
      <c r="K175" s="160">
        <f t="shared" si="8"/>
        <v>288.75</v>
      </c>
      <c r="L175" s="13" t="s">
        <v>9</v>
      </c>
      <c r="P175">
        <v>1</v>
      </c>
    </row>
    <row r="176" spans="2:16" ht="17.25" customHeight="1" x14ac:dyDescent="0.25">
      <c r="B176" s="9" t="s">
        <v>29</v>
      </c>
      <c r="C176" s="10" t="s">
        <v>477</v>
      </c>
      <c r="D176" s="89">
        <v>45372</v>
      </c>
      <c r="E176" s="70"/>
      <c r="F176" s="9" t="s">
        <v>493</v>
      </c>
      <c r="G176" s="164">
        <v>10260</v>
      </c>
      <c r="H176" s="159"/>
      <c r="I176" s="160">
        <f t="shared" si="6"/>
        <v>10260</v>
      </c>
      <c r="J176" s="160">
        <f t="shared" si="7"/>
        <v>513</v>
      </c>
      <c r="K176" s="160">
        <f t="shared" si="8"/>
        <v>10773</v>
      </c>
      <c r="L176" s="13" t="s">
        <v>9</v>
      </c>
      <c r="P176">
        <v>1</v>
      </c>
    </row>
    <row r="177" spans="2:16" ht="17.25" customHeight="1" x14ac:dyDescent="0.25">
      <c r="B177" s="9" t="s">
        <v>494</v>
      </c>
      <c r="C177" s="10" t="s">
        <v>478</v>
      </c>
      <c r="D177" s="89">
        <v>45374</v>
      </c>
      <c r="E177" s="70"/>
      <c r="F177" s="9" t="s">
        <v>77</v>
      </c>
      <c r="G177" s="164">
        <v>285</v>
      </c>
      <c r="H177" s="159"/>
      <c r="I177" s="160">
        <f t="shared" si="6"/>
        <v>285</v>
      </c>
      <c r="J177" s="160">
        <f t="shared" si="7"/>
        <v>14.25</v>
      </c>
      <c r="K177" s="160">
        <f t="shared" si="8"/>
        <v>299.25</v>
      </c>
      <c r="L177" s="13" t="s">
        <v>9</v>
      </c>
      <c r="P177">
        <v>1</v>
      </c>
    </row>
    <row r="178" spans="2:16" ht="17.25" customHeight="1" x14ac:dyDescent="0.25">
      <c r="B178" s="9" t="s">
        <v>81</v>
      </c>
      <c r="C178" s="10" t="s">
        <v>479</v>
      </c>
      <c r="D178" s="89">
        <v>45376</v>
      </c>
      <c r="E178" s="70" t="s">
        <v>82</v>
      </c>
      <c r="F178" s="9" t="s">
        <v>495</v>
      </c>
      <c r="G178" s="164">
        <v>1250</v>
      </c>
      <c r="H178" s="159"/>
      <c r="I178" s="160">
        <f t="shared" si="6"/>
        <v>1250</v>
      </c>
      <c r="J178" s="160">
        <f t="shared" si="7"/>
        <v>62.5</v>
      </c>
      <c r="K178" s="160">
        <f t="shared" si="8"/>
        <v>1312.5</v>
      </c>
      <c r="L178" s="13" t="s">
        <v>78</v>
      </c>
      <c r="P178">
        <v>1</v>
      </c>
    </row>
    <row r="179" spans="2:16" ht="17.25" customHeight="1" x14ac:dyDescent="0.25">
      <c r="B179" s="9" t="s">
        <v>482</v>
      </c>
      <c r="C179" s="10" t="s">
        <v>480</v>
      </c>
      <c r="D179" s="89">
        <v>45374</v>
      </c>
      <c r="E179" s="70" t="s">
        <v>82</v>
      </c>
      <c r="F179" s="9" t="s">
        <v>483</v>
      </c>
      <c r="G179" s="164">
        <v>1275</v>
      </c>
      <c r="H179" s="159"/>
      <c r="I179" s="160">
        <f t="shared" si="6"/>
        <v>1275</v>
      </c>
      <c r="J179" s="160">
        <f t="shared" si="7"/>
        <v>63.75</v>
      </c>
      <c r="K179" s="160">
        <f t="shared" si="8"/>
        <v>1338.75</v>
      </c>
      <c r="L179" s="13" t="s">
        <v>9</v>
      </c>
      <c r="P179">
        <v>1</v>
      </c>
    </row>
    <row r="180" spans="2:16" ht="17.25" customHeight="1" x14ac:dyDescent="0.25">
      <c r="B180" s="9" t="s">
        <v>29</v>
      </c>
      <c r="C180" s="10" t="s">
        <v>481</v>
      </c>
      <c r="D180" s="89">
        <v>45377</v>
      </c>
      <c r="E180" s="70" t="s">
        <v>82</v>
      </c>
      <c r="F180" s="9" t="s">
        <v>496</v>
      </c>
      <c r="G180" s="164">
        <v>185</v>
      </c>
      <c r="H180" s="159"/>
      <c r="I180" s="160">
        <f t="shared" si="6"/>
        <v>185</v>
      </c>
      <c r="J180" s="160">
        <f t="shared" si="7"/>
        <v>9.25</v>
      </c>
      <c r="K180" s="160">
        <f t="shared" si="8"/>
        <v>194.25</v>
      </c>
      <c r="L180" s="13" t="s">
        <v>9</v>
      </c>
      <c r="P180">
        <v>1</v>
      </c>
    </row>
    <row r="181" spans="2:16" ht="17.25" customHeight="1" x14ac:dyDescent="0.25">
      <c r="B181" s="9" t="s">
        <v>10</v>
      </c>
      <c r="C181" s="10" t="s">
        <v>500</v>
      </c>
      <c r="D181" s="89">
        <v>45378</v>
      </c>
      <c r="E181" s="70" t="s">
        <v>82</v>
      </c>
      <c r="F181" s="9" t="s">
        <v>508</v>
      </c>
      <c r="G181" s="159">
        <v>145</v>
      </c>
      <c r="H181" s="159"/>
      <c r="I181" s="160">
        <f t="shared" si="6"/>
        <v>145</v>
      </c>
      <c r="J181" s="160">
        <f t="shared" si="7"/>
        <v>7.25</v>
      </c>
      <c r="K181" s="160">
        <f t="shared" si="8"/>
        <v>152.25</v>
      </c>
      <c r="L181" s="13" t="s">
        <v>9</v>
      </c>
      <c r="P181">
        <v>1</v>
      </c>
    </row>
    <row r="182" spans="2:16" ht="17.25" customHeight="1" x14ac:dyDescent="0.25">
      <c r="B182" s="9" t="s">
        <v>10</v>
      </c>
      <c r="C182" s="10" t="s">
        <v>501</v>
      </c>
      <c r="D182" s="89">
        <v>45378</v>
      </c>
      <c r="E182" s="70" t="s">
        <v>82</v>
      </c>
      <c r="F182" s="9" t="s">
        <v>509</v>
      </c>
      <c r="G182" s="159">
        <v>450</v>
      </c>
      <c r="H182" s="159"/>
      <c r="I182" s="160">
        <f t="shared" si="6"/>
        <v>450</v>
      </c>
      <c r="J182" s="160">
        <f t="shared" si="7"/>
        <v>22.5</v>
      </c>
      <c r="K182" s="160">
        <f t="shared" si="8"/>
        <v>472.5</v>
      </c>
      <c r="L182" s="13" t="s">
        <v>9</v>
      </c>
      <c r="P182">
        <v>1</v>
      </c>
    </row>
    <row r="183" spans="2:16" ht="17.25" customHeight="1" x14ac:dyDescent="0.25">
      <c r="B183" s="9" t="s">
        <v>10</v>
      </c>
      <c r="C183" s="10" t="s">
        <v>502</v>
      </c>
      <c r="D183" s="89">
        <v>45378</v>
      </c>
      <c r="E183" s="70" t="s">
        <v>82</v>
      </c>
      <c r="F183" s="9" t="s">
        <v>510</v>
      </c>
      <c r="G183" s="159">
        <f>210*3</f>
        <v>630</v>
      </c>
      <c r="H183" s="159"/>
      <c r="I183" s="160">
        <f t="shared" si="6"/>
        <v>630</v>
      </c>
      <c r="J183" s="160">
        <f t="shared" si="7"/>
        <v>31.5</v>
      </c>
      <c r="K183" s="160">
        <f t="shared" si="8"/>
        <v>661.5</v>
      </c>
      <c r="L183" s="13" t="s">
        <v>9</v>
      </c>
      <c r="P183">
        <v>1</v>
      </c>
    </row>
    <row r="184" spans="2:16" ht="17.25" customHeight="1" x14ac:dyDescent="0.25">
      <c r="B184" s="9" t="s">
        <v>512</v>
      </c>
      <c r="C184" s="10" t="s">
        <v>503</v>
      </c>
      <c r="D184" s="89">
        <v>45377</v>
      </c>
      <c r="E184" s="70" t="s">
        <v>82</v>
      </c>
      <c r="F184" s="9" t="s">
        <v>511</v>
      </c>
      <c r="G184" s="159">
        <v>435</v>
      </c>
      <c r="H184" s="159"/>
      <c r="I184" s="160">
        <f t="shared" si="6"/>
        <v>435</v>
      </c>
      <c r="J184" s="160">
        <f t="shared" si="7"/>
        <v>21.75</v>
      </c>
      <c r="K184" s="160">
        <f t="shared" si="8"/>
        <v>456.75</v>
      </c>
      <c r="L184" s="13" t="s">
        <v>9</v>
      </c>
      <c r="P184">
        <v>1</v>
      </c>
    </row>
    <row r="185" spans="2:16" ht="17.25" customHeight="1" x14ac:dyDescent="0.25">
      <c r="B185" s="9" t="s">
        <v>114</v>
      </c>
      <c r="C185" s="10" t="s">
        <v>504</v>
      </c>
      <c r="D185" s="89">
        <v>45378</v>
      </c>
      <c r="E185" s="70" t="s">
        <v>82</v>
      </c>
      <c r="F185" s="9" t="s">
        <v>514</v>
      </c>
      <c r="G185" s="159">
        <f>1190+425</f>
        <v>1615</v>
      </c>
      <c r="H185" s="159"/>
      <c r="I185" s="160">
        <f t="shared" si="6"/>
        <v>1615</v>
      </c>
      <c r="J185" s="160">
        <f t="shared" si="7"/>
        <v>80.75</v>
      </c>
      <c r="K185" s="160">
        <f t="shared" si="8"/>
        <v>1695.75</v>
      </c>
      <c r="L185" s="13" t="s">
        <v>9</v>
      </c>
      <c r="P185">
        <v>1</v>
      </c>
    </row>
    <row r="186" spans="2:16" ht="17.25" customHeight="1" x14ac:dyDescent="0.25">
      <c r="B186" s="9" t="s">
        <v>515</v>
      </c>
      <c r="C186" s="10" t="s">
        <v>505</v>
      </c>
      <c r="D186" s="89">
        <v>45378</v>
      </c>
      <c r="E186" s="70" t="s">
        <v>82</v>
      </c>
      <c r="F186" s="9" t="s">
        <v>516</v>
      </c>
      <c r="G186" s="159">
        <f>3950+2970</f>
        <v>6920</v>
      </c>
      <c r="H186" s="159"/>
      <c r="I186" s="160">
        <f t="shared" si="6"/>
        <v>6920</v>
      </c>
      <c r="J186" s="160">
        <f t="shared" si="7"/>
        <v>346</v>
      </c>
      <c r="K186" s="160">
        <f t="shared" si="8"/>
        <v>7266</v>
      </c>
      <c r="L186" s="13" t="s">
        <v>78</v>
      </c>
      <c r="P186">
        <v>1</v>
      </c>
    </row>
    <row r="187" spans="2:16" ht="17.25" customHeight="1" x14ac:dyDescent="0.25">
      <c r="B187" s="9" t="s">
        <v>81</v>
      </c>
      <c r="C187" s="10" t="s">
        <v>506</v>
      </c>
      <c r="D187" s="89">
        <v>45379</v>
      </c>
      <c r="E187" s="70" t="s">
        <v>82</v>
      </c>
      <c r="F187" s="9" t="s">
        <v>517</v>
      </c>
      <c r="G187" s="159">
        <v>350</v>
      </c>
      <c r="H187" s="159"/>
      <c r="I187" s="160">
        <f t="shared" si="6"/>
        <v>350</v>
      </c>
      <c r="J187" s="160">
        <f t="shared" si="7"/>
        <v>17.5</v>
      </c>
      <c r="K187" s="160">
        <f t="shared" si="8"/>
        <v>367.5</v>
      </c>
      <c r="L187" s="13" t="s">
        <v>78</v>
      </c>
      <c r="P187">
        <v>1</v>
      </c>
    </row>
    <row r="188" spans="2:16" ht="17.25" customHeight="1" x14ac:dyDescent="0.25">
      <c r="B188" s="9" t="s">
        <v>513</v>
      </c>
      <c r="C188" s="10" t="s">
        <v>507</v>
      </c>
      <c r="D188" s="89">
        <v>45379</v>
      </c>
      <c r="E188" s="70" t="s">
        <v>82</v>
      </c>
      <c r="F188" s="9" t="s">
        <v>518</v>
      </c>
      <c r="G188" s="159">
        <f>1440</f>
        <v>1440</v>
      </c>
      <c r="H188" s="159"/>
      <c r="I188" s="160">
        <f t="shared" si="6"/>
        <v>1440</v>
      </c>
      <c r="J188" s="160">
        <f t="shared" si="7"/>
        <v>72</v>
      </c>
      <c r="K188" s="160">
        <f t="shared" si="8"/>
        <v>1512</v>
      </c>
      <c r="L188" s="13" t="s">
        <v>78</v>
      </c>
      <c r="P188">
        <v>1</v>
      </c>
    </row>
    <row r="189" spans="2:16" ht="17.25" customHeight="1" x14ac:dyDescent="0.25">
      <c r="B189" s="9" t="s">
        <v>81</v>
      </c>
      <c r="C189" s="10" t="s">
        <v>519</v>
      </c>
      <c r="D189" s="89">
        <v>45379</v>
      </c>
      <c r="E189" s="70" t="s">
        <v>82</v>
      </c>
      <c r="F189" s="9" t="s">
        <v>523</v>
      </c>
      <c r="G189" s="159">
        <f>1100+6775</f>
        <v>7875</v>
      </c>
      <c r="H189" s="159"/>
      <c r="I189" s="160">
        <f t="shared" si="6"/>
        <v>7875</v>
      </c>
      <c r="J189" s="160">
        <f t="shared" si="7"/>
        <v>393.75</v>
      </c>
      <c r="K189" s="160">
        <f t="shared" si="8"/>
        <v>8268.75</v>
      </c>
      <c r="L189" s="13" t="s">
        <v>78</v>
      </c>
      <c r="P189">
        <v>1</v>
      </c>
    </row>
    <row r="190" spans="2:16" ht="17.25" customHeight="1" x14ac:dyDescent="0.25">
      <c r="B190" s="9" t="s">
        <v>524</v>
      </c>
      <c r="C190" s="10" t="s">
        <v>520</v>
      </c>
      <c r="D190" s="89">
        <v>45381</v>
      </c>
      <c r="E190" s="70"/>
      <c r="F190" s="9" t="s">
        <v>525</v>
      </c>
      <c r="G190" s="159">
        <v>2300</v>
      </c>
      <c r="H190" s="159"/>
      <c r="I190" s="160">
        <f t="shared" si="6"/>
        <v>2300</v>
      </c>
      <c r="J190" s="160">
        <f t="shared" si="7"/>
        <v>115</v>
      </c>
      <c r="K190" s="160">
        <f t="shared" si="8"/>
        <v>2415</v>
      </c>
      <c r="L190" s="13" t="s">
        <v>9</v>
      </c>
      <c r="P190">
        <v>1</v>
      </c>
    </row>
    <row r="191" spans="2:16" ht="17.25" customHeight="1" x14ac:dyDescent="0.25">
      <c r="B191" s="9" t="s">
        <v>43</v>
      </c>
      <c r="C191" s="10" t="s">
        <v>521</v>
      </c>
      <c r="D191" s="89">
        <v>45381</v>
      </c>
      <c r="E191" s="70"/>
      <c r="F191" s="9" t="s">
        <v>526</v>
      </c>
      <c r="G191" s="159">
        <v>792.5</v>
      </c>
      <c r="H191" s="159"/>
      <c r="I191" s="160">
        <f t="shared" si="6"/>
        <v>792.5</v>
      </c>
      <c r="J191" s="160">
        <f t="shared" si="7"/>
        <v>39.625</v>
      </c>
      <c r="K191" s="160">
        <f t="shared" si="8"/>
        <v>832.125</v>
      </c>
      <c r="L191" s="13" t="s">
        <v>9</v>
      </c>
      <c r="P191">
        <v>1</v>
      </c>
    </row>
    <row r="192" spans="2:16" ht="17.25" customHeight="1" x14ac:dyDescent="0.25">
      <c r="B192" s="9" t="s">
        <v>10</v>
      </c>
      <c r="C192" s="10" t="s">
        <v>522</v>
      </c>
      <c r="D192" s="89">
        <v>45381</v>
      </c>
      <c r="E192" s="70"/>
      <c r="F192" s="9" t="s">
        <v>527</v>
      </c>
      <c r="G192" s="159">
        <f>1575</f>
        <v>1575</v>
      </c>
      <c r="H192" s="159"/>
      <c r="I192" s="160">
        <f t="shared" si="6"/>
        <v>1575</v>
      </c>
      <c r="J192" s="160">
        <f t="shared" si="7"/>
        <v>78.75</v>
      </c>
      <c r="K192" s="160">
        <f t="shared" si="8"/>
        <v>1653.75</v>
      </c>
      <c r="L192" s="13" t="s">
        <v>9</v>
      </c>
      <c r="P192">
        <v>1</v>
      </c>
    </row>
    <row r="193" spans="2:16" ht="17.25" customHeight="1" x14ac:dyDescent="0.25">
      <c r="B193" s="9" t="s">
        <v>102</v>
      </c>
      <c r="C193" s="10" t="s">
        <v>528</v>
      </c>
      <c r="D193" s="89">
        <v>45381</v>
      </c>
      <c r="E193" s="70"/>
      <c r="F193" s="9" t="s">
        <v>532</v>
      </c>
      <c r="G193" s="159">
        <f>585</f>
        <v>585</v>
      </c>
      <c r="H193" s="159"/>
      <c r="I193" s="160">
        <f t="shared" si="6"/>
        <v>585</v>
      </c>
      <c r="J193" s="160">
        <f t="shared" si="7"/>
        <v>29.25</v>
      </c>
      <c r="K193" s="160">
        <f t="shared" si="8"/>
        <v>614.25</v>
      </c>
      <c r="L193" s="13" t="s">
        <v>9</v>
      </c>
      <c r="P193">
        <v>1</v>
      </c>
    </row>
    <row r="194" spans="2:16" ht="17.25" customHeight="1" x14ac:dyDescent="0.25">
      <c r="B194" s="9" t="s">
        <v>236</v>
      </c>
      <c r="C194" s="10" t="s">
        <v>529</v>
      </c>
      <c r="D194" s="89">
        <v>45381</v>
      </c>
      <c r="E194" s="70"/>
      <c r="F194" s="9" t="s">
        <v>533</v>
      </c>
      <c r="G194" s="159">
        <v>60</v>
      </c>
      <c r="H194" s="159"/>
      <c r="I194" s="160">
        <f t="shared" si="6"/>
        <v>60</v>
      </c>
      <c r="J194" s="160">
        <f t="shared" si="7"/>
        <v>3</v>
      </c>
      <c r="K194" s="160">
        <f t="shared" si="8"/>
        <v>63</v>
      </c>
      <c r="L194" s="13" t="s">
        <v>9</v>
      </c>
      <c r="P194">
        <v>1</v>
      </c>
    </row>
    <row r="195" spans="2:16" ht="17.25" customHeight="1" x14ac:dyDescent="0.25">
      <c r="B195" s="9" t="s">
        <v>236</v>
      </c>
      <c r="C195" s="10" t="s">
        <v>530</v>
      </c>
      <c r="D195" s="89">
        <v>45381</v>
      </c>
      <c r="E195" s="70"/>
      <c r="F195" s="9" t="s">
        <v>534</v>
      </c>
      <c r="G195" s="159">
        <v>90</v>
      </c>
      <c r="H195" s="159"/>
      <c r="I195" s="160">
        <f t="shared" ref="I195:I333" si="9">G195-H195</f>
        <v>90</v>
      </c>
      <c r="J195" s="160">
        <f t="shared" ref="J195:J333" si="10">G195*5%</f>
        <v>4.5</v>
      </c>
      <c r="K195" s="160">
        <f t="shared" ref="K195:K333" si="11">G195+J195</f>
        <v>94.5</v>
      </c>
      <c r="L195" s="13" t="s">
        <v>9</v>
      </c>
      <c r="P195">
        <v>1</v>
      </c>
    </row>
    <row r="196" spans="2:16" ht="17.25" customHeight="1" x14ac:dyDescent="0.25">
      <c r="B196" s="9" t="s">
        <v>535</v>
      </c>
      <c r="C196" s="10" t="s">
        <v>531</v>
      </c>
      <c r="D196" s="89">
        <v>45381</v>
      </c>
      <c r="E196" s="71" t="s">
        <v>561</v>
      </c>
      <c r="F196" s="9" t="s">
        <v>536</v>
      </c>
      <c r="G196" s="159">
        <v>2358.75</v>
      </c>
      <c r="H196" s="159"/>
      <c r="I196" s="160">
        <f t="shared" si="9"/>
        <v>2358.75</v>
      </c>
      <c r="J196" s="160">
        <f t="shared" si="10"/>
        <v>117.9375</v>
      </c>
      <c r="K196" s="160">
        <f t="shared" si="11"/>
        <v>2476.6875</v>
      </c>
      <c r="L196" s="13" t="s">
        <v>78</v>
      </c>
      <c r="P196">
        <v>1</v>
      </c>
    </row>
    <row r="197" spans="2:16" ht="17.25" customHeight="1" x14ac:dyDescent="0.25">
      <c r="B197" s="9" t="s">
        <v>330</v>
      </c>
      <c r="C197" s="10" t="s">
        <v>541</v>
      </c>
      <c r="D197" s="89">
        <v>45384</v>
      </c>
      <c r="E197" s="71" t="s">
        <v>553</v>
      </c>
      <c r="F197" s="9" t="s">
        <v>554</v>
      </c>
      <c r="G197" s="160">
        <v>1750.5</v>
      </c>
      <c r="H197" s="160"/>
      <c r="I197" s="160">
        <f t="shared" si="9"/>
        <v>1750.5</v>
      </c>
      <c r="J197" s="160">
        <f t="shared" si="10"/>
        <v>87.525000000000006</v>
      </c>
      <c r="K197" s="160">
        <f t="shared" si="11"/>
        <v>1838.0250000000001</v>
      </c>
      <c r="L197" s="13" t="s">
        <v>78</v>
      </c>
      <c r="P197">
        <v>1</v>
      </c>
    </row>
    <row r="198" spans="2:16" ht="17.25" customHeight="1" x14ac:dyDescent="0.25">
      <c r="B198" s="9" t="s">
        <v>10</v>
      </c>
      <c r="C198" s="10" t="s">
        <v>542</v>
      </c>
      <c r="D198" s="89">
        <v>45385</v>
      </c>
      <c r="E198" s="71" t="s">
        <v>16</v>
      </c>
      <c r="F198" s="9" t="s">
        <v>555</v>
      </c>
      <c r="G198" s="160">
        <v>1506</v>
      </c>
      <c r="H198" s="160"/>
      <c r="I198" s="160">
        <f t="shared" si="9"/>
        <v>1506</v>
      </c>
      <c r="J198" s="160">
        <f t="shared" si="10"/>
        <v>75.3</v>
      </c>
      <c r="K198" s="160">
        <f t="shared" si="11"/>
        <v>1581.3</v>
      </c>
      <c r="L198" s="13" t="s">
        <v>9</v>
      </c>
      <c r="P198">
        <v>1</v>
      </c>
    </row>
    <row r="199" spans="2:16" ht="17.25" customHeight="1" x14ac:dyDescent="0.25">
      <c r="B199" s="9" t="s">
        <v>184</v>
      </c>
      <c r="C199" s="10" t="s">
        <v>543</v>
      </c>
      <c r="D199" s="89">
        <v>45386</v>
      </c>
      <c r="E199" s="71" t="s">
        <v>185</v>
      </c>
      <c r="F199" s="9" t="s">
        <v>556</v>
      </c>
      <c r="G199" s="160">
        <v>1050</v>
      </c>
      <c r="H199" s="160"/>
      <c r="I199" s="160">
        <f t="shared" si="9"/>
        <v>1050</v>
      </c>
      <c r="J199" s="160">
        <f t="shared" si="10"/>
        <v>52.5</v>
      </c>
      <c r="K199" s="160">
        <f t="shared" si="11"/>
        <v>1102.5</v>
      </c>
      <c r="L199" s="13" t="s">
        <v>9</v>
      </c>
      <c r="P199">
        <v>1</v>
      </c>
    </row>
    <row r="200" spans="2:16" ht="17.25" customHeight="1" x14ac:dyDescent="0.25">
      <c r="B200" s="9" t="s">
        <v>10</v>
      </c>
      <c r="C200" s="10" t="s">
        <v>544</v>
      </c>
      <c r="D200" s="89">
        <v>45385</v>
      </c>
      <c r="E200" s="71" t="s">
        <v>16</v>
      </c>
      <c r="F200" s="9" t="s">
        <v>557</v>
      </c>
      <c r="G200" s="160">
        <v>235</v>
      </c>
      <c r="H200" s="160"/>
      <c r="I200" s="160">
        <f t="shared" si="9"/>
        <v>235</v>
      </c>
      <c r="J200" s="160">
        <f t="shared" si="10"/>
        <v>11.75</v>
      </c>
      <c r="K200" s="160">
        <f t="shared" si="11"/>
        <v>246.75</v>
      </c>
      <c r="L200" s="13" t="s">
        <v>9</v>
      </c>
      <c r="P200">
        <v>1</v>
      </c>
    </row>
    <row r="201" spans="2:16" ht="17.25" customHeight="1" x14ac:dyDescent="0.25">
      <c r="B201" s="9" t="s">
        <v>558</v>
      </c>
      <c r="C201" s="10" t="s">
        <v>545</v>
      </c>
      <c r="D201" s="89">
        <v>45387</v>
      </c>
      <c r="E201" s="71" t="s">
        <v>559</v>
      </c>
      <c r="F201" s="9" t="s">
        <v>560</v>
      </c>
      <c r="G201" s="160">
        <v>1167</v>
      </c>
      <c r="H201" s="160"/>
      <c r="I201" s="160">
        <f t="shared" si="9"/>
        <v>1167</v>
      </c>
      <c r="J201" s="160">
        <f t="shared" si="10"/>
        <v>58.35</v>
      </c>
      <c r="K201" s="160">
        <f t="shared" si="11"/>
        <v>1225.3499999999999</v>
      </c>
      <c r="L201" s="13" t="s">
        <v>78</v>
      </c>
      <c r="P201">
        <v>1</v>
      </c>
    </row>
    <row r="202" spans="2:16" ht="17.25" customHeight="1" x14ac:dyDescent="0.25">
      <c r="B202" s="9" t="s">
        <v>535</v>
      </c>
      <c r="C202" s="10" t="s">
        <v>546</v>
      </c>
      <c r="D202" s="89">
        <v>45381</v>
      </c>
      <c r="E202" s="71" t="s">
        <v>561</v>
      </c>
      <c r="F202" s="9" t="s">
        <v>536</v>
      </c>
      <c r="G202" s="160">
        <v>5827.5</v>
      </c>
      <c r="H202" s="160"/>
      <c r="I202" s="160">
        <f t="shared" si="9"/>
        <v>5827.5</v>
      </c>
      <c r="J202" s="160">
        <f t="shared" si="10"/>
        <v>291.375</v>
      </c>
      <c r="K202" s="160">
        <f t="shared" si="11"/>
        <v>6118.875</v>
      </c>
      <c r="L202" s="13" t="s">
        <v>78</v>
      </c>
      <c r="P202">
        <v>1</v>
      </c>
    </row>
    <row r="203" spans="2:16" ht="17.25" customHeight="1" x14ac:dyDescent="0.25">
      <c r="B203" s="9" t="s">
        <v>535</v>
      </c>
      <c r="C203" s="10" t="s">
        <v>547</v>
      </c>
      <c r="D203" s="89">
        <v>45381</v>
      </c>
      <c r="E203" s="71" t="s">
        <v>561</v>
      </c>
      <c r="F203" s="9" t="s">
        <v>536</v>
      </c>
      <c r="G203" s="160">
        <v>4440</v>
      </c>
      <c r="H203" s="160"/>
      <c r="I203" s="160">
        <f t="shared" si="9"/>
        <v>4440</v>
      </c>
      <c r="J203" s="160">
        <f t="shared" si="10"/>
        <v>222</v>
      </c>
      <c r="K203" s="160">
        <f t="shared" si="11"/>
        <v>4662</v>
      </c>
      <c r="L203" s="13" t="s">
        <v>78</v>
      </c>
      <c r="P203">
        <v>1</v>
      </c>
    </row>
    <row r="204" spans="2:16" ht="17.25" customHeight="1" x14ac:dyDescent="0.25">
      <c r="B204" s="9" t="s">
        <v>535</v>
      </c>
      <c r="C204" s="10" t="s">
        <v>548</v>
      </c>
      <c r="D204" s="89">
        <v>45381</v>
      </c>
      <c r="E204" s="71" t="s">
        <v>561</v>
      </c>
      <c r="F204" s="9" t="s">
        <v>536</v>
      </c>
      <c r="G204" s="160">
        <v>8463.75</v>
      </c>
      <c r="H204" s="160"/>
      <c r="I204" s="160">
        <f t="shared" si="9"/>
        <v>8463.75</v>
      </c>
      <c r="J204" s="160">
        <f t="shared" si="10"/>
        <v>423.1875</v>
      </c>
      <c r="K204" s="160">
        <f t="shared" si="11"/>
        <v>8886.9375</v>
      </c>
      <c r="L204" s="13" t="s">
        <v>78</v>
      </c>
      <c r="P204">
        <v>1</v>
      </c>
    </row>
    <row r="205" spans="2:16" ht="17.25" customHeight="1" x14ac:dyDescent="0.25">
      <c r="B205" s="9" t="s">
        <v>535</v>
      </c>
      <c r="C205" s="10" t="s">
        <v>549</v>
      </c>
      <c r="D205" s="89">
        <v>45381</v>
      </c>
      <c r="E205" s="70" t="s">
        <v>74</v>
      </c>
      <c r="F205" s="9" t="s">
        <v>536</v>
      </c>
      <c r="G205" s="160">
        <v>693.81</v>
      </c>
      <c r="H205" s="160"/>
      <c r="I205" s="160">
        <f t="shared" si="9"/>
        <v>693.81</v>
      </c>
      <c r="J205" s="160">
        <f t="shared" si="10"/>
        <v>34.6905</v>
      </c>
      <c r="K205" s="160">
        <f t="shared" si="11"/>
        <v>728.50049999999999</v>
      </c>
      <c r="L205" s="13" t="s">
        <v>78</v>
      </c>
      <c r="P205">
        <v>1</v>
      </c>
    </row>
    <row r="206" spans="2:16" ht="17.25" customHeight="1" x14ac:dyDescent="0.25">
      <c r="B206" s="9" t="s">
        <v>535</v>
      </c>
      <c r="C206" s="10" t="s">
        <v>550</v>
      </c>
      <c r="D206" s="89">
        <v>45381</v>
      </c>
      <c r="E206" s="71" t="s">
        <v>565</v>
      </c>
      <c r="F206" s="9" t="s">
        <v>536</v>
      </c>
      <c r="G206" s="160">
        <v>2497.7199999999998</v>
      </c>
      <c r="H206" s="160"/>
      <c r="I206" s="160">
        <f t="shared" si="9"/>
        <v>2497.7199999999998</v>
      </c>
      <c r="J206" s="160">
        <f t="shared" si="10"/>
        <v>124.886</v>
      </c>
      <c r="K206" s="160">
        <f t="shared" si="11"/>
        <v>2622.6059999999998</v>
      </c>
      <c r="L206" s="13" t="s">
        <v>78</v>
      </c>
      <c r="P206">
        <v>1</v>
      </c>
    </row>
    <row r="207" spans="2:16" ht="17.25" customHeight="1" x14ac:dyDescent="0.25">
      <c r="B207" s="9" t="s">
        <v>535</v>
      </c>
      <c r="C207" s="10" t="s">
        <v>551</v>
      </c>
      <c r="D207" s="89">
        <v>45381</v>
      </c>
      <c r="E207" s="70" t="s">
        <v>74</v>
      </c>
      <c r="F207" s="9" t="s">
        <v>536</v>
      </c>
      <c r="G207" s="160">
        <v>6799.34</v>
      </c>
      <c r="H207" s="160"/>
      <c r="I207" s="160">
        <f t="shared" si="9"/>
        <v>6799.34</v>
      </c>
      <c r="J207" s="160">
        <f t="shared" si="10"/>
        <v>339.96700000000004</v>
      </c>
      <c r="K207" s="160">
        <f t="shared" si="11"/>
        <v>7139.3069999999998</v>
      </c>
      <c r="L207" s="13" t="s">
        <v>78</v>
      </c>
      <c r="P207">
        <v>1</v>
      </c>
    </row>
    <row r="208" spans="2:16" ht="17.25" customHeight="1" x14ac:dyDescent="0.25">
      <c r="B208" s="9" t="s">
        <v>566</v>
      </c>
      <c r="C208" s="10" t="s">
        <v>567</v>
      </c>
      <c r="D208" s="89">
        <v>45404</v>
      </c>
      <c r="E208" s="71" t="s">
        <v>571</v>
      </c>
      <c r="F208" s="9" t="s">
        <v>626</v>
      </c>
      <c r="G208" s="160">
        <v>11000</v>
      </c>
      <c r="H208" s="160"/>
      <c r="I208" s="160">
        <f t="shared" si="9"/>
        <v>11000</v>
      </c>
      <c r="J208" s="160">
        <f t="shared" si="10"/>
        <v>550</v>
      </c>
      <c r="K208" s="160">
        <f t="shared" si="11"/>
        <v>11550</v>
      </c>
      <c r="L208" s="13" t="s">
        <v>78</v>
      </c>
      <c r="P208">
        <v>1</v>
      </c>
    </row>
    <row r="209" spans="2:16" ht="17.25" customHeight="1" x14ac:dyDescent="0.25">
      <c r="B209" s="9" t="s">
        <v>572</v>
      </c>
      <c r="C209" s="10" t="s">
        <v>568</v>
      </c>
      <c r="D209" s="89">
        <v>45397</v>
      </c>
      <c r="E209" s="71" t="s">
        <v>573</v>
      </c>
      <c r="F209" s="9" t="s">
        <v>574</v>
      </c>
      <c r="G209" s="160">
        <v>285.5</v>
      </c>
      <c r="H209" s="160"/>
      <c r="I209" s="160">
        <f t="shared" si="9"/>
        <v>285.5</v>
      </c>
      <c r="J209" s="160">
        <f t="shared" si="10"/>
        <v>14.275</v>
      </c>
      <c r="K209" s="160">
        <f t="shared" si="11"/>
        <v>299.77499999999998</v>
      </c>
      <c r="L209" s="13" t="s">
        <v>9</v>
      </c>
      <c r="P209">
        <v>1</v>
      </c>
    </row>
    <row r="210" spans="2:16" ht="17.25" customHeight="1" x14ac:dyDescent="0.25">
      <c r="B210" s="9" t="s">
        <v>10</v>
      </c>
      <c r="C210" s="10" t="s">
        <v>569</v>
      </c>
      <c r="D210" s="89">
        <v>45388</v>
      </c>
      <c r="E210" s="71" t="s">
        <v>16</v>
      </c>
      <c r="F210" s="9" t="s">
        <v>575</v>
      </c>
      <c r="G210" s="160">
        <v>175</v>
      </c>
      <c r="H210" s="160"/>
      <c r="I210" s="160">
        <f t="shared" si="9"/>
        <v>175</v>
      </c>
      <c r="J210" s="160">
        <f t="shared" si="10"/>
        <v>8.75</v>
      </c>
      <c r="K210" s="160">
        <f t="shared" si="11"/>
        <v>183.75</v>
      </c>
      <c r="L210" s="13" t="s">
        <v>9</v>
      </c>
      <c r="P210">
        <v>1</v>
      </c>
    </row>
    <row r="211" spans="2:16" ht="17.25" customHeight="1" x14ac:dyDescent="0.25">
      <c r="B211" s="9" t="s">
        <v>576</v>
      </c>
      <c r="C211" s="10" t="s">
        <v>570</v>
      </c>
      <c r="D211" s="89">
        <v>45401</v>
      </c>
      <c r="E211" s="71" t="s">
        <v>577</v>
      </c>
      <c r="F211" s="9" t="s">
        <v>578</v>
      </c>
      <c r="G211" s="160">
        <v>27360</v>
      </c>
      <c r="H211" s="160"/>
      <c r="I211" s="160">
        <f t="shared" si="9"/>
        <v>27360</v>
      </c>
      <c r="J211" s="160">
        <f t="shared" si="10"/>
        <v>1368</v>
      </c>
      <c r="K211" s="160">
        <f t="shared" si="11"/>
        <v>28728</v>
      </c>
      <c r="L211" s="13" t="s">
        <v>78</v>
      </c>
      <c r="P211">
        <v>1</v>
      </c>
    </row>
    <row r="212" spans="2:16" ht="17.25" customHeight="1" x14ac:dyDescent="0.25">
      <c r="B212" s="9" t="s">
        <v>199</v>
      </c>
      <c r="C212" s="10" t="s">
        <v>579</v>
      </c>
      <c r="D212" s="89">
        <v>45398</v>
      </c>
      <c r="E212" s="71" t="s">
        <v>201</v>
      </c>
      <c r="F212" s="9" t="s">
        <v>588</v>
      </c>
      <c r="G212" s="160">
        <v>375</v>
      </c>
      <c r="H212" s="160"/>
      <c r="I212" s="160">
        <f t="shared" si="9"/>
        <v>375</v>
      </c>
      <c r="J212" s="160">
        <f t="shared" si="10"/>
        <v>18.75</v>
      </c>
      <c r="K212" s="160">
        <f t="shared" si="11"/>
        <v>393.75</v>
      </c>
      <c r="L212" s="13" t="s">
        <v>78</v>
      </c>
      <c r="P212">
        <v>1</v>
      </c>
    </row>
    <row r="213" spans="2:16" ht="17.25" customHeight="1" x14ac:dyDescent="0.25">
      <c r="B213" s="9" t="s">
        <v>886</v>
      </c>
      <c r="C213" s="10" t="s">
        <v>580</v>
      </c>
      <c r="D213" s="89">
        <v>45404</v>
      </c>
      <c r="E213" s="71" t="s">
        <v>887</v>
      </c>
      <c r="F213" s="9" t="s">
        <v>590</v>
      </c>
      <c r="G213" s="160">
        <v>1205</v>
      </c>
      <c r="H213" s="160"/>
      <c r="I213" s="160">
        <f t="shared" si="9"/>
        <v>1205</v>
      </c>
      <c r="J213" s="160">
        <f t="shared" si="10"/>
        <v>60.25</v>
      </c>
      <c r="K213" s="160">
        <f t="shared" si="11"/>
        <v>1265.25</v>
      </c>
      <c r="L213" s="13" t="s">
        <v>78</v>
      </c>
      <c r="P213">
        <v>1</v>
      </c>
    </row>
    <row r="214" spans="2:16" ht="17.25" customHeight="1" x14ac:dyDescent="0.25">
      <c r="B214" s="9" t="s">
        <v>591</v>
      </c>
      <c r="C214" s="10" t="s">
        <v>581</v>
      </c>
      <c r="D214" s="89">
        <v>45400</v>
      </c>
      <c r="E214" s="71" t="s">
        <v>592</v>
      </c>
      <c r="F214" s="9" t="s">
        <v>593</v>
      </c>
      <c r="G214" s="160">
        <v>380</v>
      </c>
      <c r="H214" s="160"/>
      <c r="I214" s="160">
        <f t="shared" si="9"/>
        <v>380</v>
      </c>
      <c r="J214" s="160">
        <f t="shared" si="10"/>
        <v>19</v>
      </c>
      <c r="K214" s="160">
        <f t="shared" si="11"/>
        <v>399</v>
      </c>
      <c r="L214" s="13" t="s">
        <v>78</v>
      </c>
      <c r="P214">
        <v>1</v>
      </c>
    </row>
    <row r="215" spans="2:16" ht="17.25" customHeight="1" x14ac:dyDescent="0.25">
      <c r="B215" s="9" t="s">
        <v>119</v>
      </c>
      <c r="C215" s="10" t="s">
        <v>582</v>
      </c>
      <c r="D215" s="89">
        <v>45400</v>
      </c>
      <c r="E215" s="70" t="s">
        <v>74</v>
      </c>
      <c r="F215" s="9" t="s">
        <v>532</v>
      </c>
      <c r="G215" s="160">
        <v>325</v>
      </c>
      <c r="H215" s="160"/>
      <c r="I215" s="160">
        <f t="shared" si="9"/>
        <v>325</v>
      </c>
      <c r="J215" s="160">
        <f t="shared" si="10"/>
        <v>16.25</v>
      </c>
      <c r="K215" s="160">
        <f t="shared" si="11"/>
        <v>341.25</v>
      </c>
      <c r="L215" s="13" t="s">
        <v>78</v>
      </c>
      <c r="P215">
        <v>1</v>
      </c>
    </row>
    <row r="216" spans="2:16" ht="17.25" customHeight="1" x14ac:dyDescent="0.25">
      <c r="B216" s="9" t="s">
        <v>566</v>
      </c>
      <c r="C216" s="10" t="s">
        <v>583</v>
      </c>
      <c r="D216" s="89">
        <v>45404</v>
      </c>
      <c r="E216" s="71" t="s">
        <v>571</v>
      </c>
      <c r="F216" s="9" t="s">
        <v>594</v>
      </c>
      <c r="G216" s="160">
        <v>2100</v>
      </c>
      <c r="H216" s="160"/>
      <c r="I216" s="160">
        <f t="shared" si="9"/>
        <v>2100</v>
      </c>
      <c r="J216" s="160">
        <f t="shared" si="10"/>
        <v>105</v>
      </c>
      <c r="K216" s="160">
        <f t="shared" si="11"/>
        <v>2205</v>
      </c>
      <c r="L216" s="13" t="s">
        <v>78</v>
      </c>
      <c r="P216">
        <v>1</v>
      </c>
    </row>
    <row r="217" spans="2:16" ht="17.25" customHeight="1" x14ac:dyDescent="0.25">
      <c r="B217" s="9" t="s">
        <v>81</v>
      </c>
      <c r="C217" s="10" t="s">
        <v>584</v>
      </c>
      <c r="D217" s="89">
        <v>45397</v>
      </c>
      <c r="E217" s="71" t="s">
        <v>82</v>
      </c>
      <c r="F217" s="9" t="s">
        <v>95</v>
      </c>
      <c r="G217" s="160">
        <v>1100</v>
      </c>
      <c r="H217" s="160"/>
      <c r="I217" s="160">
        <f t="shared" si="9"/>
        <v>1100</v>
      </c>
      <c r="J217" s="160">
        <f t="shared" si="10"/>
        <v>55</v>
      </c>
      <c r="K217" s="160">
        <f t="shared" si="11"/>
        <v>1155</v>
      </c>
      <c r="L217" s="13" t="s">
        <v>78</v>
      </c>
      <c r="P217">
        <v>1</v>
      </c>
    </row>
    <row r="218" spans="2:16" ht="17.25" customHeight="1" x14ac:dyDescent="0.25">
      <c r="B218" s="9" t="s">
        <v>595</v>
      </c>
      <c r="C218" s="10" t="s">
        <v>585</v>
      </c>
      <c r="D218" s="89">
        <v>45400</v>
      </c>
      <c r="E218" s="70" t="s">
        <v>74</v>
      </c>
      <c r="F218" s="9" t="s">
        <v>596</v>
      </c>
      <c r="G218" s="160">
        <v>2850</v>
      </c>
      <c r="H218" s="160"/>
      <c r="I218" s="160">
        <f t="shared" si="9"/>
        <v>2850</v>
      </c>
      <c r="J218" s="160">
        <f t="shared" si="10"/>
        <v>142.5</v>
      </c>
      <c r="K218" s="160">
        <f t="shared" si="11"/>
        <v>2992.5</v>
      </c>
      <c r="L218" s="13" t="s">
        <v>9</v>
      </c>
      <c r="P218">
        <v>1</v>
      </c>
    </row>
    <row r="219" spans="2:16" ht="17.25" customHeight="1" x14ac:dyDescent="0.25">
      <c r="B219" s="9" t="s">
        <v>86</v>
      </c>
      <c r="C219" s="10" t="s">
        <v>586</v>
      </c>
      <c r="D219" s="89">
        <v>45402</v>
      </c>
      <c r="E219" s="71" t="s">
        <v>597</v>
      </c>
      <c r="F219" s="9" t="s">
        <v>598</v>
      </c>
      <c r="G219" s="160">
        <v>825</v>
      </c>
      <c r="H219" s="160"/>
      <c r="I219" s="160">
        <f t="shared" si="9"/>
        <v>825</v>
      </c>
      <c r="J219" s="160">
        <f t="shared" si="10"/>
        <v>41.25</v>
      </c>
      <c r="K219" s="160">
        <f t="shared" si="11"/>
        <v>866.25</v>
      </c>
      <c r="L219" s="13" t="s">
        <v>9</v>
      </c>
      <c r="P219">
        <v>1</v>
      </c>
    </row>
    <row r="220" spans="2:16" ht="17.25" customHeight="1" x14ac:dyDescent="0.25">
      <c r="B220" s="9" t="s">
        <v>10</v>
      </c>
      <c r="C220" s="10" t="s">
        <v>587</v>
      </c>
      <c r="D220" s="89">
        <v>45402</v>
      </c>
      <c r="E220" s="71" t="s">
        <v>16</v>
      </c>
      <c r="F220" s="9" t="s">
        <v>599</v>
      </c>
      <c r="G220" s="160">
        <v>550</v>
      </c>
      <c r="H220" s="160"/>
      <c r="I220" s="160">
        <f t="shared" si="9"/>
        <v>550</v>
      </c>
      <c r="J220" s="160">
        <f t="shared" si="10"/>
        <v>27.5</v>
      </c>
      <c r="K220" s="160">
        <f t="shared" si="11"/>
        <v>577.5</v>
      </c>
      <c r="L220" s="13" t="s">
        <v>9</v>
      </c>
      <c r="P220">
        <v>1</v>
      </c>
    </row>
    <row r="221" spans="2:16" ht="17.25" customHeight="1" x14ac:dyDescent="0.25">
      <c r="B221" s="9" t="s">
        <v>122</v>
      </c>
      <c r="C221" s="10" t="s">
        <v>603</v>
      </c>
      <c r="D221" s="89">
        <v>45401</v>
      </c>
      <c r="E221" s="70" t="s">
        <v>74</v>
      </c>
      <c r="F221" s="9" t="s">
        <v>598</v>
      </c>
      <c r="G221" s="160">
        <v>310</v>
      </c>
      <c r="H221" s="160"/>
      <c r="I221" s="160">
        <f t="shared" si="9"/>
        <v>310</v>
      </c>
      <c r="J221" s="160">
        <f t="shared" si="10"/>
        <v>15.5</v>
      </c>
      <c r="K221" s="160">
        <f t="shared" si="11"/>
        <v>325.5</v>
      </c>
      <c r="L221" s="13" t="s">
        <v>9</v>
      </c>
      <c r="P221">
        <v>1</v>
      </c>
    </row>
    <row r="222" spans="2:16" ht="17.25" customHeight="1" x14ac:dyDescent="0.25">
      <c r="B222" s="9" t="s">
        <v>10</v>
      </c>
      <c r="C222" s="10" t="s">
        <v>604</v>
      </c>
      <c r="D222" s="89">
        <v>45402</v>
      </c>
      <c r="E222" s="71" t="s">
        <v>16</v>
      </c>
      <c r="F222" s="9" t="s">
        <v>610</v>
      </c>
      <c r="G222" s="160">
        <v>575</v>
      </c>
      <c r="H222" s="160"/>
      <c r="I222" s="160">
        <f t="shared" si="9"/>
        <v>575</v>
      </c>
      <c r="J222" s="160">
        <f t="shared" si="10"/>
        <v>28.75</v>
      </c>
      <c r="K222" s="160">
        <f t="shared" si="11"/>
        <v>603.75</v>
      </c>
      <c r="L222" s="13" t="s">
        <v>9</v>
      </c>
      <c r="P222">
        <v>1</v>
      </c>
    </row>
    <row r="223" spans="2:16" ht="17.25" customHeight="1" x14ac:dyDescent="0.25">
      <c r="B223" s="9" t="s">
        <v>114</v>
      </c>
      <c r="C223" s="10" t="s">
        <v>605</v>
      </c>
      <c r="D223" s="89">
        <v>45401</v>
      </c>
      <c r="E223" s="71" t="s">
        <v>115</v>
      </c>
      <c r="F223" s="9" t="s">
        <v>598</v>
      </c>
      <c r="G223" s="160">
        <v>405</v>
      </c>
      <c r="H223" s="160"/>
      <c r="I223" s="160">
        <f t="shared" si="9"/>
        <v>405</v>
      </c>
      <c r="J223" s="160">
        <f t="shared" si="10"/>
        <v>20.25</v>
      </c>
      <c r="K223" s="160">
        <f t="shared" si="11"/>
        <v>425.25</v>
      </c>
      <c r="L223" s="13" t="s">
        <v>9</v>
      </c>
      <c r="P223">
        <v>1</v>
      </c>
    </row>
    <row r="224" spans="2:16" ht="17.25" customHeight="1" x14ac:dyDescent="0.25">
      <c r="B224" s="9" t="s">
        <v>114</v>
      </c>
      <c r="C224" s="10" t="s">
        <v>606</v>
      </c>
      <c r="D224" s="89">
        <v>45401</v>
      </c>
      <c r="E224" s="71" t="s">
        <v>23</v>
      </c>
      <c r="F224" s="9" t="s">
        <v>598</v>
      </c>
      <c r="G224" s="160">
        <f>470+375</f>
        <v>845</v>
      </c>
      <c r="H224" s="160"/>
      <c r="I224" s="160">
        <f t="shared" si="9"/>
        <v>845</v>
      </c>
      <c r="J224" s="160">
        <f t="shared" si="10"/>
        <v>42.25</v>
      </c>
      <c r="K224" s="160">
        <f t="shared" si="11"/>
        <v>887.25</v>
      </c>
      <c r="L224" s="13" t="s">
        <v>9</v>
      </c>
      <c r="P224">
        <v>1</v>
      </c>
    </row>
    <row r="225" spans="2:16" s="146" customFormat="1" ht="17.25" customHeight="1" x14ac:dyDescent="0.25">
      <c r="B225" s="9" t="s">
        <v>114</v>
      </c>
      <c r="C225" s="142" t="s">
        <v>607</v>
      </c>
      <c r="D225" s="143">
        <v>45401</v>
      </c>
      <c r="E225" s="144" t="s">
        <v>74</v>
      </c>
      <c r="F225" s="141"/>
      <c r="G225" s="165">
        <v>0</v>
      </c>
      <c r="H225" s="165"/>
      <c r="I225" s="165">
        <f t="shared" si="9"/>
        <v>0</v>
      </c>
      <c r="J225" s="165">
        <f t="shared" si="10"/>
        <v>0</v>
      </c>
      <c r="K225" s="165">
        <f t="shared" si="11"/>
        <v>0</v>
      </c>
      <c r="L225" s="145" t="s">
        <v>9</v>
      </c>
      <c r="P225" s="146">
        <v>1</v>
      </c>
    </row>
    <row r="226" spans="2:16" ht="17.25" customHeight="1" x14ac:dyDescent="0.25">
      <c r="B226" s="9" t="s">
        <v>102</v>
      </c>
      <c r="C226" s="10" t="s">
        <v>608</v>
      </c>
      <c r="D226" s="89">
        <v>45401</v>
      </c>
      <c r="E226" s="71" t="s">
        <v>104</v>
      </c>
      <c r="F226" s="9" t="s">
        <v>611</v>
      </c>
      <c r="G226" s="160">
        <v>2850</v>
      </c>
      <c r="H226" s="160"/>
      <c r="I226" s="160">
        <f t="shared" si="9"/>
        <v>2850</v>
      </c>
      <c r="J226" s="160">
        <f t="shared" si="10"/>
        <v>142.5</v>
      </c>
      <c r="K226" s="160">
        <f t="shared" si="11"/>
        <v>2992.5</v>
      </c>
      <c r="L226" s="13" t="s">
        <v>9</v>
      </c>
      <c r="P226">
        <v>1</v>
      </c>
    </row>
    <row r="227" spans="2:16" ht="17.25" customHeight="1" x14ac:dyDescent="0.25">
      <c r="B227" s="9" t="s">
        <v>102</v>
      </c>
      <c r="C227" s="10" t="s">
        <v>609</v>
      </c>
      <c r="D227" s="89">
        <v>45401</v>
      </c>
      <c r="E227" s="71" t="s">
        <v>104</v>
      </c>
      <c r="F227" s="9" t="s">
        <v>612</v>
      </c>
      <c r="G227" s="160">
        <v>972</v>
      </c>
      <c r="H227" s="160"/>
      <c r="I227" s="160">
        <f t="shared" si="9"/>
        <v>972</v>
      </c>
      <c r="J227" s="160">
        <f t="shared" si="10"/>
        <v>48.6</v>
      </c>
      <c r="K227" s="160">
        <f t="shared" si="11"/>
        <v>1020.6</v>
      </c>
      <c r="L227" s="13" t="s">
        <v>9</v>
      </c>
      <c r="P227">
        <v>1</v>
      </c>
    </row>
    <row r="228" spans="2:16" ht="17.25" customHeight="1" x14ac:dyDescent="0.25">
      <c r="B228" s="9" t="s">
        <v>199</v>
      </c>
      <c r="C228" s="10" t="s">
        <v>687</v>
      </c>
      <c r="D228" s="89">
        <v>45421</v>
      </c>
      <c r="E228" s="71" t="s">
        <v>201</v>
      </c>
      <c r="F228" s="9" t="s">
        <v>688</v>
      </c>
      <c r="G228" s="160">
        <v>1628.75</v>
      </c>
      <c r="H228" s="160"/>
      <c r="I228" s="160">
        <f t="shared" si="9"/>
        <v>1628.75</v>
      </c>
      <c r="J228" s="160">
        <f t="shared" si="10"/>
        <v>81.4375</v>
      </c>
      <c r="K228" s="160">
        <f t="shared" si="11"/>
        <v>1710.1875</v>
      </c>
      <c r="L228" s="13" t="s">
        <v>78</v>
      </c>
      <c r="P228">
        <v>1</v>
      </c>
    </row>
    <row r="229" spans="2:16" ht="17.25" customHeight="1" x14ac:dyDescent="0.25">
      <c r="B229" s="9" t="s">
        <v>29</v>
      </c>
      <c r="C229" s="10" t="s">
        <v>613</v>
      </c>
      <c r="D229" s="89">
        <v>45405</v>
      </c>
      <c r="E229" s="71" t="s">
        <v>128</v>
      </c>
      <c r="F229" s="9" t="s">
        <v>624</v>
      </c>
      <c r="G229" s="160">
        <v>3704</v>
      </c>
      <c r="H229" s="160"/>
      <c r="I229" s="160">
        <f t="shared" si="9"/>
        <v>3704</v>
      </c>
      <c r="J229" s="160">
        <f t="shared" si="10"/>
        <v>185.20000000000002</v>
      </c>
      <c r="K229" s="160">
        <f t="shared" si="11"/>
        <v>3889.2</v>
      </c>
      <c r="L229" s="13" t="s">
        <v>9</v>
      </c>
      <c r="P229">
        <v>1</v>
      </c>
    </row>
    <row r="230" spans="2:16" ht="17.25" customHeight="1" x14ac:dyDescent="0.25">
      <c r="B230" s="9" t="s">
        <v>177</v>
      </c>
      <c r="C230" s="10" t="s">
        <v>689</v>
      </c>
      <c r="D230" s="89">
        <v>45419</v>
      </c>
      <c r="E230" s="71" t="s">
        <v>690</v>
      </c>
      <c r="F230" s="9" t="s">
        <v>164</v>
      </c>
      <c r="G230" s="160">
        <v>85</v>
      </c>
      <c r="H230" s="160"/>
      <c r="I230" s="160">
        <f t="shared" si="9"/>
        <v>85</v>
      </c>
      <c r="J230" s="160">
        <f t="shared" si="10"/>
        <v>4.25</v>
      </c>
      <c r="K230" s="160">
        <f t="shared" si="11"/>
        <v>89.25</v>
      </c>
      <c r="L230" s="13" t="s">
        <v>78</v>
      </c>
      <c r="P230">
        <v>1</v>
      </c>
    </row>
    <row r="231" spans="2:16" ht="17.25" customHeight="1" x14ac:dyDescent="0.25">
      <c r="B231" s="9" t="s">
        <v>10</v>
      </c>
      <c r="C231" s="10" t="s">
        <v>614</v>
      </c>
      <c r="D231" s="89">
        <v>45405</v>
      </c>
      <c r="E231" s="71" t="s">
        <v>16</v>
      </c>
      <c r="F231" s="9" t="s">
        <v>625</v>
      </c>
      <c r="G231" s="160">
        <v>702</v>
      </c>
      <c r="H231" s="160"/>
      <c r="I231" s="160">
        <f t="shared" si="9"/>
        <v>702</v>
      </c>
      <c r="J231" s="160">
        <f t="shared" si="10"/>
        <v>35.1</v>
      </c>
      <c r="K231" s="160">
        <f t="shared" si="11"/>
        <v>737.1</v>
      </c>
      <c r="L231" s="13" t="s">
        <v>9</v>
      </c>
      <c r="P231">
        <v>1</v>
      </c>
    </row>
    <row r="232" spans="2:16" ht="17.25" customHeight="1" x14ac:dyDescent="0.25">
      <c r="B232" s="9" t="s">
        <v>409</v>
      </c>
      <c r="C232" s="10" t="s">
        <v>691</v>
      </c>
      <c r="D232" s="89">
        <v>45419</v>
      </c>
      <c r="E232" s="71" t="s">
        <v>183</v>
      </c>
      <c r="F232" s="9" t="s">
        <v>164</v>
      </c>
      <c r="G232" s="160">
        <v>85</v>
      </c>
      <c r="H232" s="160"/>
      <c r="I232" s="160">
        <f t="shared" si="9"/>
        <v>85</v>
      </c>
      <c r="J232" s="160">
        <f t="shared" si="10"/>
        <v>4.25</v>
      </c>
      <c r="K232" s="160">
        <f t="shared" si="11"/>
        <v>89.25</v>
      </c>
      <c r="L232" s="13" t="s">
        <v>78</v>
      </c>
      <c r="P232">
        <v>1</v>
      </c>
    </row>
    <row r="233" spans="2:16" ht="17.25" customHeight="1" x14ac:dyDescent="0.25">
      <c r="B233" s="9" t="s">
        <v>566</v>
      </c>
      <c r="C233" s="10" t="s">
        <v>615</v>
      </c>
      <c r="D233" s="89">
        <v>45407</v>
      </c>
      <c r="E233" s="71" t="s">
        <v>571</v>
      </c>
      <c r="F233" s="9" t="s">
        <v>627</v>
      </c>
      <c r="G233" s="160">
        <v>11000</v>
      </c>
      <c r="H233" s="160"/>
      <c r="I233" s="160">
        <f t="shared" si="9"/>
        <v>11000</v>
      </c>
      <c r="J233" s="160">
        <f t="shared" si="10"/>
        <v>550</v>
      </c>
      <c r="K233" s="160">
        <f t="shared" si="11"/>
        <v>11550</v>
      </c>
      <c r="L233" s="13" t="s">
        <v>78</v>
      </c>
      <c r="P233">
        <v>1</v>
      </c>
    </row>
    <row r="234" spans="2:16" ht="17.25" customHeight="1" x14ac:dyDescent="0.25">
      <c r="B234" s="9" t="s">
        <v>409</v>
      </c>
      <c r="C234" s="10" t="s">
        <v>693</v>
      </c>
      <c r="D234" s="89">
        <v>45419</v>
      </c>
      <c r="E234" s="71" t="s">
        <v>694</v>
      </c>
      <c r="F234" s="9" t="s">
        <v>695</v>
      </c>
      <c r="G234" s="160">
        <v>260</v>
      </c>
      <c r="H234" s="160"/>
      <c r="I234" s="160">
        <f t="shared" si="9"/>
        <v>260</v>
      </c>
      <c r="J234" s="160">
        <f t="shared" si="10"/>
        <v>13</v>
      </c>
      <c r="K234" s="160">
        <f t="shared" si="11"/>
        <v>273</v>
      </c>
      <c r="L234" s="13" t="s">
        <v>78</v>
      </c>
      <c r="P234">
        <v>1</v>
      </c>
    </row>
    <row r="235" spans="2:16" ht="17.25" customHeight="1" x14ac:dyDescent="0.25">
      <c r="B235" s="9" t="s">
        <v>628</v>
      </c>
      <c r="C235" s="10" t="s">
        <v>616</v>
      </c>
      <c r="D235" s="89">
        <v>45407</v>
      </c>
      <c r="E235" s="71" t="s">
        <v>629</v>
      </c>
      <c r="F235" s="9" t="s">
        <v>630</v>
      </c>
      <c r="G235" s="160">
        <v>202.95</v>
      </c>
      <c r="H235" s="160"/>
      <c r="I235" s="160">
        <f t="shared" si="9"/>
        <v>202.95</v>
      </c>
      <c r="J235" s="160">
        <f t="shared" si="10"/>
        <v>10.147500000000001</v>
      </c>
      <c r="K235" s="160">
        <f t="shared" si="11"/>
        <v>213.0975</v>
      </c>
      <c r="L235" s="13" t="s">
        <v>9</v>
      </c>
      <c r="P235">
        <v>1</v>
      </c>
    </row>
    <row r="236" spans="2:16" ht="17.25" customHeight="1" x14ac:dyDescent="0.25">
      <c r="B236" s="9" t="s">
        <v>290</v>
      </c>
      <c r="C236" s="10" t="s">
        <v>696</v>
      </c>
      <c r="D236" s="89">
        <v>45421</v>
      </c>
      <c r="E236" s="71" t="s">
        <v>74</v>
      </c>
      <c r="F236" s="9" t="s">
        <v>598</v>
      </c>
      <c r="G236" s="160">
        <v>375</v>
      </c>
      <c r="H236" s="160"/>
      <c r="I236" s="160">
        <f t="shared" si="9"/>
        <v>375</v>
      </c>
      <c r="J236" s="160">
        <f t="shared" si="10"/>
        <v>18.75</v>
      </c>
      <c r="K236" s="160">
        <f t="shared" si="11"/>
        <v>393.75</v>
      </c>
      <c r="L236" s="13" t="s">
        <v>78</v>
      </c>
      <c r="P236">
        <v>1</v>
      </c>
    </row>
    <row r="237" spans="2:16" ht="17.25" customHeight="1" x14ac:dyDescent="0.25">
      <c r="B237" s="9" t="s">
        <v>29</v>
      </c>
      <c r="C237" s="10" t="s">
        <v>617</v>
      </c>
      <c r="D237" s="89">
        <v>45406</v>
      </c>
      <c r="E237" s="71" t="s">
        <v>128</v>
      </c>
      <c r="F237" s="9" t="s">
        <v>52</v>
      </c>
      <c r="G237" s="160">
        <v>190</v>
      </c>
      <c r="H237" s="160"/>
      <c r="I237" s="160">
        <f t="shared" si="9"/>
        <v>190</v>
      </c>
      <c r="J237" s="160">
        <f t="shared" si="10"/>
        <v>9.5</v>
      </c>
      <c r="K237" s="160">
        <f t="shared" si="11"/>
        <v>199.5</v>
      </c>
      <c r="L237" s="13" t="s">
        <v>9</v>
      </c>
      <c r="P237">
        <v>1</v>
      </c>
    </row>
    <row r="238" spans="2:16" ht="17.25" customHeight="1" x14ac:dyDescent="0.25">
      <c r="B238" s="9" t="s">
        <v>10</v>
      </c>
      <c r="C238" s="10" t="s">
        <v>618</v>
      </c>
      <c r="D238" s="89">
        <v>45407</v>
      </c>
      <c r="E238" s="71" t="s">
        <v>16</v>
      </c>
      <c r="F238" s="9" t="s">
        <v>510</v>
      </c>
      <c r="G238" s="160">
        <v>780</v>
      </c>
      <c r="H238" s="160"/>
      <c r="I238" s="160">
        <f t="shared" si="9"/>
        <v>780</v>
      </c>
      <c r="J238" s="160">
        <f t="shared" si="10"/>
        <v>39</v>
      </c>
      <c r="K238" s="160">
        <f t="shared" si="11"/>
        <v>819</v>
      </c>
      <c r="L238" s="13" t="s">
        <v>9</v>
      </c>
      <c r="P238">
        <v>1</v>
      </c>
    </row>
    <row r="239" spans="2:16" ht="17.25" customHeight="1" x14ac:dyDescent="0.25">
      <c r="B239" s="9" t="s">
        <v>29</v>
      </c>
      <c r="C239" s="10" t="s">
        <v>619</v>
      </c>
      <c r="D239" s="89">
        <v>45408</v>
      </c>
      <c r="E239" s="71" t="s">
        <v>128</v>
      </c>
      <c r="F239" s="9" t="s">
        <v>598</v>
      </c>
      <c r="G239" s="160">
        <v>270</v>
      </c>
      <c r="H239" s="160"/>
      <c r="I239" s="160">
        <f t="shared" si="9"/>
        <v>270</v>
      </c>
      <c r="J239" s="160">
        <f t="shared" si="10"/>
        <v>13.5</v>
      </c>
      <c r="K239" s="160">
        <f t="shared" si="11"/>
        <v>283.5</v>
      </c>
      <c r="L239" s="13" t="s">
        <v>9</v>
      </c>
      <c r="P239">
        <v>1</v>
      </c>
    </row>
    <row r="240" spans="2:16" ht="17.25" customHeight="1" x14ac:dyDescent="0.25">
      <c r="B240" s="9" t="s">
        <v>631</v>
      </c>
      <c r="C240" s="10" t="s">
        <v>620</v>
      </c>
      <c r="D240" s="89">
        <v>45411</v>
      </c>
      <c r="E240" s="71" t="s">
        <v>632</v>
      </c>
      <c r="F240" s="9" t="s">
        <v>633</v>
      </c>
      <c r="G240" s="160">
        <v>1249.5</v>
      </c>
      <c r="H240" s="160"/>
      <c r="I240" s="160">
        <f t="shared" si="9"/>
        <v>1249.5</v>
      </c>
      <c r="J240" s="160">
        <f t="shared" si="10"/>
        <v>62.475000000000001</v>
      </c>
      <c r="K240" s="160">
        <f t="shared" si="11"/>
        <v>1311.9749999999999</v>
      </c>
      <c r="L240" s="13" t="s">
        <v>78</v>
      </c>
      <c r="P240">
        <v>1</v>
      </c>
    </row>
    <row r="241" spans="2:16" ht="17.25" customHeight="1" x14ac:dyDescent="0.25">
      <c r="B241" s="9" t="s">
        <v>221</v>
      </c>
      <c r="C241" s="10" t="s">
        <v>621</v>
      </c>
      <c r="D241" s="89">
        <v>45411</v>
      </c>
      <c r="E241" s="71" t="s">
        <v>222</v>
      </c>
      <c r="F241" s="9" t="s">
        <v>634</v>
      </c>
      <c r="G241" s="160">
        <v>6000</v>
      </c>
      <c r="H241" s="160"/>
      <c r="I241" s="160">
        <f t="shared" si="9"/>
        <v>6000</v>
      </c>
      <c r="J241" s="160">
        <f t="shared" si="10"/>
        <v>300</v>
      </c>
      <c r="K241" s="160">
        <f t="shared" si="11"/>
        <v>6300</v>
      </c>
      <c r="L241" s="13" t="s">
        <v>78</v>
      </c>
      <c r="P241">
        <v>1</v>
      </c>
    </row>
    <row r="242" spans="2:16" ht="17.25" customHeight="1" x14ac:dyDescent="0.25">
      <c r="B242" s="9" t="s">
        <v>29</v>
      </c>
      <c r="C242" s="10" t="s">
        <v>622</v>
      </c>
      <c r="D242" s="89">
        <v>45408</v>
      </c>
      <c r="E242" s="71" t="s">
        <v>128</v>
      </c>
      <c r="F242" s="9" t="s">
        <v>635</v>
      </c>
      <c r="G242" s="160">
        <v>505</v>
      </c>
      <c r="H242" s="160"/>
      <c r="I242" s="160">
        <f t="shared" si="9"/>
        <v>505</v>
      </c>
      <c r="J242" s="160">
        <f t="shared" si="10"/>
        <v>25.25</v>
      </c>
      <c r="K242" s="160">
        <f t="shared" si="11"/>
        <v>530.25</v>
      </c>
      <c r="L242" s="13" t="s">
        <v>9</v>
      </c>
      <c r="P242">
        <v>1</v>
      </c>
    </row>
    <row r="243" spans="2:16" ht="17.25" customHeight="1" x14ac:dyDescent="0.25">
      <c r="B243" s="9" t="s">
        <v>576</v>
      </c>
      <c r="C243" s="10" t="s">
        <v>623</v>
      </c>
      <c r="D243" s="89">
        <v>45411</v>
      </c>
      <c r="E243" s="71" t="s">
        <v>577</v>
      </c>
      <c r="F243" s="9" t="s">
        <v>636</v>
      </c>
      <c r="G243" s="160">
        <v>1972.5</v>
      </c>
      <c r="H243" s="160"/>
      <c r="I243" s="160">
        <f t="shared" si="9"/>
        <v>1972.5</v>
      </c>
      <c r="J243" s="160">
        <f t="shared" si="10"/>
        <v>98.625</v>
      </c>
      <c r="K243" s="160">
        <f t="shared" si="11"/>
        <v>2071.125</v>
      </c>
      <c r="L243" s="13" t="s">
        <v>78</v>
      </c>
      <c r="P243">
        <v>1</v>
      </c>
    </row>
    <row r="244" spans="2:16" ht="17.25" customHeight="1" x14ac:dyDescent="0.25">
      <c r="B244" s="9" t="s">
        <v>10</v>
      </c>
      <c r="C244" s="10" t="s">
        <v>637</v>
      </c>
      <c r="D244" s="89">
        <v>45411</v>
      </c>
      <c r="E244" s="71" t="s">
        <v>16</v>
      </c>
      <c r="F244" s="9" t="s">
        <v>643</v>
      </c>
      <c r="G244" s="160">
        <v>3890</v>
      </c>
      <c r="H244" s="160"/>
      <c r="I244" s="160">
        <f t="shared" si="9"/>
        <v>3890</v>
      </c>
      <c r="J244" s="160">
        <f t="shared" si="10"/>
        <v>194.5</v>
      </c>
      <c r="K244" s="160">
        <f t="shared" si="11"/>
        <v>4084.5</v>
      </c>
      <c r="L244" s="13" t="s">
        <v>9</v>
      </c>
      <c r="P244">
        <v>1</v>
      </c>
    </row>
    <row r="245" spans="2:16" ht="17.25" customHeight="1" x14ac:dyDescent="0.25">
      <c r="B245" s="9" t="s">
        <v>10</v>
      </c>
      <c r="C245" s="10" t="s">
        <v>638</v>
      </c>
      <c r="D245" s="89">
        <v>45411</v>
      </c>
      <c r="E245" s="71" t="s">
        <v>16</v>
      </c>
      <c r="F245" s="9" t="s">
        <v>433</v>
      </c>
      <c r="G245" s="160">
        <v>1008</v>
      </c>
      <c r="H245" s="160"/>
      <c r="I245" s="160">
        <f t="shared" si="9"/>
        <v>1008</v>
      </c>
      <c r="J245" s="160">
        <f t="shared" si="10"/>
        <v>50.400000000000006</v>
      </c>
      <c r="K245" s="160">
        <f t="shared" si="11"/>
        <v>1058.4000000000001</v>
      </c>
      <c r="L245" s="13" t="s">
        <v>9</v>
      </c>
      <c r="P245">
        <v>1</v>
      </c>
    </row>
    <row r="246" spans="2:16" ht="17.25" customHeight="1" x14ac:dyDescent="0.25">
      <c r="B246" s="9" t="s">
        <v>644</v>
      </c>
      <c r="C246" s="10" t="s">
        <v>639</v>
      </c>
      <c r="D246" s="89">
        <v>45412</v>
      </c>
      <c r="E246" s="71" t="s">
        <v>645</v>
      </c>
      <c r="F246" s="9" t="s">
        <v>646</v>
      </c>
      <c r="G246" s="160">
        <v>380</v>
      </c>
      <c r="H246" s="160"/>
      <c r="I246" s="160">
        <f t="shared" si="9"/>
        <v>380</v>
      </c>
      <c r="J246" s="160">
        <f t="shared" si="10"/>
        <v>19</v>
      </c>
      <c r="K246" s="160">
        <f t="shared" si="11"/>
        <v>399</v>
      </c>
      <c r="L246" s="13" t="s">
        <v>9</v>
      </c>
      <c r="P246">
        <v>1</v>
      </c>
    </row>
    <row r="247" spans="2:16" ht="17.25" customHeight="1" x14ac:dyDescent="0.25">
      <c r="B247" s="9" t="s">
        <v>10</v>
      </c>
      <c r="C247" s="10" t="s">
        <v>640</v>
      </c>
      <c r="D247" s="89">
        <v>45412</v>
      </c>
      <c r="E247" s="71" t="s">
        <v>16</v>
      </c>
      <c r="F247" s="9" t="s">
        <v>647</v>
      </c>
      <c r="G247" s="160">
        <v>450</v>
      </c>
      <c r="H247" s="160"/>
      <c r="I247" s="160">
        <f t="shared" si="9"/>
        <v>450</v>
      </c>
      <c r="J247" s="160">
        <f t="shared" si="10"/>
        <v>22.5</v>
      </c>
      <c r="K247" s="160">
        <f t="shared" si="11"/>
        <v>472.5</v>
      </c>
      <c r="L247" s="13" t="s">
        <v>9</v>
      </c>
      <c r="P247">
        <v>1</v>
      </c>
    </row>
    <row r="248" spans="2:16" ht="17.25" customHeight="1" x14ac:dyDescent="0.25">
      <c r="B248" s="9" t="s">
        <v>102</v>
      </c>
      <c r="C248" s="10" t="s">
        <v>641</v>
      </c>
      <c r="D248" s="89">
        <v>45412</v>
      </c>
      <c r="E248" s="71" t="s">
        <v>104</v>
      </c>
      <c r="F248" s="9" t="s">
        <v>648</v>
      </c>
      <c r="G248" s="160">
        <v>375</v>
      </c>
      <c r="H248" s="160"/>
      <c r="I248" s="160">
        <f t="shared" si="9"/>
        <v>375</v>
      </c>
      <c r="J248" s="160">
        <f t="shared" si="10"/>
        <v>18.75</v>
      </c>
      <c r="K248" s="160">
        <f t="shared" si="11"/>
        <v>393.75</v>
      </c>
      <c r="L248" s="13" t="s">
        <v>9</v>
      </c>
      <c r="P248">
        <v>1</v>
      </c>
    </row>
    <row r="249" spans="2:16" ht="17.25" customHeight="1" x14ac:dyDescent="0.25">
      <c r="B249" s="9" t="s">
        <v>649</v>
      </c>
      <c r="C249" s="10" t="s">
        <v>642</v>
      </c>
      <c r="D249" s="89">
        <v>45412</v>
      </c>
      <c r="E249" s="70" t="s">
        <v>74</v>
      </c>
      <c r="F249" s="9" t="s">
        <v>650</v>
      </c>
      <c r="G249" s="160">
        <v>900</v>
      </c>
      <c r="H249" s="160"/>
      <c r="I249" s="160">
        <f t="shared" si="9"/>
        <v>900</v>
      </c>
      <c r="J249" s="160">
        <f t="shared" si="10"/>
        <v>45</v>
      </c>
      <c r="K249" s="160">
        <f t="shared" si="11"/>
        <v>945</v>
      </c>
      <c r="L249" s="13" t="s">
        <v>9</v>
      </c>
      <c r="P249">
        <v>1</v>
      </c>
    </row>
    <row r="250" spans="2:16" ht="17.25" customHeight="1" x14ac:dyDescent="0.25">
      <c r="B250" s="9" t="s">
        <v>236</v>
      </c>
      <c r="C250" s="10" t="s">
        <v>651</v>
      </c>
      <c r="D250" s="89">
        <v>45412</v>
      </c>
      <c r="E250" s="71" t="s">
        <v>237</v>
      </c>
      <c r="F250" s="9" t="s">
        <v>665</v>
      </c>
      <c r="G250" s="160">
        <v>180</v>
      </c>
      <c r="H250" s="160"/>
      <c r="I250" s="160">
        <f t="shared" si="9"/>
        <v>180</v>
      </c>
      <c r="J250" s="160">
        <f t="shared" si="10"/>
        <v>9</v>
      </c>
      <c r="K250" s="160">
        <f t="shared" si="11"/>
        <v>189</v>
      </c>
      <c r="L250" s="13" t="s">
        <v>9</v>
      </c>
      <c r="P250">
        <v>1</v>
      </c>
    </row>
    <row r="251" spans="2:16" ht="17.25" customHeight="1" x14ac:dyDescent="0.25">
      <c r="B251" s="9" t="s">
        <v>236</v>
      </c>
      <c r="C251" s="10" t="s">
        <v>652</v>
      </c>
      <c r="D251" s="89">
        <v>45412</v>
      </c>
      <c r="E251" s="71" t="s">
        <v>237</v>
      </c>
      <c r="F251" s="9" t="s">
        <v>665</v>
      </c>
      <c r="G251" s="160">
        <v>90</v>
      </c>
      <c r="H251" s="160"/>
      <c r="I251" s="160">
        <f t="shared" si="9"/>
        <v>90</v>
      </c>
      <c r="J251" s="160">
        <f t="shared" si="10"/>
        <v>4.5</v>
      </c>
      <c r="K251" s="160">
        <f t="shared" si="11"/>
        <v>94.5</v>
      </c>
      <c r="L251" s="13" t="s">
        <v>9</v>
      </c>
      <c r="P251">
        <v>1</v>
      </c>
    </row>
    <row r="252" spans="2:16" ht="17.25" customHeight="1" x14ac:dyDescent="0.25">
      <c r="B252" s="9" t="s">
        <v>29</v>
      </c>
      <c r="C252" s="10" t="s">
        <v>653</v>
      </c>
      <c r="D252" s="89">
        <v>45413</v>
      </c>
      <c r="E252" s="71" t="s">
        <v>128</v>
      </c>
      <c r="F252" s="9" t="s">
        <v>667</v>
      </c>
      <c r="G252" s="160">
        <v>932</v>
      </c>
      <c r="H252" s="160"/>
      <c r="I252" s="160">
        <f t="shared" si="9"/>
        <v>932</v>
      </c>
      <c r="J252" s="160">
        <f t="shared" si="10"/>
        <v>46.6</v>
      </c>
      <c r="K252" s="160">
        <f t="shared" si="11"/>
        <v>978.6</v>
      </c>
      <c r="L252" s="13" t="s">
        <v>9</v>
      </c>
      <c r="P252">
        <v>1</v>
      </c>
    </row>
    <row r="253" spans="2:16" ht="17.25" customHeight="1" x14ac:dyDescent="0.25">
      <c r="B253" s="9" t="s">
        <v>114</v>
      </c>
      <c r="C253" s="10" t="s">
        <v>654</v>
      </c>
      <c r="D253" s="89">
        <v>45413</v>
      </c>
      <c r="E253" s="71" t="s">
        <v>115</v>
      </c>
      <c r="F253" s="9" t="s">
        <v>668</v>
      </c>
      <c r="G253" s="160">
        <v>405</v>
      </c>
      <c r="H253" s="160"/>
      <c r="I253" s="160">
        <f t="shared" si="9"/>
        <v>405</v>
      </c>
      <c r="J253" s="160">
        <f t="shared" si="10"/>
        <v>20.25</v>
      </c>
      <c r="K253" s="160">
        <f t="shared" si="11"/>
        <v>425.25</v>
      </c>
      <c r="L253" s="13" t="s">
        <v>9</v>
      </c>
      <c r="P253">
        <v>1</v>
      </c>
    </row>
    <row r="254" spans="2:16" ht="17.25" customHeight="1" x14ac:dyDescent="0.25">
      <c r="B254" s="9" t="s">
        <v>669</v>
      </c>
      <c r="C254" s="10" t="s">
        <v>655</v>
      </c>
      <c r="D254" s="89">
        <v>45414</v>
      </c>
      <c r="E254" s="70" t="s">
        <v>74</v>
      </c>
      <c r="F254" s="9" t="s">
        <v>483</v>
      </c>
      <c r="G254" s="160">
        <v>2225</v>
      </c>
      <c r="H254" s="160"/>
      <c r="I254" s="160">
        <f t="shared" si="9"/>
        <v>2225</v>
      </c>
      <c r="J254" s="160">
        <f t="shared" si="10"/>
        <v>111.25</v>
      </c>
      <c r="K254" s="160">
        <f t="shared" si="11"/>
        <v>2336.25</v>
      </c>
      <c r="L254" s="13" t="s">
        <v>9</v>
      </c>
      <c r="P254">
        <v>1</v>
      </c>
    </row>
    <row r="255" spans="2:16" ht="17.25" customHeight="1" x14ac:dyDescent="0.25">
      <c r="B255" s="9" t="s">
        <v>670</v>
      </c>
      <c r="C255" s="10" t="s">
        <v>656</v>
      </c>
      <c r="D255" s="89">
        <v>45415</v>
      </c>
      <c r="E255" s="71" t="s">
        <v>671</v>
      </c>
      <c r="F255" s="9" t="s">
        <v>672</v>
      </c>
      <c r="G255" s="160">
        <v>350</v>
      </c>
      <c r="H255" s="160"/>
      <c r="I255" s="160">
        <f t="shared" si="9"/>
        <v>350</v>
      </c>
      <c r="J255" s="160">
        <f t="shared" si="10"/>
        <v>17.5</v>
      </c>
      <c r="K255" s="160">
        <f t="shared" si="11"/>
        <v>367.5</v>
      </c>
      <c r="L255" s="13" t="s">
        <v>78</v>
      </c>
      <c r="P255">
        <v>1</v>
      </c>
    </row>
    <row r="256" spans="2:16" ht="17.25" customHeight="1" x14ac:dyDescent="0.25">
      <c r="B256" s="9" t="s">
        <v>94</v>
      </c>
      <c r="C256" s="10" t="s">
        <v>657</v>
      </c>
      <c r="D256" s="89">
        <v>45415</v>
      </c>
      <c r="E256" s="71" t="s">
        <v>96</v>
      </c>
      <c r="F256" s="9" t="s">
        <v>673</v>
      </c>
      <c r="G256" s="160">
        <v>570</v>
      </c>
      <c r="H256" s="160"/>
      <c r="I256" s="160">
        <f t="shared" si="9"/>
        <v>570</v>
      </c>
      <c r="J256" s="160">
        <f t="shared" si="10"/>
        <v>28.5</v>
      </c>
      <c r="K256" s="160">
        <f t="shared" si="11"/>
        <v>598.5</v>
      </c>
      <c r="L256" s="13" t="s">
        <v>78</v>
      </c>
      <c r="P256">
        <v>1</v>
      </c>
    </row>
    <row r="257" spans="2:16" ht="17.25" customHeight="1" x14ac:dyDescent="0.25">
      <c r="B257" s="9" t="s">
        <v>29</v>
      </c>
      <c r="C257" s="10" t="s">
        <v>658</v>
      </c>
      <c r="D257" s="89">
        <v>45415</v>
      </c>
      <c r="E257" s="71" t="s">
        <v>128</v>
      </c>
      <c r="F257" s="9" t="s">
        <v>674</v>
      </c>
      <c r="G257" s="160">
        <v>512</v>
      </c>
      <c r="H257" s="160"/>
      <c r="I257" s="160">
        <f t="shared" si="9"/>
        <v>512</v>
      </c>
      <c r="J257" s="160">
        <f t="shared" si="10"/>
        <v>25.6</v>
      </c>
      <c r="K257" s="160">
        <f t="shared" si="11"/>
        <v>537.6</v>
      </c>
      <c r="L257" s="13" t="s">
        <v>9</v>
      </c>
      <c r="P257">
        <v>1</v>
      </c>
    </row>
    <row r="258" spans="2:16" ht="17.25" customHeight="1" x14ac:dyDescent="0.25">
      <c r="B258" s="9" t="s">
        <v>29</v>
      </c>
      <c r="C258" s="10" t="s">
        <v>659</v>
      </c>
      <c r="D258" s="89">
        <v>45418</v>
      </c>
      <c r="E258" s="71" t="s">
        <v>128</v>
      </c>
      <c r="F258" s="9" t="s">
        <v>675</v>
      </c>
      <c r="G258" s="160">
        <v>3425</v>
      </c>
      <c r="H258" s="160"/>
      <c r="I258" s="160">
        <f t="shared" si="9"/>
        <v>3425</v>
      </c>
      <c r="J258" s="160">
        <f t="shared" si="10"/>
        <v>171.25</v>
      </c>
      <c r="K258" s="160">
        <f t="shared" si="11"/>
        <v>3596.25</v>
      </c>
      <c r="L258" s="13" t="s">
        <v>9</v>
      </c>
      <c r="P258">
        <v>1</v>
      </c>
    </row>
    <row r="259" spans="2:16" ht="17.25" customHeight="1" x14ac:dyDescent="0.25">
      <c r="B259" s="9" t="s">
        <v>10</v>
      </c>
      <c r="C259" s="10" t="s">
        <v>660</v>
      </c>
      <c r="D259" s="89">
        <v>45418</v>
      </c>
      <c r="E259" s="71" t="s">
        <v>16</v>
      </c>
      <c r="F259" s="9" t="s">
        <v>676</v>
      </c>
      <c r="G259" s="160">
        <v>1380</v>
      </c>
      <c r="H259" s="160"/>
      <c r="I259" s="160">
        <f t="shared" si="9"/>
        <v>1380</v>
      </c>
      <c r="J259" s="160">
        <f t="shared" si="10"/>
        <v>69</v>
      </c>
      <c r="K259" s="160">
        <f t="shared" si="11"/>
        <v>1449</v>
      </c>
      <c r="L259" s="13" t="s">
        <v>9</v>
      </c>
      <c r="P259">
        <v>1</v>
      </c>
    </row>
    <row r="260" spans="2:16" ht="17.25" customHeight="1" x14ac:dyDescent="0.25">
      <c r="B260" s="9" t="s">
        <v>10</v>
      </c>
      <c r="C260" s="10" t="s">
        <v>661</v>
      </c>
      <c r="D260" s="89">
        <v>45418</v>
      </c>
      <c r="E260" s="71" t="s">
        <v>16</v>
      </c>
      <c r="F260" s="9" t="s">
        <v>677</v>
      </c>
      <c r="G260" s="160">
        <v>340</v>
      </c>
      <c r="H260" s="160"/>
      <c r="I260" s="160">
        <f t="shared" si="9"/>
        <v>340</v>
      </c>
      <c r="J260" s="160">
        <f t="shared" si="10"/>
        <v>17</v>
      </c>
      <c r="K260" s="160">
        <f t="shared" si="11"/>
        <v>357</v>
      </c>
      <c r="L260" s="13" t="s">
        <v>9</v>
      </c>
      <c r="P260">
        <v>1</v>
      </c>
    </row>
    <row r="261" spans="2:16" ht="17.25" customHeight="1" x14ac:dyDescent="0.25">
      <c r="B261" s="9" t="s">
        <v>10</v>
      </c>
      <c r="C261" s="10" t="s">
        <v>662</v>
      </c>
      <c r="D261" s="89">
        <v>45418</v>
      </c>
      <c r="E261" s="71" t="s">
        <v>16</v>
      </c>
      <c r="F261" s="9" t="s">
        <v>678</v>
      </c>
      <c r="G261" s="160">
        <v>371.5</v>
      </c>
      <c r="H261" s="160"/>
      <c r="I261" s="160">
        <f t="shared" si="9"/>
        <v>371.5</v>
      </c>
      <c r="J261" s="160">
        <f t="shared" si="10"/>
        <v>18.574999999999999</v>
      </c>
      <c r="K261" s="160">
        <f t="shared" si="11"/>
        <v>390.07499999999999</v>
      </c>
      <c r="L261" s="13" t="s">
        <v>9</v>
      </c>
      <c r="P261">
        <v>1</v>
      </c>
    </row>
    <row r="262" spans="2:16" ht="17.25" customHeight="1" x14ac:dyDescent="0.25">
      <c r="B262" s="9" t="s">
        <v>10</v>
      </c>
      <c r="C262" s="10" t="s">
        <v>663</v>
      </c>
      <c r="D262" s="89">
        <v>45418</v>
      </c>
      <c r="E262" s="71" t="s">
        <v>16</v>
      </c>
      <c r="F262" s="9" t="s">
        <v>679</v>
      </c>
      <c r="G262" s="160">
        <v>2510</v>
      </c>
      <c r="H262" s="160"/>
      <c r="I262" s="160">
        <f t="shared" si="9"/>
        <v>2510</v>
      </c>
      <c r="J262" s="160">
        <f t="shared" si="10"/>
        <v>125.5</v>
      </c>
      <c r="K262" s="160">
        <f t="shared" si="11"/>
        <v>2635.5</v>
      </c>
      <c r="L262" s="13" t="s">
        <v>9</v>
      </c>
      <c r="P262">
        <v>1</v>
      </c>
    </row>
    <row r="263" spans="2:16" ht="17.25" customHeight="1" x14ac:dyDescent="0.25">
      <c r="B263" s="9" t="s">
        <v>524</v>
      </c>
      <c r="C263" s="10" t="s">
        <v>681</v>
      </c>
      <c r="D263" s="89">
        <v>45422</v>
      </c>
      <c r="E263" s="71" t="s">
        <v>697</v>
      </c>
      <c r="F263" s="9" t="s">
        <v>698</v>
      </c>
      <c r="G263" s="160">
        <v>350</v>
      </c>
      <c r="H263" s="160"/>
      <c r="I263" s="160">
        <f t="shared" si="9"/>
        <v>350</v>
      </c>
      <c r="J263" s="160">
        <f t="shared" si="10"/>
        <v>17.5</v>
      </c>
      <c r="K263" s="160">
        <f t="shared" si="11"/>
        <v>367.5</v>
      </c>
      <c r="L263" s="13" t="s">
        <v>9</v>
      </c>
      <c r="P263">
        <v>1</v>
      </c>
    </row>
    <row r="264" spans="2:16" ht="17.25" customHeight="1" x14ac:dyDescent="0.25">
      <c r="B264" s="9" t="s">
        <v>699</v>
      </c>
      <c r="C264" s="10" t="s">
        <v>682</v>
      </c>
      <c r="D264" s="89">
        <v>45422</v>
      </c>
      <c r="E264" s="71" t="s">
        <v>700</v>
      </c>
      <c r="F264" s="9" t="s">
        <v>701</v>
      </c>
      <c r="G264" s="160">
        <v>175</v>
      </c>
      <c r="H264" s="160"/>
      <c r="I264" s="160">
        <f t="shared" si="9"/>
        <v>175</v>
      </c>
      <c r="J264" s="160">
        <f t="shared" si="10"/>
        <v>8.75</v>
      </c>
      <c r="K264" s="160">
        <f t="shared" si="11"/>
        <v>183.75</v>
      </c>
      <c r="L264" s="13" t="s">
        <v>9</v>
      </c>
      <c r="P264">
        <v>1</v>
      </c>
    </row>
    <row r="265" spans="2:16" ht="17.25" customHeight="1" x14ac:dyDescent="0.25">
      <c r="B265" s="9" t="s">
        <v>29</v>
      </c>
      <c r="C265" s="10" t="s">
        <v>683</v>
      </c>
      <c r="D265" s="89">
        <v>45422</v>
      </c>
      <c r="E265" s="71" t="s">
        <v>418</v>
      </c>
      <c r="F265" s="9" t="s">
        <v>702</v>
      </c>
      <c r="G265" s="160">
        <v>1020</v>
      </c>
      <c r="H265" s="160"/>
      <c r="I265" s="160">
        <f t="shared" si="9"/>
        <v>1020</v>
      </c>
      <c r="J265" s="160">
        <f t="shared" si="10"/>
        <v>51</v>
      </c>
      <c r="K265" s="160">
        <f t="shared" si="11"/>
        <v>1071</v>
      </c>
      <c r="L265" s="13" t="s">
        <v>9</v>
      </c>
      <c r="P265">
        <v>1</v>
      </c>
    </row>
    <row r="266" spans="2:16" ht="17.25" customHeight="1" x14ac:dyDescent="0.25">
      <c r="B266" s="9" t="s">
        <v>114</v>
      </c>
      <c r="C266" s="10" t="s">
        <v>684</v>
      </c>
      <c r="D266" s="89">
        <v>45421</v>
      </c>
      <c r="E266" s="71" t="s">
        <v>115</v>
      </c>
      <c r="F266" s="9" t="s">
        <v>703</v>
      </c>
      <c r="G266" s="160">
        <v>405</v>
      </c>
      <c r="H266" s="160"/>
      <c r="I266" s="160">
        <f t="shared" si="9"/>
        <v>405</v>
      </c>
      <c r="J266" s="160">
        <f t="shared" si="10"/>
        <v>20.25</v>
      </c>
      <c r="K266" s="160">
        <f t="shared" si="11"/>
        <v>425.25</v>
      </c>
      <c r="L266" s="13" t="s">
        <v>9</v>
      </c>
      <c r="P266">
        <v>1</v>
      </c>
    </row>
    <row r="267" spans="2:16" ht="17.25" customHeight="1" x14ac:dyDescent="0.25">
      <c r="B267" s="9" t="s">
        <v>29</v>
      </c>
      <c r="C267" s="10" t="s">
        <v>685</v>
      </c>
      <c r="D267" s="89">
        <v>45421</v>
      </c>
      <c r="E267" s="71" t="s">
        <v>128</v>
      </c>
      <c r="F267" s="9" t="s">
        <v>704</v>
      </c>
      <c r="G267" s="160">
        <v>1600</v>
      </c>
      <c r="H267" s="160"/>
      <c r="I267" s="160">
        <f t="shared" si="9"/>
        <v>1600</v>
      </c>
      <c r="J267" s="160">
        <f t="shared" si="10"/>
        <v>80</v>
      </c>
      <c r="K267" s="160">
        <f t="shared" si="11"/>
        <v>1680</v>
      </c>
      <c r="L267" s="13" t="s">
        <v>9</v>
      </c>
      <c r="P267">
        <v>1</v>
      </c>
    </row>
    <row r="268" spans="2:16" ht="17.25" customHeight="1" x14ac:dyDescent="0.25">
      <c r="B268" s="9" t="s">
        <v>10</v>
      </c>
      <c r="C268" s="62" t="s">
        <v>686</v>
      </c>
      <c r="D268" s="90">
        <v>45421</v>
      </c>
      <c r="E268" s="99" t="s">
        <v>16</v>
      </c>
      <c r="F268" s="61" t="s">
        <v>870</v>
      </c>
      <c r="G268" s="161" t="s">
        <v>74</v>
      </c>
      <c r="H268" s="161" t="s">
        <v>74</v>
      </c>
      <c r="I268" s="161" t="s">
        <v>74</v>
      </c>
      <c r="J268" s="161" t="s">
        <v>74</v>
      </c>
      <c r="K268" s="161" t="s">
        <v>74</v>
      </c>
      <c r="L268" s="64" t="s">
        <v>9</v>
      </c>
      <c r="P268">
        <v>1</v>
      </c>
    </row>
    <row r="269" spans="2:16" ht="17.25" customHeight="1" x14ac:dyDescent="0.25">
      <c r="B269" s="9" t="s">
        <v>731</v>
      </c>
      <c r="C269" s="10" t="s">
        <v>705</v>
      </c>
      <c r="D269" s="89">
        <v>45423</v>
      </c>
      <c r="E269" s="70" t="s">
        <v>74</v>
      </c>
      <c r="F269" s="9" t="s">
        <v>732</v>
      </c>
      <c r="G269" s="160">
        <v>6085</v>
      </c>
      <c r="H269" s="160"/>
      <c r="I269" s="160">
        <f t="shared" si="9"/>
        <v>6085</v>
      </c>
      <c r="J269" s="160">
        <f t="shared" si="10"/>
        <v>304.25</v>
      </c>
      <c r="K269" s="160">
        <f t="shared" si="11"/>
        <v>6389.25</v>
      </c>
      <c r="L269" s="13" t="s">
        <v>9</v>
      </c>
      <c r="P269">
        <v>1</v>
      </c>
    </row>
    <row r="270" spans="2:16" ht="17.25" customHeight="1" x14ac:dyDescent="0.25">
      <c r="B270" s="9" t="s">
        <v>357</v>
      </c>
      <c r="C270" s="10" t="s">
        <v>706</v>
      </c>
      <c r="D270" s="89">
        <v>45426</v>
      </c>
      <c r="E270" s="71" t="s">
        <v>447</v>
      </c>
      <c r="F270" s="9" t="s">
        <v>598</v>
      </c>
      <c r="G270" s="160">
        <v>125</v>
      </c>
      <c r="H270" s="160"/>
      <c r="I270" s="160">
        <f t="shared" si="9"/>
        <v>125</v>
      </c>
      <c r="J270" s="160">
        <f t="shared" si="10"/>
        <v>6.25</v>
      </c>
      <c r="K270" s="160">
        <f t="shared" si="11"/>
        <v>131.25</v>
      </c>
      <c r="L270" s="13" t="s">
        <v>9</v>
      </c>
      <c r="P270">
        <v>1</v>
      </c>
    </row>
    <row r="271" spans="2:16" ht="17.25" customHeight="1" x14ac:dyDescent="0.25">
      <c r="B271" s="9" t="s">
        <v>558</v>
      </c>
      <c r="C271" s="10" t="s">
        <v>707</v>
      </c>
      <c r="D271" s="89">
        <v>45429</v>
      </c>
      <c r="E271" s="71" t="s">
        <v>559</v>
      </c>
      <c r="F271" s="9" t="s">
        <v>560</v>
      </c>
      <c r="G271" s="160">
        <v>250</v>
      </c>
      <c r="H271" s="160"/>
      <c r="I271" s="160">
        <f t="shared" si="9"/>
        <v>250</v>
      </c>
      <c r="J271" s="160">
        <f t="shared" si="10"/>
        <v>12.5</v>
      </c>
      <c r="K271" s="160">
        <f t="shared" si="11"/>
        <v>262.5</v>
      </c>
      <c r="L271" s="13" t="s">
        <v>78</v>
      </c>
      <c r="P271">
        <v>1</v>
      </c>
    </row>
    <row r="272" spans="2:16" ht="17.25" customHeight="1" x14ac:dyDescent="0.25">
      <c r="B272" s="9" t="s">
        <v>515</v>
      </c>
      <c r="C272" s="10" t="s">
        <v>708</v>
      </c>
      <c r="D272" s="89">
        <v>45427</v>
      </c>
      <c r="E272" s="71" t="s">
        <v>733</v>
      </c>
      <c r="F272" s="9" t="s">
        <v>734</v>
      </c>
      <c r="G272" s="160">
        <v>12375</v>
      </c>
      <c r="H272" s="160"/>
      <c r="I272" s="160">
        <f t="shared" si="9"/>
        <v>12375</v>
      </c>
      <c r="J272" s="160">
        <f t="shared" si="10"/>
        <v>618.75</v>
      </c>
      <c r="K272" s="160">
        <f t="shared" si="11"/>
        <v>12993.75</v>
      </c>
      <c r="L272" s="13" t="s">
        <v>78</v>
      </c>
      <c r="P272">
        <v>1</v>
      </c>
    </row>
    <row r="273" spans="2:16" ht="17.25" customHeight="1" x14ac:dyDescent="0.25">
      <c r="B273" s="9" t="s">
        <v>266</v>
      </c>
      <c r="C273" s="10" t="s">
        <v>709</v>
      </c>
      <c r="D273" s="89">
        <v>45429</v>
      </c>
      <c r="E273" s="71" t="s">
        <v>267</v>
      </c>
      <c r="F273" s="9" t="s">
        <v>735</v>
      </c>
      <c r="G273" s="160">
        <v>944</v>
      </c>
      <c r="H273" s="160"/>
      <c r="I273" s="160">
        <f t="shared" si="9"/>
        <v>944</v>
      </c>
      <c r="J273" s="160">
        <f t="shared" si="10"/>
        <v>47.2</v>
      </c>
      <c r="K273" s="160">
        <f t="shared" si="11"/>
        <v>991.2</v>
      </c>
      <c r="L273" s="13" t="s">
        <v>78</v>
      </c>
      <c r="P273">
        <v>1</v>
      </c>
    </row>
    <row r="274" spans="2:16" ht="17.25" customHeight="1" x14ac:dyDescent="0.25">
      <c r="B274" s="9" t="s">
        <v>290</v>
      </c>
      <c r="C274" s="10" t="s">
        <v>710</v>
      </c>
      <c r="D274" s="89">
        <v>45429</v>
      </c>
      <c r="E274" s="70" t="s">
        <v>74</v>
      </c>
      <c r="F274" s="9" t="s">
        <v>129</v>
      </c>
      <c r="G274" s="160">
        <v>395</v>
      </c>
      <c r="H274" s="160"/>
      <c r="I274" s="160">
        <f t="shared" si="9"/>
        <v>395</v>
      </c>
      <c r="J274" s="160">
        <f t="shared" si="10"/>
        <v>19.75</v>
      </c>
      <c r="K274" s="160">
        <f t="shared" si="11"/>
        <v>414.75</v>
      </c>
      <c r="L274" s="13" t="s">
        <v>78</v>
      </c>
      <c r="P274">
        <v>1</v>
      </c>
    </row>
    <row r="275" spans="2:16" ht="17.25" customHeight="1" x14ac:dyDescent="0.25">
      <c r="B275" s="9" t="s">
        <v>736</v>
      </c>
      <c r="C275" s="10" t="s">
        <v>711</v>
      </c>
      <c r="D275" s="89">
        <v>45429</v>
      </c>
      <c r="E275" s="70" t="s">
        <v>74</v>
      </c>
      <c r="F275" s="9" t="s">
        <v>737</v>
      </c>
      <c r="G275" s="160">
        <v>2195</v>
      </c>
      <c r="H275" s="160"/>
      <c r="I275" s="160">
        <f t="shared" si="9"/>
        <v>2195</v>
      </c>
      <c r="J275" s="160">
        <f t="shared" si="10"/>
        <v>109.75</v>
      </c>
      <c r="K275" s="160">
        <f t="shared" si="11"/>
        <v>2304.75</v>
      </c>
      <c r="L275" s="13" t="s">
        <v>78</v>
      </c>
      <c r="P275">
        <v>1</v>
      </c>
    </row>
    <row r="276" spans="2:16" ht="17.25" customHeight="1" x14ac:dyDescent="0.25">
      <c r="B276" s="9" t="s">
        <v>199</v>
      </c>
      <c r="C276" s="10" t="s">
        <v>712</v>
      </c>
      <c r="D276" s="89">
        <v>45429</v>
      </c>
      <c r="E276" s="71" t="s">
        <v>201</v>
      </c>
      <c r="F276" s="9" t="s">
        <v>738</v>
      </c>
      <c r="G276" s="160">
        <v>2726.25</v>
      </c>
      <c r="H276" s="160"/>
      <c r="I276" s="160">
        <f t="shared" si="9"/>
        <v>2726.25</v>
      </c>
      <c r="J276" s="160">
        <f t="shared" si="10"/>
        <v>136.3125</v>
      </c>
      <c r="K276" s="160">
        <f t="shared" si="11"/>
        <v>2862.5625</v>
      </c>
      <c r="L276" s="13" t="s">
        <v>78</v>
      </c>
      <c r="P276">
        <v>1</v>
      </c>
    </row>
    <row r="277" spans="2:16" ht="17.25" customHeight="1" x14ac:dyDescent="0.25">
      <c r="B277" s="9" t="s">
        <v>739</v>
      </c>
      <c r="C277" s="10" t="s">
        <v>713</v>
      </c>
      <c r="D277" s="89">
        <v>45427</v>
      </c>
      <c r="E277" s="70" t="s">
        <v>74</v>
      </c>
      <c r="F277" s="9" t="s">
        <v>740</v>
      </c>
      <c r="G277" s="160">
        <v>8385</v>
      </c>
      <c r="H277" s="160"/>
      <c r="I277" s="160">
        <f t="shared" si="9"/>
        <v>8385</v>
      </c>
      <c r="J277" s="160">
        <f t="shared" si="10"/>
        <v>419.25</v>
      </c>
      <c r="K277" s="160">
        <f t="shared" si="11"/>
        <v>8804.25</v>
      </c>
      <c r="L277" s="13" t="s">
        <v>78</v>
      </c>
      <c r="P277">
        <v>1</v>
      </c>
    </row>
    <row r="278" spans="2:16" ht="17.25" customHeight="1" x14ac:dyDescent="0.25">
      <c r="B278" s="9" t="s">
        <v>10</v>
      </c>
      <c r="C278" s="10" t="s">
        <v>714</v>
      </c>
      <c r="D278" s="89">
        <v>45425</v>
      </c>
      <c r="E278" s="71" t="s">
        <v>16</v>
      </c>
      <c r="F278" s="9" t="s">
        <v>417</v>
      </c>
      <c r="G278" s="160">
        <v>450</v>
      </c>
      <c r="H278" s="160"/>
      <c r="I278" s="160">
        <f t="shared" si="9"/>
        <v>450</v>
      </c>
      <c r="J278" s="160">
        <f t="shared" si="10"/>
        <v>22.5</v>
      </c>
      <c r="K278" s="160">
        <f t="shared" si="11"/>
        <v>472.5</v>
      </c>
      <c r="L278" s="13" t="s">
        <v>9</v>
      </c>
      <c r="P278">
        <v>1</v>
      </c>
    </row>
    <row r="279" spans="2:16" ht="17.25" customHeight="1" x14ac:dyDescent="0.25">
      <c r="B279" s="9" t="s">
        <v>10</v>
      </c>
      <c r="C279" s="10" t="s">
        <v>715</v>
      </c>
      <c r="D279" s="89">
        <v>45425</v>
      </c>
      <c r="E279" s="71" t="s">
        <v>16</v>
      </c>
      <c r="F279" s="9" t="s">
        <v>741</v>
      </c>
      <c r="G279" s="160">
        <v>875</v>
      </c>
      <c r="H279" s="160"/>
      <c r="I279" s="160">
        <f t="shared" si="9"/>
        <v>875</v>
      </c>
      <c r="J279" s="160">
        <f t="shared" si="10"/>
        <v>43.75</v>
      </c>
      <c r="K279" s="160">
        <f t="shared" si="11"/>
        <v>918.75</v>
      </c>
      <c r="L279" s="13" t="s">
        <v>9</v>
      </c>
      <c r="P279">
        <v>1</v>
      </c>
    </row>
    <row r="280" spans="2:16" ht="17.25" customHeight="1" x14ac:dyDescent="0.25">
      <c r="B280" s="9" t="s">
        <v>10</v>
      </c>
      <c r="C280" s="10" t="s">
        <v>716</v>
      </c>
      <c r="D280" s="89">
        <v>45425</v>
      </c>
      <c r="E280" s="71" t="s">
        <v>16</v>
      </c>
      <c r="F280" s="9" t="s">
        <v>742</v>
      </c>
      <c r="G280" s="160">
        <v>985</v>
      </c>
      <c r="H280" s="160"/>
      <c r="I280" s="160">
        <f t="shared" si="9"/>
        <v>985</v>
      </c>
      <c r="J280" s="160">
        <f t="shared" si="10"/>
        <v>49.25</v>
      </c>
      <c r="K280" s="160">
        <f t="shared" si="11"/>
        <v>1034.25</v>
      </c>
      <c r="L280" s="13" t="s">
        <v>9</v>
      </c>
      <c r="P280">
        <v>1</v>
      </c>
    </row>
    <row r="281" spans="2:16" ht="17.25" customHeight="1" x14ac:dyDescent="0.25">
      <c r="B281" s="9" t="s">
        <v>142</v>
      </c>
      <c r="C281" s="10" t="s">
        <v>717</v>
      </c>
      <c r="D281" s="89">
        <v>45432</v>
      </c>
      <c r="E281" s="71" t="s">
        <v>143</v>
      </c>
      <c r="F281" s="9" t="s">
        <v>743</v>
      </c>
      <c r="G281" s="160">
        <v>1266</v>
      </c>
      <c r="H281" s="160"/>
      <c r="I281" s="160">
        <f t="shared" si="9"/>
        <v>1266</v>
      </c>
      <c r="J281" s="160">
        <f t="shared" si="10"/>
        <v>63.300000000000004</v>
      </c>
      <c r="K281" s="160">
        <f t="shared" si="11"/>
        <v>1329.3</v>
      </c>
      <c r="L281" s="13" t="s">
        <v>9</v>
      </c>
      <c r="P281">
        <v>1</v>
      </c>
    </row>
    <row r="282" spans="2:16" ht="17.25" customHeight="1" x14ac:dyDescent="0.25">
      <c r="B282" s="9" t="s">
        <v>114</v>
      </c>
      <c r="C282" s="10" t="s">
        <v>718</v>
      </c>
      <c r="D282" s="89">
        <v>45427</v>
      </c>
      <c r="E282" s="71" t="s">
        <v>115</v>
      </c>
      <c r="F282" s="9" t="s">
        <v>744</v>
      </c>
      <c r="G282" s="160">
        <v>144</v>
      </c>
      <c r="H282" s="160"/>
      <c r="I282" s="160">
        <f t="shared" si="9"/>
        <v>144</v>
      </c>
      <c r="J282" s="160">
        <f t="shared" si="10"/>
        <v>7.2</v>
      </c>
      <c r="K282" s="160">
        <f t="shared" si="11"/>
        <v>151.19999999999999</v>
      </c>
      <c r="L282" s="13" t="s">
        <v>9</v>
      </c>
      <c r="P282">
        <v>1</v>
      </c>
    </row>
    <row r="283" spans="2:16" ht="17.25" customHeight="1" x14ac:dyDescent="0.25">
      <c r="B283" s="9" t="s">
        <v>29</v>
      </c>
      <c r="C283" s="10" t="s">
        <v>719</v>
      </c>
      <c r="D283" s="89">
        <v>45427</v>
      </c>
      <c r="E283" s="71" t="s">
        <v>128</v>
      </c>
      <c r="F283" s="9" t="s">
        <v>704</v>
      </c>
      <c r="G283" s="160">
        <v>1645</v>
      </c>
      <c r="H283" s="160"/>
      <c r="I283" s="160">
        <f t="shared" si="9"/>
        <v>1645</v>
      </c>
      <c r="J283" s="160">
        <f t="shared" si="10"/>
        <v>82.25</v>
      </c>
      <c r="K283" s="160">
        <f t="shared" si="11"/>
        <v>1727.25</v>
      </c>
      <c r="L283" s="13" t="s">
        <v>9</v>
      </c>
      <c r="P283">
        <v>1</v>
      </c>
    </row>
    <row r="284" spans="2:16" ht="17.25" customHeight="1" x14ac:dyDescent="0.25">
      <c r="B284" s="9" t="s">
        <v>10</v>
      </c>
      <c r="C284" s="10" t="s">
        <v>720</v>
      </c>
      <c r="D284" s="89">
        <v>45427</v>
      </c>
      <c r="E284" s="71" t="s">
        <v>16</v>
      </c>
      <c r="F284" s="9" t="s">
        <v>745</v>
      </c>
      <c r="G284" s="160">
        <v>1465.75</v>
      </c>
      <c r="H284" s="160"/>
      <c r="I284" s="160">
        <f t="shared" si="9"/>
        <v>1465.75</v>
      </c>
      <c r="J284" s="160">
        <f t="shared" si="10"/>
        <v>73.287500000000009</v>
      </c>
      <c r="K284" s="160">
        <f t="shared" si="11"/>
        <v>1539.0374999999999</v>
      </c>
      <c r="L284" s="13" t="s">
        <v>9</v>
      </c>
      <c r="P284">
        <v>1</v>
      </c>
    </row>
    <row r="285" spans="2:16" ht="17.25" customHeight="1" x14ac:dyDescent="0.25">
      <c r="B285" s="9" t="s">
        <v>731</v>
      </c>
      <c r="C285" s="10" t="s">
        <v>721</v>
      </c>
      <c r="D285" s="89">
        <v>45427</v>
      </c>
      <c r="E285" s="70" t="s">
        <v>74</v>
      </c>
      <c r="F285" s="9" t="s">
        <v>746</v>
      </c>
      <c r="G285" s="160">
        <v>4955.5</v>
      </c>
      <c r="H285" s="160"/>
      <c r="I285" s="160">
        <f t="shared" si="9"/>
        <v>4955.5</v>
      </c>
      <c r="J285" s="160">
        <f t="shared" si="10"/>
        <v>247.77500000000001</v>
      </c>
      <c r="K285" s="160">
        <f t="shared" si="11"/>
        <v>5203.2749999999996</v>
      </c>
      <c r="L285" s="13" t="s">
        <v>9</v>
      </c>
      <c r="P285">
        <v>1</v>
      </c>
    </row>
    <row r="286" spans="2:16" ht="17.25" customHeight="1" x14ac:dyDescent="0.25">
      <c r="B286" s="9" t="s">
        <v>10</v>
      </c>
      <c r="C286" s="10" t="s">
        <v>722</v>
      </c>
      <c r="D286" s="89">
        <v>45427</v>
      </c>
      <c r="E286" s="71" t="s">
        <v>16</v>
      </c>
      <c r="F286" s="9" t="s">
        <v>747</v>
      </c>
      <c r="G286" s="160">
        <v>960</v>
      </c>
      <c r="H286" s="160"/>
      <c r="I286" s="160">
        <f t="shared" si="9"/>
        <v>960</v>
      </c>
      <c r="J286" s="160">
        <f t="shared" si="10"/>
        <v>48</v>
      </c>
      <c r="K286" s="160">
        <f t="shared" si="11"/>
        <v>1008</v>
      </c>
      <c r="L286" s="13" t="s">
        <v>9</v>
      </c>
      <c r="P286">
        <v>1</v>
      </c>
    </row>
    <row r="287" spans="2:16" ht="17.25" customHeight="1" x14ac:dyDescent="0.25">
      <c r="B287" s="9" t="s">
        <v>10</v>
      </c>
      <c r="C287" s="10" t="s">
        <v>723</v>
      </c>
      <c r="D287" s="89">
        <v>45427</v>
      </c>
      <c r="E287" s="71" t="s">
        <v>16</v>
      </c>
      <c r="F287" s="9" t="s">
        <v>748</v>
      </c>
      <c r="G287" s="160">
        <v>300</v>
      </c>
      <c r="H287" s="160"/>
      <c r="I287" s="160">
        <f t="shared" si="9"/>
        <v>300</v>
      </c>
      <c r="J287" s="160">
        <f t="shared" si="10"/>
        <v>15</v>
      </c>
      <c r="K287" s="160">
        <f t="shared" si="11"/>
        <v>315</v>
      </c>
      <c r="L287" s="13" t="s">
        <v>9</v>
      </c>
      <c r="P287">
        <v>1</v>
      </c>
    </row>
    <row r="288" spans="2:16" ht="17.25" customHeight="1" x14ac:dyDescent="0.25">
      <c r="B288" s="9" t="s">
        <v>10</v>
      </c>
      <c r="C288" s="10" t="s">
        <v>724</v>
      </c>
      <c r="D288" s="89">
        <v>45427</v>
      </c>
      <c r="E288" s="71" t="s">
        <v>16</v>
      </c>
      <c r="F288" s="9" t="s">
        <v>749</v>
      </c>
      <c r="G288" s="160">
        <v>3787.5</v>
      </c>
      <c r="H288" s="160"/>
      <c r="I288" s="160">
        <f t="shared" si="9"/>
        <v>3787.5</v>
      </c>
      <c r="J288" s="160">
        <f t="shared" si="10"/>
        <v>189.375</v>
      </c>
      <c r="K288" s="160">
        <f t="shared" si="11"/>
        <v>3976.875</v>
      </c>
      <c r="L288" s="13" t="s">
        <v>9</v>
      </c>
      <c r="P288">
        <v>1</v>
      </c>
    </row>
    <row r="289" spans="2:16" ht="17.25" customHeight="1" x14ac:dyDescent="0.25">
      <c r="B289" s="9" t="s">
        <v>750</v>
      </c>
      <c r="C289" s="10" t="s">
        <v>725</v>
      </c>
      <c r="D289" s="89">
        <v>45428</v>
      </c>
      <c r="E289" s="70" t="s">
        <v>74</v>
      </c>
      <c r="F289" s="9" t="s">
        <v>751</v>
      </c>
      <c r="G289" s="160">
        <v>285.70999999999998</v>
      </c>
      <c r="H289" s="160"/>
      <c r="I289" s="160">
        <f t="shared" si="9"/>
        <v>285.70999999999998</v>
      </c>
      <c r="J289" s="160">
        <f t="shared" si="10"/>
        <v>14.285499999999999</v>
      </c>
      <c r="K289" s="160">
        <f t="shared" si="11"/>
        <v>299.99549999999999</v>
      </c>
      <c r="L289" s="13" t="s">
        <v>78</v>
      </c>
      <c r="P289">
        <v>1</v>
      </c>
    </row>
    <row r="290" spans="2:16" ht="17.25" customHeight="1" x14ac:dyDescent="0.25">
      <c r="B290" s="9" t="s">
        <v>731</v>
      </c>
      <c r="C290" s="10" t="s">
        <v>726</v>
      </c>
      <c r="D290" s="89">
        <v>45428</v>
      </c>
      <c r="E290" s="70" t="s">
        <v>74</v>
      </c>
      <c r="F290" s="9" t="s">
        <v>752</v>
      </c>
      <c r="G290" s="160">
        <v>450</v>
      </c>
      <c r="H290" s="160"/>
      <c r="I290" s="160">
        <f t="shared" si="9"/>
        <v>450</v>
      </c>
      <c r="J290" s="160">
        <f t="shared" si="10"/>
        <v>22.5</v>
      </c>
      <c r="K290" s="160">
        <f t="shared" si="11"/>
        <v>472.5</v>
      </c>
      <c r="L290" s="13" t="s">
        <v>9</v>
      </c>
      <c r="P290">
        <v>1</v>
      </c>
    </row>
    <row r="291" spans="2:16" ht="17.25" customHeight="1" x14ac:dyDescent="0.25">
      <c r="B291" s="9" t="s">
        <v>184</v>
      </c>
      <c r="C291" s="10" t="s">
        <v>727</v>
      </c>
      <c r="D291" s="89">
        <v>45429</v>
      </c>
      <c r="E291" s="71" t="s">
        <v>185</v>
      </c>
      <c r="F291" s="9" t="s">
        <v>598</v>
      </c>
      <c r="G291" s="160">
        <v>190</v>
      </c>
      <c r="H291" s="160"/>
      <c r="I291" s="160">
        <f t="shared" si="9"/>
        <v>190</v>
      </c>
      <c r="J291" s="160">
        <f t="shared" si="10"/>
        <v>9.5</v>
      </c>
      <c r="K291" s="160">
        <f t="shared" si="11"/>
        <v>199.5</v>
      </c>
      <c r="L291" s="13" t="s">
        <v>9</v>
      </c>
      <c r="P291">
        <v>1</v>
      </c>
    </row>
    <row r="292" spans="2:16" ht="17.25" customHeight="1" x14ac:dyDescent="0.25">
      <c r="B292" s="9" t="s">
        <v>29</v>
      </c>
      <c r="C292" s="10" t="s">
        <v>728</v>
      </c>
      <c r="D292" s="89">
        <v>45432</v>
      </c>
      <c r="E292" s="71" t="s">
        <v>128</v>
      </c>
      <c r="F292" s="9" t="s">
        <v>704</v>
      </c>
      <c r="G292" s="160">
        <v>1892</v>
      </c>
      <c r="H292" s="160"/>
      <c r="I292" s="160">
        <f t="shared" si="9"/>
        <v>1892</v>
      </c>
      <c r="J292" s="160">
        <f t="shared" si="10"/>
        <v>94.600000000000009</v>
      </c>
      <c r="K292" s="160">
        <f t="shared" si="11"/>
        <v>1986.6</v>
      </c>
      <c r="L292" s="13" t="s">
        <v>9</v>
      </c>
      <c r="P292">
        <v>1</v>
      </c>
    </row>
    <row r="293" spans="2:16" ht="17.25" customHeight="1" x14ac:dyDescent="0.25">
      <c r="B293" s="9" t="s">
        <v>753</v>
      </c>
      <c r="C293" s="10" t="s">
        <v>729</v>
      </c>
      <c r="D293" s="89">
        <v>45432</v>
      </c>
      <c r="E293" s="70" t="s">
        <v>74</v>
      </c>
      <c r="F293" s="9" t="s">
        <v>754</v>
      </c>
      <c r="G293" s="160">
        <v>2173.75</v>
      </c>
      <c r="H293" s="160"/>
      <c r="I293" s="160">
        <f t="shared" si="9"/>
        <v>2173.75</v>
      </c>
      <c r="J293" s="160">
        <f t="shared" si="10"/>
        <v>108.6875</v>
      </c>
      <c r="K293" s="160">
        <f t="shared" si="11"/>
        <v>2282.4375</v>
      </c>
      <c r="L293" s="13" t="s">
        <v>78</v>
      </c>
      <c r="P293">
        <v>1</v>
      </c>
    </row>
    <row r="294" spans="2:16" ht="17.25" customHeight="1" x14ac:dyDescent="0.25">
      <c r="B294" s="9" t="s">
        <v>75</v>
      </c>
      <c r="C294" s="10" t="s">
        <v>730</v>
      </c>
      <c r="D294" s="89">
        <v>45432</v>
      </c>
      <c r="E294" s="71" t="s">
        <v>76</v>
      </c>
      <c r="F294" s="9" t="s">
        <v>598</v>
      </c>
      <c r="G294" s="160">
        <v>1060</v>
      </c>
      <c r="H294" s="160"/>
      <c r="I294" s="160">
        <f t="shared" si="9"/>
        <v>1060</v>
      </c>
      <c r="J294" s="160">
        <f t="shared" si="10"/>
        <v>53</v>
      </c>
      <c r="K294" s="160">
        <f t="shared" si="11"/>
        <v>1113</v>
      </c>
      <c r="L294" s="13" t="s">
        <v>78</v>
      </c>
      <c r="P294">
        <v>1</v>
      </c>
    </row>
    <row r="295" spans="2:16" ht="17.25" customHeight="1" x14ac:dyDescent="0.25">
      <c r="B295" s="9" t="s">
        <v>203</v>
      </c>
      <c r="C295" s="10" t="s">
        <v>755</v>
      </c>
      <c r="D295" s="89">
        <v>45433</v>
      </c>
      <c r="E295" s="71" t="s">
        <v>205</v>
      </c>
      <c r="F295" s="9" t="s">
        <v>769</v>
      </c>
      <c r="G295" s="160">
        <v>3207.6</v>
      </c>
      <c r="H295" s="160"/>
      <c r="I295" s="160">
        <f t="shared" si="9"/>
        <v>3207.6</v>
      </c>
      <c r="J295" s="160">
        <f t="shared" si="10"/>
        <v>160.38</v>
      </c>
      <c r="K295" s="160">
        <f t="shared" si="11"/>
        <v>3367.98</v>
      </c>
      <c r="L295" s="13" t="s">
        <v>78</v>
      </c>
      <c r="P295">
        <v>1</v>
      </c>
    </row>
    <row r="296" spans="2:16" ht="17.25" customHeight="1" x14ac:dyDescent="0.25">
      <c r="B296" s="9" t="s">
        <v>203</v>
      </c>
      <c r="C296" s="10" t="s">
        <v>756</v>
      </c>
      <c r="D296" s="89">
        <v>45433</v>
      </c>
      <c r="E296" s="71" t="s">
        <v>205</v>
      </c>
      <c r="F296" s="9" t="s">
        <v>769</v>
      </c>
      <c r="G296" s="160">
        <v>89.1</v>
      </c>
      <c r="H296" s="160"/>
      <c r="I296" s="160">
        <f t="shared" si="9"/>
        <v>89.1</v>
      </c>
      <c r="J296" s="160">
        <f t="shared" si="10"/>
        <v>4.4550000000000001</v>
      </c>
      <c r="K296" s="160">
        <f t="shared" si="11"/>
        <v>93.554999999999993</v>
      </c>
      <c r="L296" s="13" t="s">
        <v>78</v>
      </c>
      <c r="P296">
        <v>1</v>
      </c>
    </row>
    <row r="297" spans="2:16" ht="17.25" customHeight="1" x14ac:dyDescent="0.25">
      <c r="B297" s="9" t="s">
        <v>770</v>
      </c>
      <c r="C297" s="10" t="s">
        <v>757</v>
      </c>
      <c r="D297" s="89">
        <v>45432</v>
      </c>
      <c r="E297" s="70" t="s">
        <v>74</v>
      </c>
      <c r="F297" s="9" t="s">
        <v>771</v>
      </c>
      <c r="G297" s="160">
        <v>1183</v>
      </c>
      <c r="H297" s="160"/>
      <c r="I297" s="160">
        <f t="shared" si="9"/>
        <v>1183</v>
      </c>
      <c r="J297" s="160">
        <f t="shared" si="10"/>
        <v>59.150000000000006</v>
      </c>
      <c r="K297" s="160">
        <f t="shared" si="11"/>
        <v>1242.1500000000001</v>
      </c>
      <c r="L297" s="13" t="s">
        <v>9</v>
      </c>
      <c r="P297">
        <v>1</v>
      </c>
    </row>
    <row r="298" spans="2:16" s="133" customFormat="1" ht="17.25" customHeight="1" x14ac:dyDescent="0.25">
      <c r="B298" s="76" t="s">
        <v>114</v>
      </c>
      <c r="C298" s="77" t="s">
        <v>758</v>
      </c>
      <c r="D298" s="134">
        <v>45432</v>
      </c>
      <c r="E298" s="135"/>
      <c r="F298" s="76" t="s">
        <v>821</v>
      </c>
      <c r="G298" s="166"/>
      <c r="H298" s="166"/>
      <c r="I298" s="166">
        <f t="shared" si="9"/>
        <v>0</v>
      </c>
      <c r="J298" s="166">
        <f t="shared" si="10"/>
        <v>0</v>
      </c>
      <c r="K298" s="166">
        <f t="shared" si="11"/>
        <v>0</v>
      </c>
      <c r="L298" s="78" t="s">
        <v>9</v>
      </c>
      <c r="P298" s="133">
        <v>1</v>
      </c>
    </row>
    <row r="299" spans="2:16" ht="17.25" customHeight="1" x14ac:dyDescent="0.25">
      <c r="B299" s="9" t="s">
        <v>114</v>
      </c>
      <c r="C299" s="10" t="s">
        <v>759</v>
      </c>
      <c r="D299" s="89">
        <v>45432</v>
      </c>
      <c r="E299" s="71" t="s">
        <v>115</v>
      </c>
      <c r="F299" s="9" t="s">
        <v>129</v>
      </c>
      <c r="G299" s="160">
        <v>1190</v>
      </c>
      <c r="H299" s="160"/>
      <c r="I299" s="160">
        <f t="shared" si="9"/>
        <v>1190</v>
      </c>
      <c r="J299" s="160">
        <f t="shared" si="10"/>
        <v>59.5</v>
      </c>
      <c r="K299" s="160">
        <f t="shared" si="11"/>
        <v>1249.5</v>
      </c>
      <c r="L299" s="13" t="s">
        <v>9</v>
      </c>
      <c r="P299">
        <v>1</v>
      </c>
    </row>
    <row r="300" spans="2:16" ht="17.25" customHeight="1" x14ac:dyDescent="0.25">
      <c r="B300" s="9" t="s">
        <v>114</v>
      </c>
      <c r="C300" s="10" t="s">
        <v>760</v>
      </c>
      <c r="D300" s="89">
        <v>45432</v>
      </c>
      <c r="E300" s="71" t="s">
        <v>115</v>
      </c>
      <c r="F300" s="9" t="s">
        <v>598</v>
      </c>
      <c r="G300" s="160">
        <v>470</v>
      </c>
      <c r="H300" s="160"/>
      <c r="I300" s="160">
        <f t="shared" si="9"/>
        <v>470</v>
      </c>
      <c r="J300" s="160">
        <f t="shared" si="10"/>
        <v>23.5</v>
      </c>
      <c r="K300" s="160">
        <f t="shared" si="11"/>
        <v>493.5</v>
      </c>
      <c r="L300" s="13" t="s">
        <v>9</v>
      </c>
      <c r="P300">
        <v>1</v>
      </c>
    </row>
    <row r="301" spans="2:16" ht="17.25" customHeight="1" x14ac:dyDescent="0.25">
      <c r="B301" s="9" t="s">
        <v>122</v>
      </c>
      <c r="C301" s="10" t="s">
        <v>761</v>
      </c>
      <c r="D301" s="89">
        <v>45433</v>
      </c>
      <c r="E301" s="70" t="s">
        <v>74</v>
      </c>
      <c r="F301" s="9" t="s">
        <v>772</v>
      </c>
      <c r="G301" s="160">
        <v>975</v>
      </c>
      <c r="H301" s="160"/>
      <c r="I301" s="160">
        <f t="shared" si="9"/>
        <v>975</v>
      </c>
      <c r="J301" s="160">
        <f t="shared" si="10"/>
        <v>48.75</v>
      </c>
      <c r="K301" s="160">
        <f t="shared" si="11"/>
        <v>1023.75</v>
      </c>
      <c r="L301" s="13" t="s">
        <v>9</v>
      </c>
      <c r="P301">
        <v>1</v>
      </c>
    </row>
    <row r="302" spans="2:16" ht="17.25" customHeight="1" x14ac:dyDescent="0.25">
      <c r="B302" s="9" t="s">
        <v>29</v>
      </c>
      <c r="C302" s="10" t="s">
        <v>762</v>
      </c>
      <c r="D302" s="89">
        <v>45433</v>
      </c>
      <c r="E302" s="71" t="s">
        <v>128</v>
      </c>
      <c r="F302" s="9" t="s">
        <v>225</v>
      </c>
      <c r="G302" s="160">
        <v>275</v>
      </c>
      <c r="H302" s="160"/>
      <c r="I302" s="160">
        <f t="shared" si="9"/>
        <v>275</v>
      </c>
      <c r="J302" s="160">
        <f t="shared" si="10"/>
        <v>13.75</v>
      </c>
      <c r="K302" s="160">
        <f t="shared" si="11"/>
        <v>288.75</v>
      </c>
      <c r="L302" s="13" t="s">
        <v>9</v>
      </c>
      <c r="P302">
        <v>1</v>
      </c>
    </row>
    <row r="303" spans="2:16" ht="17.25" customHeight="1" x14ac:dyDescent="0.25">
      <c r="B303" s="9" t="s">
        <v>10</v>
      </c>
      <c r="C303" s="10" t="s">
        <v>763</v>
      </c>
      <c r="D303" s="89">
        <v>45430</v>
      </c>
      <c r="E303" s="71" t="s">
        <v>16</v>
      </c>
      <c r="F303" s="9" t="s">
        <v>796</v>
      </c>
      <c r="G303" s="160">
        <v>875</v>
      </c>
      <c r="H303" s="160"/>
      <c r="I303" s="160">
        <f t="shared" si="9"/>
        <v>875</v>
      </c>
      <c r="J303" s="160">
        <f t="shared" si="10"/>
        <v>43.75</v>
      </c>
      <c r="K303" s="160">
        <f t="shared" si="11"/>
        <v>918.75</v>
      </c>
      <c r="L303" s="13" t="s">
        <v>9</v>
      </c>
      <c r="P303">
        <v>1</v>
      </c>
    </row>
    <row r="304" spans="2:16" ht="17.25" customHeight="1" x14ac:dyDescent="0.25">
      <c r="B304" s="9" t="s">
        <v>10</v>
      </c>
      <c r="C304" s="10" t="s">
        <v>764</v>
      </c>
      <c r="D304" s="89">
        <v>45433</v>
      </c>
      <c r="E304" s="71" t="s">
        <v>16</v>
      </c>
      <c r="F304" s="9" t="s">
        <v>797</v>
      </c>
      <c r="G304" s="160">
        <v>105</v>
      </c>
      <c r="H304" s="160"/>
      <c r="I304" s="160">
        <f t="shared" si="9"/>
        <v>105</v>
      </c>
      <c r="J304" s="160">
        <f t="shared" si="10"/>
        <v>5.25</v>
      </c>
      <c r="K304" s="160">
        <f t="shared" si="11"/>
        <v>110.25</v>
      </c>
      <c r="L304" s="13" t="s">
        <v>9</v>
      </c>
      <c r="P304">
        <v>1</v>
      </c>
    </row>
    <row r="305" spans="2:16" ht="17.25" customHeight="1" x14ac:dyDescent="0.25">
      <c r="B305" s="9" t="s">
        <v>10</v>
      </c>
      <c r="C305" s="10" t="s">
        <v>765</v>
      </c>
      <c r="D305" s="89">
        <v>45433</v>
      </c>
      <c r="E305" s="71" t="s">
        <v>16</v>
      </c>
      <c r="F305" s="9" t="s">
        <v>798</v>
      </c>
      <c r="G305" s="160">
        <v>540</v>
      </c>
      <c r="H305" s="160"/>
      <c r="I305" s="160">
        <f t="shared" si="9"/>
        <v>540</v>
      </c>
      <c r="J305" s="160">
        <f t="shared" si="10"/>
        <v>27</v>
      </c>
      <c r="K305" s="160">
        <f t="shared" si="11"/>
        <v>567</v>
      </c>
      <c r="L305" s="13" t="s">
        <v>9</v>
      </c>
      <c r="P305">
        <v>1</v>
      </c>
    </row>
    <row r="306" spans="2:16" ht="17.25" customHeight="1" x14ac:dyDescent="0.25">
      <c r="B306" s="9" t="s">
        <v>100</v>
      </c>
      <c r="C306" s="10" t="s">
        <v>766</v>
      </c>
      <c r="D306" s="89">
        <v>45433</v>
      </c>
      <c r="E306" s="70" t="s">
        <v>74</v>
      </c>
      <c r="F306" s="9" t="s">
        <v>598</v>
      </c>
      <c r="G306" s="160">
        <v>1145</v>
      </c>
      <c r="H306" s="160"/>
      <c r="I306" s="160">
        <f t="shared" si="9"/>
        <v>1145</v>
      </c>
      <c r="J306" s="160">
        <f t="shared" si="10"/>
        <v>57.25</v>
      </c>
      <c r="K306" s="160">
        <f t="shared" si="11"/>
        <v>1202.25</v>
      </c>
      <c r="L306" s="13" t="s">
        <v>9</v>
      </c>
      <c r="P306">
        <v>1</v>
      </c>
    </row>
    <row r="307" spans="2:16" ht="17.25" customHeight="1" x14ac:dyDescent="0.25">
      <c r="B307" s="9" t="s">
        <v>94</v>
      </c>
      <c r="C307" s="10" t="s">
        <v>767</v>
      </c>
      <c r="D307" s="89">
        <v>45435</v>
      </c>
      <c r="E307" s="71" t="s">
        <v>96</v>
      </c>
      <c r="F307" s="9" t="s">
        <v>598</v>
      </c>
      <c r="G307" s="160">
        <v>440</v>
      </c>
      <c r="H307" s="160"/>
      <c r="I307" s="160">
        <f t="shared" si="9"/>
        <v>440</v>
      </c>
      <c r="J307" s="160">
        <f t="shared" si="10"/>
        <v>22</v>
      </c>
      <c r="K307" s="160">
        <f t="shared" si="11"/>
        <v>462</v>
      </c>
      <c r="L307" s="13" t="s">
        <v>78</v>
      </c>
      <c r="P307">
        <v>1</v>
      </c>
    </row>
    <row r="308" spans="2:16" ht="17.25" customHeight="1" x14ac:dyDescent="0.25">
      <c r="B308" s="9" t="s">
        <v>203</v>
      </c>
      <c r="C308" s="10" t="s">
        <v>768</v>
      </c>
      <c r="D308" s="89">
        <v>45439</v>
      </c>
      <c r="E308" s="71" t="s">
        <v>205</v>
      </c>
      <c r="F308" s="9" t="s">
        <v>769</v>
      </c>
      <c r="G308" s="160">
        <v>178.2</v>
      </c>
      <c r="H308" s="160"/>
      <c r="I308" s="160">
        <f t="shared" si="9"/>
        <v>178.2</v>
      </c>
      <c r="J308" s="160">
        <f t="shared" si="10"/>
        <v>8.91</v>
      </c>
      <c r="K308" s="160">
        <f t="shared" si="11"/>
        <v>187.10999999999999</v>
      </c>
      <c r="L308" s="13" t="s">
        <v>78</v>
      </c>
      <c r="P308">
        <v>1</v>
      </c>
    </row>
    <row r="309" spans="2:16" ht="17.25" customHeight="1" x14ac:dyDescent="0.25">
      <c r="B309" s="9" t="s">
        <v>29</v>
      </c>
      <c r="C309" s="10" t="s">
        <v>773</v>
      </c>
      <c r="D309" s="89">
        <v>45439</v>
      </c>
      <c r="E309" s="71" t="s">
        <v>128</v>
      </c>
      <c r="F309" s="9" t="s">
        <v>799</v>
      </c>
      <c r="G309" s="160">
        <v>5242.5</v>
      </c>
      <c r="H309" s="160"/>
      <c r="I309" s="160">
        <f t="shared" si="9"/>
        <v>5242.5</v>
      </c>
      <c r="J309" s="160">
        <f t="shared" si="10"/>
        <v>262.125</v>
      </c>
      <c r="K309" s="160">
        <f t="shared" si="11"/>
        <v>5504.625</v>
      </c>
      <c r="L309" s="13" t="s">
        <v>9</v>
      </c>
      <c r="P309">
        <v>1</v>
      </c>
    </row>
    <row r="310" spans="2:16" ht="17.25" customHeight="1" x14ac:dyDescent="0.25">
      <c r="B310" s="9" t="s">
        <v>114</v>
      </c>
      <c r="C310" s="10" t="s">
        <v>774</v>
      </c>
      <c r="D310" s="89">
        <v>45439</v>
      </c>
      <c r="E310" s="71" t="s">
        <v>115</v>
      </c>
      <c r="F310" s="9" t="s">
        <v>134</v>
      </c>
      <c r="G310" s="160">
        <v>2250</v>
      </c>
      <c r="H310" s="160"/>
      <c r="I310" s="160">
        <f t="shared" si="9"/>
        <v>2250</v>
      </c>
      <c r="J310" s="160">
        <f t="shared" si="10"/>
        <v>112.5</v>
      </c>
      <c r="K310" s="160">
        <f t="shared" si="11"/>
        <v>2362.5</v>
      </c>
      <c r="L310" s="13" t="s">
        <v>9</v>
      </c>
      <c r="P310">
        <v>1</v>
      </c>
    </row>
    <row r="311" spans="2:16" ht="17.25" customHeight="1" x14ac:dyDescent="0.25">
      <c r="B311" s="9" t="s">
        <v>26</v>
      </c>
      <c r="C311" s="10" t="s">
        <v>775</v>
      </c>
      <c r="D311" s="89">
        <v>45439</v>
      </c>
      <c r="E311" s="71" t="s">
        <v>21</v>
      </c>
      <c r="F311" s="9" t="s">
        <v>225</v>
      </c>
      <c r="G311" s="160">
        <v>450</v>
      </c>
      <c r="H311" s="160"/>
      <c r="I311" s="160">
        <f t="shared" si="9"/>
        <v>450</v>
      </c>
      <c r="J311" s="160">
        <f t="shared" si="10"/>
        <v>22.5</v>
      </c>
      <c r="K311" s="160">
        <f t="shared" si="11"/>
        <v>472.5</v>
      </c>
      <c r="L311" s="13" t="s">
        <v>9</v>
      </c>
      <c r="P311">
        <v>1</v>
      </c>
    </row>
    <row r="312" spans="2:16" ht="17.25" customHeight="1" x14ac:dyDescent="0.25">
      <c r="B312" s="9" t="s">
        <v>102</v>
      </c>
      <c r="C312" s="10" t="s">
        <v>776</v>
      </c>
      <c r="D312" s="89">
        <v>45435</v>
      </c>
      <c r="E312" s="71" t="s">
        <v>104</v>
      </c>
      <c r="F312" s="9" t="s">
        <v>800</v>
      </c>
      <c r="G312" s="160">
        <v>1060</v>
      </c>
      <c r="H312" s="160"/>
      <c r="I312" s="160">
        <f t="shared" si="9"/>
        <v>1060</v>
      </c>
      <c r="J312" s="160">
        <f t="shared" si="10"/>
        <v>53</v>
      </c>
      <c r="K312" s="160">
        <f t="shared" si="11"/>
        <v>1113</v>
      </c>
      <c r="L312" s="13" t="s">
        <v>9</v>
      </c>
      <c r="P312">
        <v>1</v>
      </c>
    </row>
    <row r="313" spans="2:16" ht="17.25" customHeight="1" x14ac:dyDescent="0.25">
      <c r="B313" s="9" t="s">
        <v>10</v>
      </c>
      <c r="C313" s="10" t="s">
        <v>777</v>
      </c>
      <c r="D313" s="89">
        <v>45437</v>
      </c>
      <c r="E313" s="71" t="s">
        <v>16</v>
      </c>
      <c r="F313" s="9" t="s">
        <v>801</v>
      </c>
      <c r="G313" s="160">
        <v>666.25</v>
      </c>
      <c r="H313" s="160"/>
      <c r="I313" s="160">
        <f t="shared" si="9"/>
        <v>666.25</v>
      </c>
      <c r="J313" s="160">
        <f t="shared" si="10"/>
        <v>33.3125</v>
      </c>
      <c r="K313" s="160">
        <f t="shared" si="11"/>
        <v>699.5625</v>
      </c>
      <c r="L313" s="13" t="s">
        <v>9</v>
      </c>
      <c r="P313">
        <v>1</v>
      </c>
    </row>
    <row r="314" spans="2:16" ht="17.25" customHeight="1" x14ac:dyDescent="0.25">
      <c r="B314" s="9" t="s">
        <v>10</v>
      </c>
      <c r="C314" s="10" t="s">
        <v>778</v>
      </c>
      <c r="D314" s="89">
        <v>45437</v>
      </c>
      <c r="E314" s="71" t="s">
        <v>16</v>
      </c>
      <c r="F314" s="9" t="s">
        <v>802</v>
      </c>
      <c r="G314" s="160">
        <v>550</v>
      </c>
      <c r="H314" s="160"/>
      <c r="I314" s="160">
        <f t="shared" si="9"/>
        <v>550</v>
      </c>
      <c r="J314" s="160">
        <f t="shared" si="10"/>
        <v>27.5</v>
      </c>
      <c r="K314" s="160">
        <f t="shared" si="11"/>
        <v>577.5</v>
      </c>
      <c r="L314" s="13" t="s">
        <v>9</v>
      </c>
      <c r="P314">
        <v>1</v>
      </c>
    </row>
    <row r="315" spans="2:16" ht="17.25" customHeight="1" x14ac:dyDescent="0.25">
      <c r="B315" s="9" t="s">
        <v>535</v>
      </c>
      <c r="C315" s="10" t="s">
        <v>779</v>
      </c>
      <c r="D315" s="89">
        <v>45439</v>
      </c>
      <c r="E315" s="71" t="s">
        <v>561</v>
      </c>
      <c r="F315" s="9" t="s">
        <v>803</v>
      </c>
      <c r="G315" s="160">
        <v>1240</v>
      </c>
      <c r="H315" s="160"/>
      <c r="I315" s="160">
        <f t="shared" si="9"/>
        <v>1240</v>
      </c>
      <c r="J315" s="160">
        <f t="shared" si="10"/>
        <v>62</v>
      </c>
      <c r="K315" s="160">
        <f t="shared" si="11"/>
        <v>1302</v>
      </c>
      <c r="L315" s="13" t="s">
        <v>78</v>
      </c>
      <c r="P315">
        <v>1</v>
      </c>
    </row>
    <row r="316" spans="2:16" ht="17.25" customHeight="1" x14ac:dyDescent="0.25">
      <c r="B316" s="9" t="s">
        <v>43</v>
      </c>
      <c r="C316" s="10" t="s">
        <v>780</v>
      </c>
      <c r="D316" s="89">
        <v>45440</v>
      </c>
      <c r="E316" s="71" t="s">
        <v>30</v>
      </c>
      <c r="F316" s="9" t="s">
        <v>804</v>
      </c>
      <c r="G316" s="160">
        <v>869</v>
      </c>
      <c r="H316" s="160"/>
      <c r="I316" s="160">
        <f t="shared" si="9"/>
        <v>869</v>
      </c>
      <c r="J316" s="160">
        <f t="shared" si="10"/>
        <v>43.45</v>
      </c>
      <c r="K316" s="160">
        <f t="shared" si="11"/>
        <v>912.45</v>
      </c>
      <c r="L316" s="13" t="s">
        <v>9</v>
      </c>
      <c r="P316">
        <v>1</v>
      </c>
    </row>
    <row r="317" spans="2:16" ht="17.25" customHeight="1" x14ac:dyDescent="0.25">
      <c r="B317" s="9" t="s">
        <v>357</v>
      </c>
      <c r="C317" s="10" t="s">
        <v>781</v>
      </c>
      <c r="D317" s="89">
        <v>45440</v>
      </c>
      <c r="E317" s="71" t="s">
        <v>805</v>
      </c>
      <c r="F317" s="9" t="s">
        <v>95</v>
      </c>
      <c r="G317" s="160">
        <v>295</v>
      </c>
      <c r="H317" s="160"/>
      <c r="I317" s="160">
        <f t="shared" si="9"/>
        <v>295</v>
      </c>
      <c r="J317" s="160">
        <f t="shared" si="10"/>
        <v>14.75</v>
      </c>
      <c r="K317" s="160">
        <f t="shared" si="11"/>
        <v>309.75</v>
      </c>
      <c r="L317" s="13" t="s">
        <v>9</v>
      </c>
      <c r="P317">
        <v>1</v>
      </c>
    </row>
    <row r="318" spans="2:16" ht="17.25" customHeight="1" x14ac:dyDescent="0.25">
      <c r="B318" s="9" t="s">
        <v>10</v>
      </c>
      <c r="C318" s="10" t="s">
        <v>782</v>
      </c>
      <c r="D318" s="89">
        <v>45441</v>
      </c>
      <c r="E318" s="71" t="s">
        <v>16</v>
      </c>
      <c r="F318" s="9" t="s">
        <v>806</v>
      </c>
      <c r="G318" s="160">
        <v>685.02</v>
      </c>
      <c r="H318" s="160"/>
      <c r="I318" s="160">
        <f t="shared" si="9"/>
        <v>685.02</v>
      </c>
      <c r="J318" s="160">
        <f t="shared" si="10"/>
        <v>34.250999999999998</v>
      </c>
      <c r="K318" s="160">
        <f t="shared" si="11"/>
        <v>719.27099999999996</v>
      </c>
      <c r="L318" s="13" t="s">
        <v>9</v>
      </c>
      <c r="P318">
        <v>1</v>
      </c>
    </row>
    <row r="319" spans="2:16" ht="17.25" customHeight="1" x14ac:dyDescent="0.25">
      <c r="B319" s="9" t="s">
        <v>102</v>
      </c>
      <c r="C319" s="10" t="s">
        <v>783</v>
      </c>
      <c r="D319" s="89">
        <v>45439</v>
      </c>
      <c r="E319" s="71" t="s">
        <v>104</v>
      </c>
      <c r="F319" s="9" t="s">
        <v>807</v>
      </c>
      <c r="G319" s="160">
        <v>2507</v>
      </c>
      <c r="H319" s="160"/>
      <c r="I319" s="160">
        <f t="shared" si="9"/>
        <v>2507</v>
      </c>
      <c r="J319" s="160">
        <f t="shared" si="10"/>
        <v>125.35000000000001</v>
      </c>
      <c r="K319" s="160">
        <f t="shared" si="11"/>
        <v>2632.35</v>
      </c>
      <c r="L319" s="13" t="s">
        <v>9</v>
      </c>
      <c r="P319">
        <v>1</v>
      </c>
    </row>
    <row r="320" spans="2:16" ht="17.25" customHeight="1" x14ac:dyDescent="0.25">
      <c r="B320" s="9" t="s">
        <v>102</v>
      </c>
      <c r="C320" s="10" t="s">
        <v>784</v>
      </c>
      <c r="D320" s="89">
        <v>45439</v>
      </c>
      <c r="E320" s="71" t="s">
        <v>104</v>
      </c>
      <c r="F320" s="9" t="s">
        <v>808</v>
      </c>
      <c r="G320" s="160">
        <v>5685</v>
      </c>
      <c r="H320" s="160"/>
      <c r="I320" s="160">
        <f t="shared" si="9"/>
        <v>5685</v>
      </c>
      <c r="J320" s="160">
        <f t="shared" si="10"/>
        <v>284.25</v>
      </c>
      <c r="K320" s="160">
        <f t="shared" si="11"/>
        <v>5969.25</v>
      </c>
      <c r="L320" s="13" t="s">
        <v>9</v>
      </c>
      <c r="P320">
        <v>1</v>
      </c>
    </row>
    <row r="321" spans="2:16" ht="17.25" customHeight="1" x14ac:dyDescent="0.25">
      <c r="B321" s="9" t="s">
        <v>102</v>
      </c>
      <c r="C321" s="10" t="s">
        <v>785</v>
      </c>
      <c r="D321" s="89">
        <v>45440</v>
      </c>
      <c r="E321" s="71" t="s">
        <v>104</v>
      </c>
      <c r="F321" s="9" t="s">
        <v>809</v>
      </c>
      <c r="G321" s="160">
        <v>590</v>
      </c>
      <c r="H321" s="160"/>
      <c r="I321" s="160">
        <f t="shared" si="9"/>
        <v>590</v>
      </c>
      <c r="J321" s="160">
        <f t="shared" si="10"/>
        <v>29.5</v>
      </c>
      <c r="K321" s="160">
        <f t="shared" si="11"/>
        <v>619.5</v>
      </c>
      <c r="L321" s="13" t="s">
        <v>9</v>
      </c>
      <c r="P321">
        <v>1</v>
      </c>
    </row>
    <row r="322" spans="2:16" ht="17.25" customHeight="1" x14ac:dyDescent="0.25">
      <c r="B322" s="9" t="s">
        <v>102</v>
      </c>
      <c r="C322" s="10" t="s">
        <v>786</v>
      </c>
      <c r="D322" s="89">
        <v>45439</v>
      </c>
      <c r="E322" s="71" t="s">
        <v>104</v>
      </c>
      <c r="F322" s="9" t="s">
        <v>810</v>
      </c>
      <c r="G322" s="160">
        <v>284.92</v>
      </c>
      <c r="H322" s="160"/>
      <c r="I322" s="160">
        <f t="shared" si="9"/>
        <v>284.92</v>
      </c>
      <c r="J322" s="160">
        <f t="shared" si="10"/>
        <v>14.246000000000002</v>
      </c>
      <c r="K322" s="160">
        <f t="shared" si="11"/>
        <v>299.166</v>
      </c>
      <c r="L322" s="13" t="s">
        <v>9</v>
      </c>
      <c r="P322">
        <v>1</v>
      </c>
    </row>
    <row r="323" spans="2:16" ht="17.25" customHeight="1" x14ac:dyDescent="0.25">
      <c r="B323" s="9" t="s">
        <v>628</v>
      </c>
      <c r="C323" s="10" t="s">
        <v>787</v>
      </c>
      <c r="D323" s="89">
        <v>45441</v>
      </c>
      <c r="E323" s="71" t="s">
        <v>629</v>
      </c>
      <c r="F323" s="9" t="s">
        <v>630</v>
      </c>
      <c r="G323" s="160">
        <v>195</v>
      </c>
      <c r="H323" s="160"/>
      <c r="I323" s="160">
        <f t="shared" si="9"/>
        <v>195</v>
      </c>
      <c r="J323" s="160">
        <f t="shared" si="10"/>
        <v>9.75</v>
      </c>
      <c r="K323" s="160">
        <f t="shared" si="11"/>
        <v>204.75</v>
      </c>
      <c r="L323" s="13" t="s">
        <v>9</v>
      </c>
      <c r="P323">
        <v>1</v>
      </c>
    </row>
    <row r="324" spans="2:16" ht="17.25" customHeight="1" x14ac:dyDescent="0.25">
      <c r="B324" s="9" t="s">
        <v>29</v>
      </c>
      <c r="C324" s="10" t="s">
        <v>788</v>
      </c>
      <c r="D324" s="89">
        <v>45441</v>
      </c>
      <c r="E324" s="71" t="s">
        <v>128</v>
      </c>
      <c r="F324" s="9" t="s">
        <v>225</v>
      </c>
      <c r="G324" s="160">
        <v>275</v>
      </c>
      <c r="H324" s="160"/>
      <c r="I324" s="160">
        <f t="shared" si="9"/>
        <v>275</v>
      </c>
      <c r="J324" s="160">
        <f t="shared" si="10"/>
        <v>13.75</v>
      </c>
      <c r="K324" s="160">
        <f t="shared" si="11"/>
        <v>288.75</v>
      </c>
      <c r="L324" s="13" t="s">
        <v>9</v>
      </c>
      <c r="P324">
        <v>1</v>
      </c>
    </row>
    <row r="325" spans="2:16" ht="17.25" customHeight="1" x14ac:dyDescent="0.25">
      <c r="B325" s="9" t="s">
        <v>10</v>
      </c>
      <c r="C325" s="10" t="s">
        <v>789</v>
      </c>
      <c r="D325" s="89">
        <v>45442</v>
      </c>
      <c r="E325" s="71" t="s">
        <v>16</v>
      </c>
      <c r="F325" s="9" t="s">
        <v>510</v>
      </c>
      <c r="G325" s="160">
        <v>420</v>
      </c>
      <c r="H325" s="160"/>
      <c r="I325" s="160">
        <f t="shared" si="9"/>
        <v>420</v>
      </c>
      <c r="J325" s="160">
        <f t="shared" si="10"/>
        <v>21</v>
      </c>
      <c r="K325" s="160">
        <f t="shared" si="11"/>
        <v>441</v>
      </c>
      <c r="L325" s="13" t="s">
        <v>9</v>
      </c>
      <c r="P325">
        <v>1</v>
      </c>
    </row>
    <row r="326" spans="2:16" ht="17.25" customHeight="1" x14ac:dyDescent="0.25">
      <c r="B326" s="9" t="s">
        <v>10</v>
      </c>
      <c r="C326" s="10" t="s">
        <v>790</v>
      </c>
      <c r="D326" s="89">
        <v>45442</v>
      </c>
      <c r="E326" s="71" t="s">
        <v>16</v>
      </c>
      <c r="F326" s="9" t="s">
        <v>811</v>
      </c>
      <c r="G326" s="160">
        <v>350</v>
      </c>
      <c r="H326" s="160"/>
      <c r="I326" s="160">
        <f t="shared" si="9"/>
        <v>350</v>
      </c>
      <c r="J326" s="160">
        <f t="shared" si="10"/>
        <v>17.5</v>
      </c>
      <c r="K326" s="160">
        <f t="shared" si="11"/>
        <v>367.5</v>
      </c>
      <c r="L326" s="13" t="s">
        <v>9</v>
      </c>
      <c r="P326">
        <v>1</v>
      </c>
    </row>
    <row r="327" spans="2:16" ht="17.25" customHeight="1" x14ac:dyDescent="0.25">
      <c r="B327" s="9" t="s">
        <v>97</v>
      </c>
      <c r="C327" s="10" t="s">
        <v>791</v>
      </c>
      <c r="D327" s="89">
        <v>45443</v>
      </c>
      <c r="E327" s="71" t="s">
        <v>98</v>
      </c>
      <c r="F327" s="9" t="s">
        <v>812</v>
      </c>
      <c r="G327" s="160">
        <v>1612.5</v>
      </c>
      <c r="H327" s="160"/>
      <c r="I327" s="160">
        <f t="shared" si="9"/>
        <v>1612.5</v>
      </c>
      <c r="J327" s="160">
        <f t="shared" si="10"/>
        <v>80.625</v>
      </c>
      <c r="K327" s="160">
        <f t="shared" si="11"/>
        <v>1693.125</v>
      </c>
      <c r="L327" s="13" t="s">
        <v>78</v>
      </c>
      <c r="P327">
        <v>1</v>
      </c>
    </row>
    <row r="328" spans="2:16" ht="17.25" customHeight="1" x14ac:dyDescent="0.25">
      <c r="B328" s="9" t="s">
        <v>49</v>
      </c>
      <c r="C328" s="10" t="s">
        <v>792</v>
      </c>
      <c r="D328" s="89">
        <v>45442</v>
      </c>
      <c r="E328" s="71" t="s">
        <v>50</v>
      </c>
      <c r="F328" s="9" t="s">
        <v>598</v>
      </c>
      <c r="G328" s="160">
        <v>217.5</v>
      </c>
      <c r="H328" s="160"/>
      <c r="I328" s="160">
        <f t="shared" si="9"/>
        <v>217.5</v>
      </c>
      <c r="J328" s="160">
        <f t="shared" si="10"/>
        <v>10.875</v>
      </c>
      <c r="K328" s="160">
        <f t="shared" si="11"/>
        <v>228.375</v>
      </c>
      <c r="L328" s="13" t="s">
        <v>9</v>
      </c>
      <c r="P328">
        <v>1</v>
      </c>
    </row>
    <row r="329" spans="2:16" ht="17.25" customHeight="1" x14ac:dyDescent="0.25">
      <c r="B329" s="9" t="s">
        <v>236</v>
      </c>
      <c r="C329" s="10" t="s">
        <v>793</v>
      </c>
      <c r="D329" s="89">
        <v>45442</v>
      </c>
      <c r="E329" s="71" t="s">
        <v>237</v>
      </c>
      <c r="F329" s="9" t="s">
        <v>813</v>
      </c>
      <c r="G329" s="160">
        <v>210</v>
      </c>
      <c r="H329" s="160"/>
      <c r="I329" s="160">
        <f t="shared" si="9"/>
        <v>210</v>
      </c>
      <c r="J329" s="160">
        <f t="shared" si="10"/>
        <v>10.5</v>
      </c>
      <c r="K329" s="160">
        <f t="shared" si="11"/>
        <v>220.5</v>
      </c>
      <c r="L329" s="13" t="s">
        <v>9</v>
      </c>
      <c r="P329">
        <v>1</v>
      </c>
    </row>
    <row r="330" spans="2:16" ht="17.25" customHeight="1" x14ac:dyDescent="0.25">
      <c r="B330" s="9" t="s">
        <v>236</v>
      </c>
      <c r="C330" s="10" t="s">
        <v>794</v>
      </c>
      <c r="D330" s="89">
        <v>45442</v>
      </c>
      <c r="E330" s="71" t="s">
        <v>237</v>
      </c>
      <c r="F330" s="9" t="s">
        <v>813</v>
      </c>
      <c r="G330" s="160">
        <v>60</v>
      </c>
      <c r="H330" s="160"/>
      <c r="I330" s="160">
        <f t="shared" si="9"/>
        <v>60</v>
      </c>
      <c r="J330" s="160">
        <f t="shared" si="10"/>
        <v>3</v>
      </c>
      <c r="K330" s="160">
        <f t="shared" si="11"/>
        <v>63</v>
      </c>
      <c r="L330" s="13" t="s">
        <v>9</v>
      </c>
      <c r="P330">
        <v>1</v>
      </c>
    </row>
    <row r="331" spans="2:16" ht="17.25" customHeight="1" x14ac:dyDescent="0.25">
      <c r="B331" s="9" t="s">
        <v>814</v>
      </c>
      <c r="C331" s="10" t="s">
        <v>795</v>
      </c>
      <c r="D331" s="89">
        <v>45442</v>
      </c>
      <c r="E331" s="70" t="s">
        <v>74</v>
      </c>
      <c r="F331" s="9" t="s">
        <v>815</v>
      </c>
      <c r="G331" s="160">
        <v>2000</v>
      </c>
      <c r="H331" s="160"/>
      <c r="I331" s="160">
        <f t="shared" si="9"/>
        <v>2000</v>
      </c>
      <c r="J331" s="160">
        <f t="shared" si="10"/>
        <v>100</v>
      </c>
      <c r="K331" s="160">
        <f t="shared" si="11"/>
        <v>2100</v>
      </c>
      <c r="L331" s="13" t="s">
        <v>9</v>
      </c>
      <c r="P331">
        <v>1</v>
      </c>
    </row>
    <row r="332" spans="2:16" ht="17.25" customHeight="1" x14ac:dyDescent="0.25">
      <c r="B332" s="9" t="s">
        <v>297</v>
      </c>
      <c r="C332" s="10" t="s">
        <v>816</v>
      </c>
      <c r="D332" s="89">
        <v>45442</v>
      </c>
      <c r="E332" s="71" t="s">
        <v>301</v>
      </c>
      <c r="F332" s="9" t="s">
        <v>819</v>
      </c>
      <c r="G332" s="160">
        <v>7425</v>
      </c>
      <c r="H332" s="160"/>
      <c r="I332" s="160">
        <f t="shared" si="9"/>
        <v>7425</v>
      </c>
      <c r="J332" s="160">
        <f t="shared" si="10"/>
        <v>371.25</v>
      </c>
      <c r="K332" s="160">
        <f t="shared" si="11"/>
        <v>7796.25</v>
      </c>
      <c r="L332" s="13" t="s">
        <v>78</v>
      </c>
      <c r="P332">
        <v>1</v>
      </c>
    </row>
    <row r="333" spans="2:16" ht="17.25" customHeight="1" x14ac:dyDescent="0.25">
      <c r="B333" s="9" t="s">
        <v>29</v>
      </c>
      <c r="C333" s="10" t="s">
        <v>817</v>
      </c>
      <c r="D333" s="89">
        <v>45443</v>
      </c>
      <c r="E333" s="71" t="s">
        <v>418</v>
      </c>
      <c r="F333" s="9" t="s">
        <v>820</v>
      </c>
      <c r="G333" s="160">
        <v>1757.5</v>
      </c>
      <c r="H333" s="160"/>
      <c r="I333" s="160">
        <f t="shared" si="9"/>
        <v>1757.5</v>
      </c>
      <c r="J333" s="160">
        <f t="shared" si="10"/>
        <v>87.875</v>
      </c>
      <c r="K333" s="160">
        <f t="shared" si="11"/>
        <v>1845.375</v>
      </c>
      <c r="L333" s="13" t="s">
        <v>9</v>
      </c>
      <c r="P333">
        <v>1</v>
      </c>
    </row>
    <row r="334" spans="2:16" ht="17.25" customHeight="1" x14ac:dyDescent="0.25">
      <c r="B334" s="9" t="s">
        <v>203</v>
      </c>
      <c r="C334" s="10" t="s">
        <v>818</v>
      </c>
      <c r="D334" s="89">
        <v>45443</v>
      </c>
      <c r="E334" s="71" t="s">
        <v>418</v>
      </c>
      <c r="F334" s="9" t="s">
        <v>769</v>
      </c>
      <c r="G334" s="160">
        <v>356.4</v>
      </c>
      <c r="H334" s="160"/>
      <c r="I334" s="160">
        <f t="shared" ref="I334:I397" si="12">G334-H334</f>
        <v>356.4</v>
      </c>
      <c r="J334" s="160">
        <f t="shared" ref="J334:J397" si="13">G334*5%</f>
        <v>17.82</v>
      </c>
      <c r="K334" s="160">
        <f t="shared" ref="K334:K397" si="14">G334+J334</f>
        <v>374.21999999999997</v>
      </c>
      <c r="L334" s="13" t="s">
        <v>78</v>
      </c>
      <c r="P334">
        <v>1</v>
      </c>
    </row>
    <row r="335" spans="2:16" ht="17.25" customHeight="1" x14ac:dyDescent="0.25">
      <c r="B335" s="9" t="s">
        <v>29</v>
      </c>
      <c r="C335" s="10" t="s">
        <v>822</v>
      </c>
      <c r="D335" s="89">
        <v>45443</v>
      </c>
      <c r="E335" s="71" t="s">
        <v>128</v>
      </c>
      <c r="F335" s="9" t="s">
        <v>73</v>
      </c>
      <c r="G335" s="160">
        <v>124</v>
      </c>
      <c r="H335" s="160"/>
      <c r="I335" s="160">
        <f t="shared" si="12"/>
        <v>124</v>
      </c>
      <c r="J335" s="160">
        <f t="shared" si="13"/>
        <v>6.2</v>
      </c>
      <c r="K335" s="160">
        <f t="shared" si="14"/>
        <v>130.19999999999999</v>
      </c>
      <c r="L335" s="13" t="s">
        <v>9</v>
      </c>
      <c r="P335">
        <v>1</v>
      </c>
    </row>
    <row r="336" spans="2:16" ht="17.25" customHeight="1" x14ac:dyDescent="0.25">
      <c r="B336" s="9" t="s">
        <v>102</v>
      </c>
      <c r="C336" s="10" t="s">
        <v>823</v>
      </c>
      <c r="D336" s="89">
        <v>45443</v>
      </c>
      <c r="E336" s="94" t="s">
        <v>104</v>
      </c>
      <c r="F336" s="9" t="s">
        <v>824</v>
      </c>
      <c r="G336" s="160">
        <v>6020</v>
      </c>
      <c r="H336" s="160"/>
      <c r="I336" s="160">
        <f t="shared" si="12"/>
        <v>6020</v>
      </c>
      <c r="J336" s="160">
        <f t="shared" si="13"/>
        <v>301</v>
      </c>
      <c r="K336" s="160">
        <f t="shared" si="14"/>
        <v>6321</v>
      </c>
      <c r="L336" s="13" t="s">
        <v>9</v>
      </c>
      <c r="P336">
        <v>1</v>
      </c>
    </row>
    <row r="337" spans="2:16" s="148" customFormat="1" ht="17.25" customHeight="1" x14ac:dyDescent="0.25">
      <c r="B337" s="61" t="s">
        <v>102</v>
      </c>
      <c r="C337" s="62" t="s">
        <v>825</v>
      </c>
      <c r="D337" s="90">
        <v>45443</v>
      </c>
      <c r="E337" s="147" t="s">
        <v>104</v>
      </c>
      <c r="F337" s="61" t="s">
        <v>74</v>
      </c>
      <c r="G337" s="161" t="s">
        <v>74</v>
      </c>
      <c r="H337" s="161"/>
      <c r="I337" s="161" t="s">
        <v>74</v>
      </c>
      <c r="J337" s="161" t="s">
        <v>74</v>
      </c>
      <c r="K337" s="161" t="s">
        <v>74</v>
      </c>
      <c r="L337" s="64" t="s">
        <v>9</v>
      </c>
      <c r="P337" s="148">
        <v>1</v>
      </c>
    </row>
    <row r="338" spans="2:16" ht="17.25" customHeight="1" x14ac:dyDescent="0.25">
      <c r="B338" s="9" t="s">
        <v>102</v>
      </c>
      <c r="C338" s="10" t="s">
        <v>827</v>
      </c>
      <c r="D338" s="89">
        <v>45443</v>
      </c>
      <c r="E338" s="94" t="s">
        <v>104</v>
      </c>
      <c r="F338" s="9" t="s">
        <v>828</v>
      </c>
      <c r="G338" s="160">
        <v>381.25</v>
      </c>
      <c r="H338" s="160"/>
      <c r="I338" s="160">
        <f t="shared" si="12"/>
        <v>381.25</v>
      </c>
      <c r="J338" s="160">
        <f t="shared" si="13"/>
        <v>19.0625</v>
      </c>
      <c r="K338" s="160">
        <f t="shared" si="14"/>
        <v>400.3125</v>
      </c>
      <c r="L338" s="13" t="s">
        <v>9</v>
      </c>
      <c r="P338">
        <v>1</v>
      </c>
    </row>
    <row r="339" spans="2:16" ht="17.25" customHeight="1" x14ac:dyDescent="0.25">
      <c r="B339" s="9" t="s">
        <v>102</v>
      </c>
      <c r="C339" s="10" t="s">
        <v>829</v>
      </c>
      <c r="D339" s="89">
        <v>45443</v>
      </c>
      <c r="E339" s="94" t="s">
        <v>104</v>
      </c>
      <c r="F339" s="9" t="s">
        <v>830</v>
      </c>
      <c r="G339" s="160">
        <v>187.5</v>
      </c>
      <c r="H339" s="160"/>
      <c r="I339" s="160">
        <f t="shared" si="12"/>
        <v>187.5</v>
      </c>
      <c r="J339" s="160">
        <f t="shared" si="13"/>
        <v>9.375</v>
      </c>
      <c r="K339" s="160">
        <f t="shared" si="14"/>
        <v>196.875</v>
      </c>
      <c r="L339" s="13" t="s">
        <v>9</v>
      </c>
      <c r="P339">
        <v>1</v>
      </c>
    </row>
    <row r="340" spans="2:16" ht="17.25" customHeight="1" x14ac:dyDescent="0.25">
      <c r="B340" s="9" t="s">
        <v>10</v>
      </c>
      <c r="C340" s="10" t="s">
        <v>831</v>
      </c>
      <c r="D340" s="89">
        <v>45443</v>
      </c>
      <c r="E340" s="94" t="s">
        <v>16</v>
      </c>
      <c r="F340" s="9" t="s">
        <v>832</v>
      </c>
      <c r="G340" s="160">
        <v>2550</v>
      </c>
      <c r="H340" s="160"/>
      <c r="I340" s="160">
        <f t="shared" si="12"/>
        <v>2550</v>
      </c>
      <c r="J340" s="160">
        <f t="shared" si="13"/>
        <v>127.5</v>
      </c>
      <c r="K340" s="160">
        <f t="shared" si="14"/>
        <v>2677.5</v>
      </c>
      <c r="L340" s="13" t="s">
        <v>9</v>
      </c>
      <c r="P340">
        <v>1</v>
      </c>
    </row>
    <row r="341" spans="2:16" ht="17.25" customHeight="1" x14ac:dyDescent="0.25">
      <c r="B341" s="95" t="s">
        <v>199</v>
      </c>
      <c r="C341" s="14" t="s">
        <v>833</v>
      </c>
      <c r="D341" s="93">
        <v>45450</v>
      </c>
      <c r="E341" s="94" t="s">
        <v>201</v>
      </c>
      <c r="F341" t="s">
        <v>834</v>
      </c>
      <c r="G341" s="26">
        <v>1233.75</v>
      </c>
      <c r="I341" s="26">
        <f t="shared" si="12"/>
        <v>1233.75</v>
      </c>
      <c r="J341" s="26">
        <f t="shared" si="13"/>
        <v>61.6875</v>
      </c>
      <c r="K341" s="26">
        <f t="shared" si="14"/>
        <v>1295.4375</v>
      </c>
      <c r="L341" s="18" t="s">
        <v>78</v>
      </c>
      <c r="P341">
        <v>1</v>
      </c>
    </row>
    <row r="342" spans="2:16" ht="17.25" customHeight="1" x14ac:dyDescent="0.25">
      <c r="B342" s="9" t="s">
        <v>835</v>
      </c>
      <c r="C342" s="10" t="s">
        <v>836</v>
      </c>
      <c r="D342" s="89">
        <v>45447</v>
      </c>
      <c r="E342" s="71"/>
      <c r="F342" s="9" t="s">
        <v>95</v>
      </c>
      <c r="G342" s="160">
        <v>90</v>
      </c>
      <c r="H342" s="160"/>
      <c r="I342" s="160">
        <f t="shared" si="12"/>
        <v>90</v>
      </c>
      <c r="J342" s="160">
        <f t="shared" si="13"/>
        <v>4.5</v>
      </c>
      <c r="K342" s="160">
        <f t="shared" si="14"/>
        <v>94.5</v>
      </c>
      <c r="L342" s="13" t="s">
        <v>9</v>
      </c>
      <c r="P342">
        <v>1</v>
      </c>
    </row>
    <row r="343" spans="2:16" ht="17.25" customHeight="1" x14ac:dyDescent="0.25">
      <c r="B343" s="9" t="s">
        <v>10</v>
      </c>
      <c r="C343" s="10" t="s">
        <v>837</v>
      </c>
      <c r="D343" s="89">
        <v>45449</v>
      </c>
      <c r="E343" s="94" t="s">
        <v>104</v>
      </c>
      <c r="F343" s="9" t="s">
        <v>840</v>
      </c>
      <c r="G343" s="160">
        <v>665</v>
      </c>
      <c r="H343" s="160"/>
      <c r="I343" s="160">
        <f t="shared" si="12"/>
        <v>665</v>
      </c>
      <c r="J343" s="160">
        <f t="shared" si="13"/>
        <v>33.25</v>
      </c>
      <c r="K343" s="160">
        <f t="shared" si="14"/>
        <v>698.25</v>
      </c>
      <c r="L343" s="13" t="s">
        <v>9</v>
      </c>
      <c r="P343">
        <v>1</v>
      </c>
    </row>
    <row r="344" spans="2:16" ht="17.25" customHeight="1" x14ac:dyDescent="0.25">
      <c r="B344" s="9" t="s">
        <v>10</v>
      </c>
      <c r="C344" s="10" t="s">
        <v>838</v>
      </c>
      <c r="D344" s="89">
        <v>45449</v>
      </c>
      <c r="E344" s="94" t="s">
        <v>104</v>
      </c>
      <c r="F344" s="9" t="s">
        <v>841</v>
      </c>
      <c r="G344" s="160">
        <v>18962</v>
      </c>
      <c r="H344" s="160"/>
      <c r="I344" s="160">
        <f t="shared" si="12"/>
        <v>18962</v>
      </c>
      <c r="J344" s="160">
        <f t="shared" si="13"/>
        <v>948.1</v>
      </c>
      <c r="K344" s="160">
        <f t="shared" si="14"/>
        <v>19910.099999999999</v>
      </c>
      <c r="L344" s="13" t="s">
        <v>9</v>
      </c>
      <c r="P344">
        <v>1</v>
      </c>
    </row>
    <row r="345" spans="2:16" ht="17.25" customHeight="1" x14ac:dyDescent="0.25">
      <c r="B345" s="9" t="s">
        <v>10</v>
      </c>
      <c r="C345" s="10" t="s">
        <v>839</v>
      </c>
      <c r="D345" s="89">
        <v>45449</v>
      </c>
      <c r="E345" s="94" t="s">
        <v>104</v>
      </c>
      <c r="F345" s="9" t="s">
        <v>842</v>
      </c>
      <c r="G345" s="160">
        <v>945</v>
      </c>
      <c r="H345" s="160"/>
      <c r="I345" s="160">
        <f t="shared" si="12"/>
        <v>945</v>
      </c>
      <c r="J345" s="160">
        <f t="shared" si="13"/>
        <v>47.25</v>
      </c>
      <c r="K345" s="160">
        <f t="shared" si="14"/>
        <v>992.25</v>
      </c>
      <c r="L345" s="13" t="s">
        <v>9</v>
      </c>
      <c r="P345">
        <v>1</v>
      </c>
    </row>
    <row r="346" spans="2:16" ht="17.25" customHeight="1" x14ac:dyDescent="0.25">
      <c r="B346" s="9" t="s">
        <v>122</v>
      </c>
      <c r="C346" s="10" t="s">
        <v>843</v>
      </c>
      <c r="D346" s="89">
        <v>45449</v>
      </c>
      <c r="E346" s="70" t="s">
        <v>74</v>
      </c>
      <c r="F346" s="9" t="s">
        <v>844</v>
      </c>
      <c r="G346" s="160">
        <v>2260</v>
      </c>
      <c r="H346" s="160"/>
      <c r="I346" s="160">
        <f t="shared" si="12"/>
        <v>2260</v>
      </c>
      <c r="J346" s="160">
        <f t="shared" si="13"/>
        <v>113</v>
      </c>
      <c r="K346" s="160">
        <f t="shared" si="14"/>
        <v>2373</v>
      </c>
      <c r="L346" s="13" t="s">
        <v>9</v>
      </c>
      <c r="P346">
        <v>1</v>
      </c>
    </row>
    <row r="347" spans="2:16" ht="17.25" customHeight="1" x14ac:dyDescent="0.25">
      <c r="B347" s="9" t="s">
        <v>10</v>
      </c>
      <c r="C347" s="10" t="s">
        <v>845</v>
      </c>
      <c r="D347" s="89">
        <v>45449</v>
      </c>
      <c r="E347" s="94" t="s">
        <v>104</v>
      </c>
      <c r="F347" s="9" t="s">
        <v>846</v>
      </c>
      <c r="G347" s="160">
        <v>4000</v>
      </c>
      <c r="H347" s="160"/>
      <c r="I347" s="160">
        <f t="shared" si="12"/>
        <v>4000</v>
      </c>
      <c r="J347" s="160">
        <f t="shared" si="13"/>
        <v>200</v>
      </c>
      <c r="K347" s="160">
        <f t="shared" si="14"/>
        <v>4200</v>
      </c>
      <c r="L347" s="13" t="s">
        <v>9</v>
      </c>
      <c r="P347">
        <v>1</v>
      </c>
    </row>
    <row r="348" spans="2:16" ht="17.25" customHeight="1" x14ac:dyDescent="0.25">
      <c r="B348" s="9" t="s">
        <v>114</v>
      </c>
      <c r="C348" s="10" t="s">
        <v>848</v>
      </c>
      <c r="D348" s="89">
        <v>45450</v>
      </c>
      <c r="E348" s="94" t="s">
        <v>115</v>
      </c>
      <c r="F348" s="9" t="s">
        <v>850</v>
      </c>
      <c r="G348" s="160">
        <v>1311</v>
      </c>
      <c r="H348" s="160"/>
      <c r="I348" s="160">
        <f t="shared" si="12"/>
        <v>1311</v>
      </c>
      <c r="J348" s="160">
        <f t="shared" si="13"/>
        <v>65.55</v>
      </c>
      <c r="K348" s="160">
        <f t="shared" si="14"/>
        <v>1376.55</v>
      </c>
      <c r="L348" s="13" t="s">
        <v>9</v>
      </c>
      <c r="P348">
        <v>1</v>
      </c>
    </row>
    <row r="349" spans="2:16" ht="17.25" customHeight="1" x14ac:dyDescent="0.25">
      <c r="B349" s="96" t="s">
        <v>203</v>
      </c>
      <c r="C349" s="97" t="s">
        <v>852</v>
      </c>
      <c r="D349" s="98">
        <v>45455</v>
      </c>
      <c r="E349" s="94" t="s">
        <v>851</v>
      </c>
      <c r="F349" s="96" t="s">
        <v>849</v>
      </c>
      <c r="G349" s="104">
        <v>358.75</v>
      </c>
      <c r="H349" s="160"/>
      <c r="I349" s="160">
        <f t="shared" si="12"/>
        <v>358.75</v>
      </c>
      <c r="J349" s="160">
        <f t="shared" si="13"/>
        <v>17.9375</v>
      </c>
      <c r="K349" s="160">
        <f t="shared" si="14"/>
        <v>376.6875</v>
      </c>
      <c r="L349" s="13" t="s">
        <v>78</v>
      </c>
      <c r="P349">
        <v>1</v>
      </c>
    </row>
    <row r="350" spans="2:16" ht="17.25" customHeight="1" x14ac:dyDescent="0.25">
      <c r="B350" s="9" t="s">
        <v>572</v>
      </c>
      <c r="C350" s="10" t="s">
        <v>853</v>
      </c>
      <c r="D350" s="89">
        <v>45453</v>
      </c>
      <c r="E350" s="71" t="s">
        <v>854</v>
      </c>
      <c r="F350" s="9" t="s">
        <v>855</v>
      </c>
      <c r="G350" s="160">
        <v>367.5</v>
      </c>
      <c r="H350" s="160"/>
      <c r="I350" s="160">
        <f t="shared" si="12"/>
        <v>367.5</v>
      </c>
      <c r="J350" s="160">
        <f t="shared" si="13"/>
        <v>18.375</v>
      </c>
      <c r="K350" s="160">
        <f t="shared" si="14"/>
        <v>385.875</v>
      </c>
      <c r="L350" s="13" t="s">
        <v>9</v>
      </c>
      <c r="P350">
        <v>1</v>
      </c>
    </row>
    <row r="351" spans="2:16" ht="17.25" customHeight="1" x14ac:dyDescent="0.25">
      <c r="B351" s="9" t="s">
        <v>43</v>
      </c>
      <c r="C351" s="10" t="s">
        <v>856</v>
      </c>
      <c r="D351" s="89">
        <v>45453</v>
      </c>
      <c r="E351" s="71" t="s">
        <v>30</v>
      </c>
      <c r="F351" s="9" t="s">
        <v>857</v>
      </c>
      <c r="G351" s="160">
        <v>1788</v>
      </c>
      <c r="H351" s="160"/>
      <c r="I351" s="160">
        <f t="shared" si="12"/>
        <v>1788</v>
      </c>
      <c r="J351" s="160">
        <f t="shared" si="13"/>
        <v>89.4</v>
      </c>
      <c r="K351" s="160">
        <f t="shared" si="14"/>
        <v>1877.4</v>
      </c>
      <c r="L351" s="13" t="s">
        <v>9</v>
      </c>
      <c r="P351">
        <v>1</v>
      </c>
    </row>
    <row r="352" spans="2:16" ht="17.25" customHeight="1" x14ac:dyDescent="0.25">
      <c r="B352" s="9" t="s">
        <v>29</v>
      </c>
      <c r="C352" s="10" t="s">
        <v>873</v>
      </c>
      <c r="D352" s="89">
        <v>45456</v>
      </c>
      <c r="E352" s="71" t="s">
        <v>128</v>
      </c>
      <c r="F352" s="9" t="s">
        <v>874</v>
      </c>
      <c r="G352" s="160">
        <v>9397.5</v>
      </c>
      <c r="H352" s="160"/>
      <c r="I352" s="160">
        <f t="shared" si="12"/>
        <v>9397.5</v>
      </c>
      <c r="J352" s="160">
        <f t="shared" si="13"/>
        <v>469.875</v>
      </c>
      <c r="K352" s="160">
        <f t="shared" si="14"/>
        <v>9867.375</v>
      </c>
      <c r="L352" s="13" t="s">
        <v>9</v>
      </c>
      <c r="P352">
        <v>1</v>
      </c>
    </row>
    <row r="353" spans="2:16" ht="17.25" customHeight="1" x14ac:dyDescent="0.25">
      <c r="B353" s="9" t="s">
        <v>10</v>
      </c>
      <c r="C353" s="10" t="s">
        <v>875</v>
      </c>
      <c r="D353" s="89">
        <v>45455</v>
      </c>
      <c r="E353" s="71" t="s">
        <v>16</v>
      </c>
      <c r="F353" s="9" t="s">
        <v>880</v>
      </c>
      <c r="G353" s="160">
        <v>1345</v>
      </c>
      <c r="H353" s="160"/>
      <c r="I353" s="160">
        <f t="shared" si="12"/>
        <v>1345</v>
      </c>
      <c r="J353" s="160">
        <f t="shared" si="13"/>
        <v>67.25</v>
      </c>
      <c r="K353" s="160">
        <f t="shared" si="14"/>
        <v>1412.25</v>
      </c>
      <c r="L353" s="13" t="s">
        <v>9</v>
      </c>
      <c r="P353">
        <v>1</v>
      </c>
    </row>
    <row r="354" spans="2:16" ht="17.25" customHeight="1" x14ac:dyDescent="0.25">
      <c r="B354" s="9" t="s">
        <v>10</v>
      </c>
      <c r="C354" s="10" t="s">
        <v>876</v>
      </c>
      <c r="D354" s="89">
        <v>45455</v>
      </c>
      <c r="E354" s="71" t="s">
        <v>16</v>
      </c>
      <c r="F354" s="9" t="s">
        <v>881</v>
      </c>
      <c r="G354" s="160">
        <v>125</v>
      </c>
      <c r="H354" s="160"/>
      <c r="I354" s="160">
        <f t="shared" si="12"/>
        <v>125</v>
      </c>
      <c r="J354" s="160">
        <f t="shared" si="13"/>
        <v>6.25</v>
      </c>
      <c r="K354" s="160">
        <f t="shared" si="14"/>
        <v>131.25</v>
      </c>
      <c r="L354" s="13" t="s">
        <v>9</v>
      </c>
      <c r="P354">
        <v>1</v>
      </c>
    </row>
    <row r="355" spans="2:16" ht="17.25" customHeight="1" x14ac:dyDescent="0.25">
      <c r="B355" s="9" t="s">
        <v>10</v>
      </c>
      <c r="C355" s="10" t="s">
        <v>877</v>
      </c>
      <c r="D355" s="89">
        <v>45455</v>
      </c>
      <c r="E355" s="71" t="s">
        <v>16</v>
      </c>
      <c r="F355" s="9" t="s">
        <v>882</v>
      </c>
      <c r="G355" s="160">
        <v>925</v>
      </c>
      <c r="H355" s="160"/>
      <c r="I355" s="160">
        <f t="shared" si="12"/>
        <v>925</v>
      </c>
      <c r="J355" s="160">
        <f t="shared" si="13"/>
        <v>46.25</v>
      </c>
      <c r="K355" s="160">
        <f t="shared" si="14"/>
        <v>971.25</v>
      </c>
      <c r="L355" s="13" t="s">
        <v>9</v>
      </c>
      <c r="P355">
        <v>1</v>
      </c>
    </row>
    <row r="356" spans="2:16" ht="17.25" customHeight="1" x14ac:dyDescent="0.25">
      <c r="B356" s="9" t="s">
        <v>75</v>
      </c>
      <c r="C356" s="10" t="s">
        <v>878</v>
      </c>
      <c r="D356" s="89">
        <v>45457</v>
      </c>
      <c r="E356" s="71" t="s">
        <v>76</v>
      </c>
      <c r="F356" s="9" t="s">
        <v>883</v>
      </c>
      <c r="G356" s="160">
        <v>1695</v>
      </c>
      <c r="H356" s="160"/>
      <c r="I356" s="160">
        <f t="shared" si="12"/>
        <v>1695</v>
      </c>
      <c r="J356" s="160">
        <f t="shared" si="13"/>
        <v>84.75</v>
      </c>
      <c r="K356" s="160">
        <f t="shared" si="14"/>
        <v>1779.75</v>
      </c>
      <c r="L356" s="13" t="s">
        <v>78</v>
      </c>
      <c r="P356">
        <v>1</v>
      </c>
    </row>
    <row r="357" spans="2:16" ht="17.25" customHeight="1" x14ac:dyDescent="0.25">
      <c r="B357" s="9" t="s">
        <v>10</v>
      </c>
      <c r="C357" s="10" t="s">
        <v>879</v>
      </c>
      <c r="D357" s="89">
        <v>45455</v>
      </c>
      <c r="E357" s="71" t="s">
        <v>16</v>
      </c>
      <c r="F357" s="9" t="s">
        <v>884</v>
      </c>
      <c r="G357" s="160">
        <v>1344</v>
      </c>
      <c r="H357" s="160"/>
      <c r="I357" s="160">
        <f t="shared" si="12"/>
        <v>1344</v>
      </c>
      <c r="J357" s="160">
        <f t="shared" si="13"/>
        <v>67.2</v>
      </c>
      <c r="K357" s="160">
        <f t="shared" si="14"/>
        <v>1411.2</v>
      </c>
      <c r="L357" s="13" t="s">
        <v>9</v>
      </c>
      <c r="P357">
        <v>1</v>
      </c>
    </row>
    <row r="358" spans="2:16" ht="17.25" customHeight="1" x14ac:dyDescent="0.25">
      <c r="B358" s="9" t="s">
        <v>114</v>
      </c>
      <c r="C358" s="10" t="s">
        <v>885</v>
      </c>
      <c r="D358" s="89">
        <v>45450</v>
      </c>
      <c r="E358" s="71" t="s">
        <v>115</v>
      </c>
      <c r="F358" s="9" t="s">
        <v>598</v>
      </c>
      <c r="G358" s="160">
        <v>420</v>
      </c>
      <c r="H358" s="160"/>
      <c r="I358" s="160">
        <f t="shared" si="12"/>
        <v>420</v>
      </c>
      <c r="J358" s="160">
        <f t="shared" si="13"/>
        <v>21</v>
      </c>
      <c r="K358" s="160">
        <f t="shared" si="14"/>
        <v>441</v>
      </c>
      <c r="L358" s="13" t="s">
        <v>9</v>
      </c>
      <c r="P358">
        <v>1</v>
      </c>
    </row>
    <row r="359" spans="2:16" ht="17.25" customHeight="1" x14ac:dyDescent="0.25">
      <c r="B359" s="9" t="s">
        <v>102</v>
      </c>
      <c r="C359" s="10" t="s">
        <v>888</v>
      </c>
      <c r="D359" s="89">
        <v>45457</v>
      </c>
      <c r="E359" s="71" t="s">
        <v>104</v>
      </c>
      <c r="F359" s="9" t="s">
        <v>826</v>
      </c>
      <c r="G359" s="160">
        <v>160</v>
      </c>
      <c r="H359" s="160"/>
      <c r="I359" s="160">
        <f t="shared" si="12"/>
        <v>160</v>
      </c>
      <c r="J359" s="160">
        <f t="shared" si="13"/>
        <v>8</v>
      </c>
      <c r="K359" s="160">
        <f t="shared" si="14"/>
        <v>168</v>
      </c>
      <c r="L359" s="13" t="s">
        <v>9</v>
      </c>
      <c r="P359">
        <v>1</v>
      </c>
    </row>
    <row r="360" spans="2:16" ht="17.25" customHeight="1" x14ac:dyDescent="0.25">
      <c r="B360" s="9" t="s">
        <v>736</v>
      </c>
      <c r="C360" s="10" t="s">
        <v>889</v>
      </c>
      <c r="D360" s="89">
        <v>45462</v>
      </c>
      <c r="E360" s="70"/>
      <c r="F360" s="9" t="s">
        <v>598</v>
      </c>
      <c r="G360" s="160">
        <v>768</v>
      </c>
      <c r="H360" s="160"/>
      <c r="I360" s="160">
        <f t="shared" si="12"/>
        <v>768</v>
      </c>
      <c r="J360" s="160">
        <f t="shared" si="13"/>
        <v>38.400000000000006</v>
      </c>
      <c r="K360" s="160">
        <f t="shared" si="14"/>
        <v>806.4</v>
      </c>
      <c r="L360" s="13" t="s">
        <v>78</v>
      </c>
      <c r="P360">
        <v>1</v>
      </c>
    </row>
    <row r="361" spans="2:16" ht="17.25" customHeight="1" x14ac:dyDescent="0.25">
      <c r="B361" s="9" t="s">
        <v>81</v>
      </c>
      <c r="C361" s="10" t="s">
        <v>890</v>
      </c>
      <c r="D361" s="89">
        <v>45462</v>
      </c>
      <c r="E361" s="71" t="s">
        <v>898</v>
      </c>
      <c r="F361" s="9" t="s">
        <v>598</v>
      </c>
      <c r="G361" s="160">
        <v>375</v>
      </c>
      <c r="H361" s="160"/>
      <c r="I361" s="160">
        <f t="shared" si="12"/>
        <v>375</v>
      </c>
      <c r="J361" s="160">
        <f t="shared" si="13"/>
        <v>18.75</v>
      </c>
      <c r="K361" s="160">
        <f t="shared" si="14"/>
        <v>393.75</v>
      </c>
      <c r="L361" s="13" t="s">
        <v>78</v>
      </c>
      <c r="P361">
        <v>1</v>
      </c>
    </row>
    <row r="362" spans="2:16" ht="17.25" customHeight="1" x14ac:dyDescent="0.25">
      <c r="B362" s="9" t="s">
        <v>122</v>
      </c>
      <c r="C362" s="10" t="s">
        <v>892</v>
      </c>
      <c r="D362" s="89">
        <v>45462</v>
      </c>
      <c r="E362" s="71"/>
      <c r="F362" s="9" t="s">
        <v>899</v>
      </c>
      <c r="G362" s="160">
        <v>4185</v>
      </c>
      <c r="H362" s="160"/>
      <c r="I362" s="160">
        <f t="shared" si="12"/>
        <v>4185</v>
      </c>
      <c r="J362" s="160">
        <f t="shared" si="13"/>
        <v>209.25</v>
      </c>
      <c r="K362" s="160">
        <f t="shared" si="14"/>
        <v>4394.25</v>
      </c>
      <c r="L362" s="13" t="s">
        <v>9</v>
      </c>
      <c r="P362">
        <v>1</v>
      </c>
    </row>
    <row r="363" spans="2:16" ht="17.25" customHeight="1" x14ac:dyDescent="0.25">
      <c r="B363" t="s">
        <v>299</v>
      </c>
      <c r="C363" s="10" t="s">
        <v>893</v>
      </c>
      <c r="D363" s="89">
        <v>45462</v>
      </c>
      <c r="E363" s="71" t="s">
        <v>302</v>
      </c>
      <c r="F363" s="9" t="s">
        <v>900</v>
      </c>
      <c r="G363" s="160">
        <v>389.75</v>
      </c>
      <c r="H363" s="160"/>
      <c r="I363" s="160">
        <f t="shared" si="12"/>
        <v>389.75</v>
      </c>
      <c r="J363" s="160">
        <f t="shared" si="13"/>
        <v>19.487500000000001</v>
      </c>
      <c r="K363" s="160">
        <f t="shared" si="14"/>
        <v>409.23750000000001</v>
      </c>
      <c r="L363" s="13" t="s">
        <v>78</v>
      </c>
      <c r="P363">
        <v>1</v>
      </c>
    </row>
    <row r="364" spans="2:16" ht="17.25" customHeight="1" x14ac:dyDescent="0.25">
      <c r="B364" s="9" t="s">
        <v>29</v>
      </c>
      <c r="C364" s="10" t="s">
        <v>894</v>
      </c>
      <c r="D364" s="89">
        <v>45462</v>
      </c>
      <c r="E364" s="71" t="s">
        <v>128</v>
      </c>
      <c r="F364" s="9" t="s">
        <v>895</v>
      </c>
      <c r="G364" s="160">
        <v>24010</v>
      </c>
      <c r="H364" s="160"/>
      <c r="I364" s="160">
        <f t="shared" si="12"/>
        <v>24010</v>
      </c>
      <c r="J364" s="160">
        <f t="shared" si="13"/>
        <v>1200.5</v>
      </c>
      <c r="K364" s="160">
        <f t="shared" si="14"/>
        <v>25210.5</v>
      </c>
      <c r="L364" s="13" t="s">
        <v>9</v>
      </c>
      <c r="P364">
        <v>1</v>
      </c>
    </row>
    <row r="365" spans="2:16" ht="17.25" customHeight="1" x14ac:dyDescent="0.25">
      <c r="B365" t="s">
        <v>43</v>
      </c>
      <c r="C365" s="10" t="s">
        <v>896</v>
      </c>
      <c r="D365" s="89">
        <v>45462</v>
      </c>
      <c r="E365" s="71" t="s">
        <v>30</v>
      </c>
      <c r="F365" s="9" t="s">
        <v>901</v>
      </c>
      <c r="G365" s="160">
        <v>350</v>
      </c>
      <c r="H365" s="160"/>
      <c r="I365" s="160">
        <f t="shared" si="12"/>
        <v>350</v>
      </c>
      <c r="J365" s="160">
        <f t="shared" si="13"/>
        <v>17.5</v>
      </c>
      <c r="K365" s="160">
        <f t="shared" si="14"/>
        <v>367.5</v>
      </c>
      <c r="L365" s="13" t="s">
        <v>9</v>
      </c>
      <c r="P365">
        <v>1</v>
      </c>
    </row>
    <row r="366" spans="2:16" ht="17.25" customHeight="1" x14ac:dyDescent="0.25">
      <c r="B366" s="9" t="s">
        <v>736</v>
      </c>
      <c r="C366" s="10" t="s">
        <v>897</v>
      </c>
      <c r="D366" s="89">
        <v>45463</v>
      </c>
      <c r="E366" s="71"/>
      <c r="F366" s="9" t="s">
        <v>901</v>
      </c>
      <c r="G366" s="160">
        <v>125</v>
      </c>
      <c r="H366" s="160"/>
      <c r="I366" s="160">
        <f t="shared" si="12"/>
        <v>125</v>
      </c>
      <c r="J366" s="160">
        <f t="shared" si="13"/>
        <v>6.25</v>
      </c>
      <c r="K366" s="160">
        <f t="shared" si="14"/>
        <v>131.25</v>
      </c>
      <c r="L366" s="13" t="s">
        <v>78</v>
      </c>
      <c r="P366">
        <v>1</v>
      </c>
    </row>
    <row r="367" spans="2:16" ht="17.25" customHeight="1" x14ac:dyDescent="0.25">
      <c r="B367" s="9" t="s">
        <v>904</v>
      </c>
      <c r="C367" s="10" t="s">
        <v>902</v>
      </c>
      <c r="D367" s="89">
        <v>45462</v>
      </c>
      <c r="E367" s="70" t="s">
        <v>905</v>
      </c>
      <c r="F367" s="9" t="s">
        <v>906</v>
      </c>
      <c r="G367" s="160">
        <v>45666</v>
      </c>
      <c r="H367" s="160"/>
      <c r="I367" s="160">
        <f t="shared" si="12"/>
        <v>45666</v>
      </c>
      <c r="J367" s="160">
        <f t="shared" si="13"/>
        <v>2283.3000000000002</v>
      </c>
      <c r="K367" s="160">
        <f t="shared" si="14"/>
        <v>47949.3</v>
      </c>
      <c r="L367" s="24" t="s">
        <v>78</v>
      </c>
      <c r="P367">
        <v>1</v>
      </c>
    </row>
    <row r="368" spans="2:16" ht="17.25" customHeight="1" x14ac:dyDescent="0.25">
      <c r="B368" s="9" t="s">
        <v>524</v>
      </c>
      <c r="C368" s="10" t="s">
        <v>903</v>
      </c>
      <c r="D368" s="89">
        <v>45462</v>
      </c>
      <c r="E368" s="71" t="s">
        <v>697</v>
      </c>
      <c r="F368" s="9" t="s">
        <v>907</v>
      </c>
      <c r="G368" s="160">
        <v>5935</v>
      </c>
      <c r="H368" s="160"/>
      <c r="I368" s="160">
        <f t="shared" si="12"/>
        <v>5935</v>
      </c>
      <c r="J368" s="160">
        <f t="shared" si="13"/>
        <v>296.75</v>
      </c>
      <c r="K368" s="160">
        <f t="shared" si="14"/>
        <v>6231.75</v>
      </c>
      <c r="L368" s="24" t="s">
        <v>9</v>
      </c>
      <c r="P368">
        <v>1</v>
      </c>
    </row>
    <row r="369" spans="2:16" ht="17.25" customHeight="1" x14ac:dyDescent="0.25">
      <c r="B369" s="9" t="s">
        <v>29</v>
      </c>
      <c r="C369" s="10" t="s">
        <v>908</v>
      </c>
      <c r="D369" s="89">
        <v>45463</v>
      </c>
      <c r="E369" s="71" t="s">
        <v>418</v>
      </c>
      <c r="F369" s="9" t="s">
        <v>910</v>
      </c>
      <c r="G369" s="160">
        <v>1325</v>
      </c>
      <c r="H369" s="160"/>
      <c r="I369" s="160">
        <f t="shared" si="12"/>
        <v>1325</v>
      </c>
      <c r="J369" s="160">
        <f t="shared" si="13"/>
        <v>66.25</v>
      </c>
      <c r="K369" s="160">
        <f t="shared" si="14"/>
        <v>1391.25</v>
      </c>
      <c r="L369" s="24" t="s">
        <v>9</v>
      </c>
      <c r="P369">
        <v>1</v>
      </c>
    </row>
    <row r="370" spans="2:16" ht="17.25" customHeight="1" x14ac:dyDescent="0.25">
      <c r="B370" t="s">
        <v>911</v>
      </c>
      <c r="C370" s="10" t="s">
        <v>909</v>
      </c>
      <c r="D370" s="89">
        <v>45463</v>
      </c>
      <c r="E370" s="71" t="s">
        <v>912</v>
      </c>
      <c r="F370" s="9" t="s">
        <v>913</v>
      </c>
      <c r="G370" s="160">
        <v>39130</v>
      </c>
      <c r="H370" s="160"/>
      <c r="I370" s="160">
        <f t="shared" si="12"/>
        <v>39130</v>
      </c>
      <c r="J370" s="160">
        <f t="shared" si="13"/>
        <v>1956.5</v>
      </c>
      <c r="K370" s="160">
        <f t="shared" si="14"/>
        <v>41086.5</v>
      </c>
      <c r="L370" s="25" t="s">
        <v>25</v>
      </c>
      <c r="P370">
        <v>1</v>
      </c>
    </row>
    <row r="371" spans="2:16" ht="17.25" customHeight="1" x14ac:dyDescent="0.25">
      <c r="B371" s="9" t="s">
        <v>10</v>
      </c>
      <c r="C371" s="10" t="s">
        <v>914</v>
      </c>
      <c r="D371" s="89">
        <v>45463</v>
      </c>
      <c r="E371" s="71" t="s">
        <v>79</v>
      </c>
      <c r="F371" s="9" t="s">
        <v>917</v>
      </c>
      <c r="G371" s="160">
        <v>15956.5</v>
      </c>
      <c r="H371" s="160"/>
      <c r="I371" s="160">
        <f t="shared" si="12"/>
        <v>15956.5</v>
      </c>
      <c r="J371" s="160">
        <f t="shared" si="13"/>
        <v>797.82500000000005</v>
      </c>
      <c r="K371" s="160">
        <f t="shared" si="14"/>
        <v>16754.325000000001</v>
      </c>
      <c r="L371" s="24" t="s">
        <v>9</v>
      </c>
      <c r="P371">
        <v>1</v>
      </c>
    </row>
    <row r="372" spans="2:16" ht="17.25" customHeight="1" x14ac:dyDescent="0.25">
      <c r="B372" t="s">
        <v>142</v>
      </c>
      <c r="C372" s="10" t="s">
        <v>915</v>
      </c>
      <c r="D372" s="89">
        <v>45463</v>
      </c>
      <c r="E372" s="71" t="s">
        <v>143</v>
      </c>
      <c r="F372" s="9" t="s">
        <v>918</v>
      </c>
      <c r="G372" s="160">
        <v>1790</v>
      </c>
      <c r="H372" s="160"/>
      <c r="I372" s="160">
        <f t="shared" si="12"/>
        <v>1790</v>
      </c>
      <c r="J372" s="160">
        <f t="shared" si="13"/>
        <v>89.5</v>
      </c>
      <c r="K372" s="160">
        <f t="shared" si="14"/>
        <v>1879.5</v>
      </c>
      <c r="L372" s="25" t="s">
        <v>9</v>
      </c>
      <c r="P372">
        <v>1</v>
      </c>
    </row>
    <row r="373" spans="2:16" ht="17.25" customHeight="1" x14ac:dyDescent="0.25">
      <c r="B373" s="9" t="s">
        <v>443</v>
      </c>
      <c r="C373" s="10" t="s">
        <v>916</v>
      </c>
      <c r="D373" s="89">
        <v>45465</v>
      </c>
      <c r="E373" s="71"/>
      <c r="F373" s="9" t="s">
        <v>919</v>
      </c>
      <c r="G373" s="160">
        <v>735</v>
      </c>
      <c r="H373" s="160"/>
      <c r="I373" s="160">
        <f t="shared" si="12"/>
        <v>735</v>
      </c>
      <c r="J373" s="160">
        <f t="shared" si="13"/>
        <v>36.75</v>
      </c>
      <c r="K373" s="160">
        <f t="shared" si="14"/>
        <v>771.75</v>
      </c>
      <c r="L373" s="24" t="s">
        <v>9</v>
      </c>
      <c r="P373">
        <v>1</v>
      </c>
    </row>
    <row r="374" spans="2:16" ht="17.25" customHeight="1" x14ac:dyDescent="0.25">
      <c r="B374" t="s">
        <v>886</v>
      </c>
      <c r="C374" s="10" t="s">
        <v>937</v>
      </c>
      <c r="D374" s="89">
        <v>45467</v>
      </c>
      <c r="E374" s="94" t="s">
        <v>887</v>
      </c>
      <c r="F374" s="9" t="s">
        <v>91</v>
      </c>
      <c r="G374" s="160">
        <v>4000</v>
      </c>
      <c r="H374" s="160"/>
      <c r="I374" s="160">
        <f t="shared" si="12"/>
        <v>4000</v>
      </c>
      <c r="J374" s="160">
        <f t="shared" si="13"/>
        <v>200</v>
      </c>
      <c r="K374" s="160">
        <f t="shared" si="14"/>
        <v>4200</v>
      </c>
      <c r="L374" s="13" t="s">
        <v>78</v>
      </c>
      <c r="P374">
        <v>1</v>
      </c>
    </row>
    <row r="375" spans="2:16" ht="17.25" customHeight="1" x14ac:dyDescent="0.25">
      <c r="B375" s="9" t="s">
        <v>10</v>
      </c>
      <c r="C375" s="10" t="s">
        <v>938</v>
      </c>
      <c r="D375" s="89">
        <v>45467</v>
      </c>
      <c r="E375" s="167" t="s">
        <v>79</v>
      </c>
      <c r="F375" s="9" t="s">
        <v>943</v>
      </c>
      <c r="G375" s="160">
        <v>1685</v>
      </c>
      <c r="H375" s="160"/>
      <c r="I375" s="160">
        <f t="shared" si="12"/>
        <v>1685</v>
      </c>
      <c r="J375" s="160">
        <f t="shared" si="13"/>
        <v>84.25</v>
      </c>
      <c r="K375" s="160">
        <f t="shared" si="14"/>
        <v>1769.25</v>
      </c>
      <c r="L375" s="13" t="s">
        <v>9</v>
      </c>
      <c r="P375">
        <v>1</v>
      </c>
    </row>
    <row r="376" spans="2:16" ht="17.25" customHeight="1" x14ac:dyDescent="0.25">
      <c r="B376" s="9" t="s">
        <v>10</v>
      </c>
      <c r="C376" s="10" t="s">
        <v>939</v>
      </c>
      <c r="D376" s="89">
        <v>45467</v>
      </c>
      <c r="E376" s="167" t="s">
        <v>79</v>
      </c>
      <c r="F376" s="9" t="s">
        <v>942</v>
      </c>
      <c r="G376" s="160">
        <v>575</v>
      </c>
      <c r="H376" s="160"/>
      <c r="I376" s="160">
        <f t="shared" si="12"/>
        <v>575</v>
      </c>
      <c r="J376" s="160">
        <f t="shared" si="13"/>
        <v>28.75</v>
      </c>
      <c r="K376" s="160">
        <f t="shared" si="14"/>
        <v>603.75</v>
      </c>
      <c r="L376" s="13" t="s">
        <v>9</v>
      </c>
      <c r="P376">
        <v>1</v>
      </c>
    </row>
    <row r="377" spans="2:16" ht="17.25" customHeight="1" x14ac:dyDescent="0.25">
      <c r="B377" s="9" t="s">
        <v>244</v>
      </c>
      <c r="C377" s="10" t="s">
        <v>940</v>
      </c>
      <c r="D377" s="89">
        <v>45467</v>
      </c>
      <c r="E377" s="71" t="s">
        <v>246</v>
      </c>
      <c r="F377" s="9" t="s">
        <v>941</v>
      </c>
      <c r="G377" s="160">
        <v>210</v>
      </c>
      <c r="H377" s="160"/>
      <c r="I377" s="160">
        <f t="shared" si="12"/>
        <v>210</v>
      </c>
      <c r="J377" s="160">
        <f t="shared" si="13"/>
        <v>10.5</v>
      </c>
      <c r="K377" s="160">
        <f t="shared" si="14"/>
        <v>220.5</v>
      </c>
      <c r="L377" s="13" t="s">
        <v>9</v>
      </c>
      <c r="P377">
        <v>1</v>
      </c>
    </row>
    <row r="378" spans="2:16" ht="17.25" customHeight="1" x14ac:dyDescent="0.25">
      <c r="B378" s="9" t="s">
        <v>515</v>
      </c>
      <c r="C378" s="10" t="s">
        <v>944</v>
      </c>
      <c r="D378" s="89">
        <v>45465</v>
      </c>
      <c r="E378" s="71" t="s">
        <v>733</v>
      </c>
      <c r="F378" s="9" t="s">
        <v>945</v>
      </c>
      <c r="G378" s="160">
        <v>1263</v>
      </c>
      <c r="H378" s="160"/>
      <c r="I378" s="160">
        <f t="shared" si="12"/>
        <v>1263</v>
      </c>
      <c r="J378" s="160">
        <f t="shared" si="13"/>
        <v>63.150000000000006</v>
      </c>
      <c r="K378" s="160">
        <f t="shared" si="14"/>
        <v>1326.15</v>
      </c>
      <c r="L378" s="13" t="s">
        <v>78</v>
      </c>
      <c r="P378">
        <v>1</v>
      </c>
    </row>
    <row r="379" spans="2:16" ht="17.25" customHeight="1" x14ac:dyDescent="0.25">
      <c r="B379" s="9" t="s">
        <v>10</v>
      </c>
      <c r="C379" s="10" t="s">
        <v>946</v>
      </c>
      <c r="D379" s="89">
        <v>45469</v>
      </c>
      <c r="E379" s="71" t="s">
        <v>16</v>
      </c>
      <c r="F379" s="9" t="s">
        <v>952</v>
      </c>
      <c r="G379" s="160">
        <v>3540</v>
      </c>
      <c r="H379" s="160"/>
      <c r="I379" s="160">
        <f t="shared" si="12"/>
        <v>3540</v>
      </c>
      <c r="J379" s="160">
        <f t="shared" si="13"/>
        <v>177</v>
      </c>
      <c r="K379" s="160">
        <f t="shared" si="14"/>
        <v>3717</v>
      </c>
      <c r="L379" s="13" t="s">
        <v>9</v>
      </c>
      <c r="P379">
        <v>1</v>
      </c>
    </row>
    <row r="380" spans="2:16" ht="17.25" customHeight="1" x14ac:dyDescent="0.25">
      <c r="B380" s="9" t="s">
        <v>10</v>
      </c>
      <c r="C380" s="10" t="s">
        <v>947</v>
      </c>
      <c r="D380" s="89">
        <v>45471</v>
      </c>
      <c r="E380" s="71" t="s">
        <v>16</v>
      </c>
      <c r="F380" s="176" t="s">
        <v>953</v>
      </c>
      <c r="G380" s="160">
        <v>450</v>
      </c>
      <c r="H380" s="160"/>
      <c r="I380" s="160">
        <f t="shared" si="12"/>
        <v>450</v>
      </c>
      <c r="J380" s="160">
        <f t="shared" si="13"/>
        <v>22.5</v>
      </c>
      <c r="K380" s="160">
        <f t="shared" si="14"/>
        <v>472.5</v>
      </c>
      <c r="L380" s="13" t="s">
        <v>9</v>
      </c>
      <c r="P380">
        <v>1</v>
      </c>
    </row>
    <row r="381" spans="2:16" ht="17.25" customHeight="1" x14ac:dyDescent="0.25">
      <c r="B381" s="9" t="s">
        <v>731</v>
      </c>
      <c r="C381" s="10" t="s">
        <v>948</v>
      </c>
      <c r="D381" s="89">
        <v>45471</v>
      </c>
      <c r="E381" s="71"/>
      <c r="F381" s="9" t="s">
        <v>955</v>
      </c>
      <c r="G381" s="160">
        <v>1875</v>
      </c>
      <c r="H381" s="160"/>
      <c r="I381" s="160">
        <f t="shared" si="12"/>
        <v>1875</v>
      </c>
      <c r="J381" s="160">
        <f t="shared" si="13"/>
        <v>93.75</v>
      </c>
      <c r="K381" s="160">
        <f t="shared" si="14"/>
        <v>1968.75</v>
      </c>
      <c r="L381" s="13" t="s">
        <v>9</v>
      </c>
      <c r="P381">
        <v>1</v>
      </c>
    </row>
    <row r="382" spans="2:16" ht="17.25" customHeight="1" x14ac:dyDescent="0.25">
      <c r="B382" s="9" t="s">
        <v>10</v>
      </c>
      <c r="C382" s="10" t="s">
        <v>949</v>
      </c>
      <c r="D382" s="89">
        <v>45472</v>
      </c>
      <c r="E382" s="71" t="s">
        <v>16</v>
      </c>
      <c r="F382" s="9" t="s">
        <v>956</v>
      </c>
      <c r="G382" s="160">
        <v>12576</v>
      </c>
      <c r="H382" s="160"/>
      <c r="I382" s="160">
        <f t="shared" si="12"/>
        <v>12576</v>
      </c>
      <c r="J382" s="160">
        <f t="shared" si="13"/>
        <v>628.80000000000007</v>
      </c>
      <c r="K382" s="160">
        <f t="shared" si="14"/>
        <v>13204.8</v>
      </c>
      <c r="L382" s="13" t="s">
        <v>9</v>
      </c>
      <c r="P382">
        <v>1</v>
      </c>
    </row>
    <row r="383" spans="2:16" ht="17.25" customHeight="1" x14ac:dyDescent="0.25">
      <c r="B383" s="9" t="s">
        <v>94</v>
      </c>
      <c r="C383" s="10" t="s">
        <v>950</v>
      </c>
      <c r="D383" s="89">
        <v>45471</v>
      </c>
      <c r="E383" s="71" t="s">
        <v>96</v>
      </c>
      <c r="F383" s="9" t="s">
        <v>95</v>
      </c>
      <c r="G383" s="160">
        <v>285</v>
      </c>
      <c r="H383" s="160"/>
      <c r="I383" s="160">
        <f t="shared" si="12"/>
        <v>285</v>
      </c>
      <c r="J383" s="160">
        <f t="shared" si="13"/>
        <v>14.25</v>
      </c>
      <c r="K383" s="160">
        <f t="shared" si="14"/>
        <v>299.25</v>
      </c>
      <c r="L383" s="13" t="s">
        <v>78</v>
      </c>
      <c r="P383">
        <v>1</v>
      </c>
    </row>
    <row r="384" spans="2:16" ht="17.25" customHeight="1" x14ac:dyDescent="0.25">
      <c r="B384" s="9" t="s">
        <v>957</v>
      </c>
      <c r="C384" s="10" t="s">
        <v>951</v>
      </c>
      <c r="D384" s="89">
        <v>45469</v>
      </c>
      <c r="E384" s="71" t="s">
        <v>958</v>
      </c>
      <c r="F384" s="9" t="s">
        <v>225</v>
      </c>
      <c r="G384" s="160">
        <v>285</v>
      </c>
      <c r="H384" s="160"/>
      <c r="I384" s="160">
        <f t="shared" si="12"/>
        <v>285</v>
      </c>
      <c r="J384" s="160">
        <f t="shared" si="13"/>
        <v>14.25</v>
      </c>
      <c r="K384" s="160">
        <f t="shared" si="14"/>
        <v>299.25</v>
      </c>
      <c r="L384" s="13" t="s">
        <v>9</v>
      </c>
      <c r="P384">
        <v>1</v>
      </c>
    </row>
    <row r="385" spans="2:16" ht="17.25" customHeight="1" x14ac:dyDescent="0.25">
      <c r="B385" s="9" t="s">
        <v>29</v>
      </c>
      <c r="C385" s="10" t="s">
        <v>959</v>
      </c>
      <c r="D385" s="89">
        <v>45471</v>
      </c>
      <c r="E385" s="71" t="s">
        <v>128</v>
      </c>
      <c r="F385" s="9" t="s">
        <v>225</v>
      </c>
      <c r="G385" s="160">
        <v>275</v>
      </c>
      <c r="H385" s="160"/>
      <c r="I385" s="160">
        <f t="shared" si="12"/>
        <v>275</v>
      </c>
      <c r="J385" s="160">
        <f t="shared" si="13"/>
        <v>13.75</v>
      </c>
      <c r="K385" s="160">
        <f t="shared" si="14"/>
        <v>288.75</v>
      </c>
      <c r="L385" s="13" t="s">
        <v>9</v>
      </c>
      <c r="P385">
        <v>1</v>
      </c>
    </row>
    <row r="386" spans="2:16" ht="17.25" customHeight="1" x14ac:dyDescent="0.25">
      <c r="B386" s="9" t="s">
        <v>142</v>
      </c>
      <c r="C386" s="10" t="s">
        <v>960</v>
      </c>
      <c r="D386" s="89">
        <v>45469</v>
      </c>
      <c r="E386" s="71" t="s">
        <v>143</v>
      </c>
      <c r="F386" s="9" t="s">
        <v>962</v>
      </c>
      <c r="G386" s="160">
        <v>1296</v>
      </c>
      <c r="H386" s="160"/>
      <c r="I386" s="160">
        <f t="shared" si="12"/>
        <v>1296</v>
      </c>
      <c r="J386" s="160">
        <f t="shared" si="13"/>
        <v>64.8</v>
      </c>
      <c r="K386" s="160">
        <f t="shared" si="14"/>
        <v>1360.8</v>
      </c>
      <c r="L386" s="13" t="s">
        <v>9</v>
      </c>
      <c r="P386">
        <v>1</v>
      </c>
    </row>
    <row r="387" spans="2:16" ht="17.25" customHeight="1" x14ac:dyDescent="0.25">
      <c r="B387" s="9" t="s">
        <v>963</v>
      </c>
      <c r="C387" s="10" t="s">
        <v>961</v>
      </c>
      <c r="D387" s="89">
        <v>45470</v>
      </c>
      <c r="E387" s="70"/>
      <c r="F387" s="9" t="s">
        <v>964</v>
      </c>
      <c r="G387" s="160">
        <v>425</v>
      </c>
      <c r="H387" s="160"/>
      <c r="I387" s="160">
        <f t="shared" si="12"/>
        <v>425</v>
      </c>
      <c r="J387" s="160">
        <f t="shared" si="13"/>
        <v>21.25</v>
      </c>
      <c r="K387" s="160">
        <f t="shared" si="14"/>
        <v>446.25</v>
      </c>
      <c r="L387" s="13" t="s">
        <v>9</v>
      </c>
      <c r="P387">
        <v>1</v>
      </c>
    </row>
    <row r="388" spans="2:16" ht="17.25" customHeight="1" x14ac:dyDescent="0.25">
      <c r="B388" s="9" t="s">
        <v>515</v>
      </c>
      <c r="C388" s="10" t="s">
        <v>965</v>
      </c>
      <c r="D388" s="89">
        <v>45470</v>
      </c>
      <c r="E388" s="70">
        <v>100267612800003</v>
      </c>
      <c r="F388" s="9" t="s">
        <v>974</v>
      </c>
      <c r="G388" s="160">
        <v>2125</v>
      </c>
      <c r="H388" s="160"/>
      <c r="I388" s="160">
        <f t="shared" si="12"/>
        <v>2125</v>
      </c>
      <c r="J388" s="160">
        <f t="shared" si="13"/>
        <v>106.25</v>
      </c>
      <c r="K388" s="160">
        <f t="shared" si="14"/>
        <v>2231.25</v>
      </c>
      <c r="L388" s="13" t="s">
        <v>78</v>
      </c>
      <c r="P388">
        <v>1</v>
      </c>
    </row>
    <row r="389" spans="2:16" ht="17.25" customHeight="1" x14ac:dyDescent="0.25">
      <c r="B389" s="9" t="s">
        <v>100</v>
      </c>
      <c r="C389" s="10" t="s">
        <v>966</v>
      </c>
      <c r="D389" s="89">
        <v>45470</v>
      </c>
      <c r="E389" s="70"/>
      <c r="F389" s="9" t="s">
        <v>975</v>
      </c>
      <c r="G389" s="160">
        <v>820</v>
      </c>
      <c r="H389" s="160"/>
      <c r="I389" s="160">
        <f t="shared" si="12"/>
        <v>820</v>
      </c>
      <c r="J389" s="160">
        <f t="shared" si="13"/>
        <v>41</v>
      </c>
      <c r="K389" s="160">
        <f t="shared" si="14"/>
        <v>861</v>
      </c>
      <c r="L389" s="13" t="s">
        <v>9</v>
      </c>
      <c r="P389">
        <v>1</v>
      </c>
    </row>
    <row r="390" spans="2:16" ht="17.25" customHeight="1" x14ac:dyDescent="0.25">
      <c r="B390" s="9" t="s">
        <v>81</v>
      </c>
      <c r="C390" s="10" t="s">
        <v>967</v>
      </c>
      <c r="D390" s="89">
        <v>45471</v>
      </c>
      <c r="E390" s="70">
        <v>100056728700003</v>
      </c>
      <c r="F390" s="9" t="s">
        <v>225</v>
      </c>
      <c r="G390" s="160">
        <v>495</v>
      </c>
      <c r="H390" s="160"/>
      <c r="I390" s="160">
        <f t="shared" si="12"/>
        <v>495</v>
      </c>
      <c r="J390" s="160">
        <f t="shared" si="13"/>
        <v>24.75</v>
      </c>
      <c r="K390" s="160">
        <f t="shared" si="14"/>
        <v>519.75</v>
      </c>
      <c r="L390" s="13" t="s">
        <v>78</v>
      </c>
      <c r="P390">
        <v>1</v>
      </c>
    </row>
    <row r="391" spans="2:16" ht="17.25" customHeight="1" x14ac:dyDescent="0.25">
      <c r="B391" s="9" t="s">
        <v>236</v>
      </c>
      <c r="C391" s="10" t="s">
        <v>968</v>
      </c>
      <c r="D391" s="89">
        <v>45470</v>
      </c>
      <c r="E391" s="71" t="s">
        <v>237</v>
      </c>
      <c r="F391" s="9" t="s">
        <v>976</v>
      </c>
      <c r="G391" s="160">
        <v>60</v>
      </c>
      <c r="H391" s="160"/>
      <c r="I391" s="160">
        <f t="shared" si="12"/>
        <v>60</v>
      </c>
      <c r="J391" s="160">
        <f t="shared" si="13"/>
        <v>3</v>
      </c>
      <c r="K391" s="160">
        <f t="shared" si="14"/>
        <v>63</v>
      </c>
      <c r="L391" s="13" t="s">
        <v>9</v>
      </c>
      <c r="P391">
        <v>1</v>
      </c>
    </row>
    <row r="392" spans="2:16" ht="17.25" customHeight="1" x14ac:dyDescent="0.25">
      <c r="B392" s="9" t="s">
        <v>236</v>
      </c>
      <c r="C392" s="10" t="s">
        <v>969</v>
      </c>
      <c r="D392" s="89">
        <v>45470</v>
      </c>
      <c r="E392" s="71" t="s">
        <v>237</v>
      </c>
      <c r="F392" s="9" t="s">
        <v>976</v>
      </c>
      <c r="G392" s="160">
        <v>30</v>
      </c>
      <c r="H392" s="160"/>
      <c r="I392" s="160">
        <f t="shared" si="12"/>
        <v>30</v>
      </c>
      <c r="J392" s="160">
        <f t="shared" si="13"/>
        <v>1.5</v>
      </c>
      <c r="K392" s="160">
        <f t="shared" si="14"/>
        <v>31.5</v>
      </c>
      <c r="L392" s="13" t="s">
        <v>9</v>
      </c>
      <c r="P392">
        <v>1</v>
      </c>
    </row>
    <row r="393" spans="2:16" ht="17.25" customHeight="1" x14ac:dyDescent="0.25">
      <c r="B393" s="9" t="s">
        <v>644</v>
      </c>
      <c r="C393" s="10" t="s">
        <v>970</v>
      </c>
      <c r="D393" s="89">
        <v>45473</v>
      </c>
      <c r="E393" s="71" t="s">
        <v>645</v>
      </c>
      <c r="F393" s="9" t="s">
        <v>646</v>
      </c>
      <c r="G393" s="160">
        <v>760</v>
      </c>
      <c r="H393" s="160"/>
      <c r="I393" s="160">
        <f t="shared" si="12"/>
        <v>760</v>
      </c>
      <c r="J393" s="160">
        <f t="shared" si="13"/>
        <v>38</v>
      </c>
      <c r="K393" s="160">
        <f t="shared" si="14"/>
        <v>798</v>
      </c>
      <c r="L393" s="13" t="s">
        <v>9</v>
      </c>
      <c r="P393">
        <v>1</v>
      </c>
    </row>
    <row r="394" spans="2:16" ht="17.25" customHeight="1" x14ac:dyDescent="0.25">
      <c r="B394" s="9" t="s">
        <v>75</v>
      </c>
      <c r="C394" s="10" t="s">
        <v>971</v>
      </c>
      <c r="D394" s="89">
        <v>45470</v>
      </c>
      <c r="E394" s="71" t="s">
        <v>978</v>
      </c>
      <c r="F394" s="9" t="s">
        <v>979</v>
      </c>
      <c r="G394" s="160">
        <v>8375</v>
      </c>
      <c r="H394" s="160"/>
      <c r="I394" s="160">
        <f t="shared" si="12"/>
        <v>8375</v>
      </c>
      <c r="J394" s="160">
        <f t="shared" si="13"/>
        <v>418.75</v>
      </c>
      <c r="K394" s="160">
        <f t="shared" si="14"/>
        <v>8793.75</v>
      </c>
      <c r="L394" s="13" t="s">
        <v>25</v>
      </c>
      <c r="P394">
        <v>1</v>
      </c>
    </row>
    <row r="395" spans="2:16" ht="17.25" customHeight="1" x14ac:dyDescent="0.25">
      <c r="B395" s="9" t="s">
        <v>980</v>
      </c>
      <c r="C395" s="10" t="s">
        <v>972</v>
      </c>
      <c r="D395" s="89">
        <v>45471</v>
      </c>
      <c r="E395" s="71" t="s">
        <v>981</v>
      </c>
      <c r="F395" s="9" t="s">
        <v>982</v>
      </c>
      <c r="G395" s="160">
        <v>10930</v>
      </c>
      <c r="H395" s="160"/>
      <c r="I395" s="160">
        <f t="shared" si="12"/>
        <v>10930</v>
      </c>
      <c r="J395" s="160">
        <f t="shared" si="13"/>
        <v>546.5</v>
      </c>
      <c r="K395" s="160">
        <f t="shared" si="14"/>
        <v>11476.5</v>
      </c>
      <c r="L395" s="13" t="s">
        <v>78</v>
      </c>
      <c r="P395">
        <v>1</v>
      </c>
    </row>
    <row r="396" spans="2:16" ht="17.25" customHeight="1" x14ac:dyDescent="0.25">
      <c r="B396" s="9" t="s">
        <v>990</v>
      </c>
      <c r="C396" s="10" t="s">
        <v>973</v>
      </c>
      <c r="D396" s="89">
        <v>45471</v>
      </c>
      <c r="E396" s="71" t="s">
        <v>991</v>
      </c>
      <c r="F396" s="9" t="s">
        <v>95</v>
      </c>
      <c r="G396" s="160">
        <v>235</v>
      </c>
      <c r="H396" s="160"/>
      <c r="I396" s="160">
        <f t="shared" si="12"/>
        <v>235</v>
      </c>
      <c r="J396" s="160">
        <f t="shared" si="13"/>
        <v>11.75</v>
      </c>
      <c r="K396" s="160">
        <f t="shared" si="14"/>
        <v>246.75</v>
      </c>
      <c r="L396" s="13" t="s">
        <v>78</v>
      </c>
      <c r="P396">
        <v>1</v>
      </c>
    </row>
    <row r="397" spans="2:16" ht="17.25" customHeight="1" x14ac:dyDescent="0.25">
      <c r="B397" s="9" t="s">
        <v>10</v>
      </c>
      <c r="C397" s="10" t="s">
        <v>984</v>
      </c>
      <c r="D397" s="89">
        <v>45470</v>
      </c>
      <c r="E397" s="70" t="s">
        <v>992</v>
      </c>
      <c r="F397" s="9" t="s">
        <v>993</v>
      </c>
      <c r="G397" s="160">
        <v>565</v>
      </c>
      <c r="H397" s="160"/>
      <c r="I397" s="160">
        <f t="shared" si="12"/>
        <v>565</v>
      </c>
      <c r="J397" s="160">
        <f t="shared" si="13"/>
        <v>28.25</v>
      </c>
      <c r="K397" s="160">
        <f t="shared" si="14"/>
        <v>593.25</v>
      </c>
      <c r="L397" s="13" t="s">
        <v>9</v>
      </c>
      <c r="P397">
        <v>1</v>
      </c>
    </row>
    <row r="398" spans="2:16" ht="17.25" customHeight="1" x14ac:dyDescent="0.25">
      <c r="B398" s="9" t="s">
        <v>515</v>
      </c>
      <c r="C398" s="10" t="s">
        <v>985</v>
      </c>
      <c r="D398" s="89">
        <v>45471</v>
      </c>
      <c r="E398" s="71" t="s">
        <v>733</v>
      </c>
      <c r="F398" s="9" t="s">
        <v>994</v>
      </c>
      <c r="G398" s="160">
        <v>20950</v>
      </c>
      <c r="H398" s="160"/>
      <c r="I398" s="160">
        <f t="shared" ref="I398:I412" si="15">G398-H398</f>
        <v>20950</v>
      </c>
      <c r="J398" s="160">
        <f t="shared" ref="J398:J412" si="16">G398*5%</f>
        <v>1047.5</v>
      </c>
      <c r="K398" s="160">
        <f t="shared" ref="K398:K412" si="17">G398+J398</f>
        <v>21997.5</v>
      </c>
      <c r="L398" s="13" t="s">
        <v>78</v>
      </c>
      <c r="P398">
        <v>1</v>
      </c>
    </row>
    <row r="399" spans="2:16" ht="17.25" customHeight="1" x14ac:dyDescent="0.25">
      <c r="B399" s="9" t="s">
        <v>980</v>
      </c>
      <c r="C399" s="10" t="s">
        <v>986</v>
      </c>
      <c r="D399" s="89">
        <v>45471</v>
      </c>
      <c r="E399" s="71" t="s">
        <v>981</v>
      </c>
      <c r="F399" s="9" t="s">
        <v>996</v>
      </c>
      <c r="G399" s="160">
        <v>212.25</v>
      </c>
      <c r="H399" s="160"/>
      <c r="I399" s="160">
        <f t="shared" si="15"/>
        <v>212.25</v>
      </c>
      <c r="J399" s="160">
        <f t="shared" si="16"/>
        <v>10.612500000000001</v>
      </c>
      <c r="K399" s="160">
        <f t="shared" si="17"/>
        <v>222.86250000000001</v>
      </c>
      <c r="L399" s="13" t="s">
        <v>78</v>
      </c>
      <c r="P399">
        <v>1</v>
      </c>
    </row>
    <row r="400" spans="2:16" ht="17.25" customHeight="1" x14ac:dyDescent="0.25">
      <c r="B400" s="9" t="s">
        <v>983</v>
      </c>
      <c r="C400" s="10" t="s">
        <v>987</v>
      </c>
      <c r="D400" s="89">
        <v>45471</v>
      </c>
      <c r="E400" s="71" t="s">
        <v>989</v>
      </c>
      <c r="F400" s="9" t="s">
        <v>988</v>
      </c>
      <c r="G400" s="160">
        <v>915</v>
      </c>
      <c r="H400" s="160"/>
      <c r="I400" s="160">
        <f t="shared" si="15"/>
        <v>915</v>
      </c>
      <c r="J400" s="160">
        <f t="shared" si="16"/>
        <v>45.75</v>
      </c>
      <c r="K400" s="160">
        <f t="shared" si="17"/>
        <v>960.75</v>
      </c>
      <c r="L400" s="13" t="s">
        <v>25</v>
      </c>
      <c r="P400">
        <v>1</v>
      </c>
    </row>
    <row r="401" spans="2:16" ht="17.25" customHeight="1" x14ac:dyDescent="0.25">
      <c r="B401" s="9" t="s">
        <v>10</v>
      </c>
      <c r="C401" s="10" t="s">
        <v>997</v>
      </c>
      <c r="D401" s="89">
        <v>45473</v>
      </c>
      <c r="E401" s="71" t="s">
        <v>16</v>
      </c>
      <c r="F401" s="179" t="s">
        <v>1001</v>
      </c>
      <c r="G401" s="160">
        <v>11212.5</v>
      </c>
      <c r="H401" s="160"/>
      <c r="I401" s="160">
        <f t="shared" si="15"/>
        <v>11212.5</v>
      </c>
      <c r="J401" s="160">
        <f t="shared" si="16"/>
        <v>560.625</v>
      </c>
      <c r="K401" s="160">
        <f t="shared" si="17"/>
        <v>11773.125</v>
      </c>
      <c r="L401" s="13" t="s">
        <v>9</v>
      </c>
      <c r="P401">
        <v>1</v>
      </c>
    </row>
    <row r="402" spans="2:16" ht="17.25" customHeight="1" x14ac:dyDescent="0.25">
      <c r="B402" s="9" t="s">
        <v>731</v>
      </c>
      <c r="C402" s="10" t="s">
        <v>998</v>
      </c>
      <c r="D402" s="89">
        <v>45471</v>
      </c>
      <c r="E402" s="70"/>
      <c r="F402" s="9" t="s">
        <v>1002</v>
      </c>
      <c r="G402" s="160">
        <v>2642.5</v>
      </c>
      <c r="H402" s="160"/>
      <c r="I402" s="160">
        <f t="shared" si="15"/>
        <v>2642.5</v>
      </c>
      <c r="J402" s="160">
        <f t="shared" si="16"/>
        <v>132.125</v>
      </c>
      <c r="K402" s="160">
        <f t="shared" si="17"/>
        <v>2774.625</v>
      </c>
      <c r="L402" s="13" t="s">
        <v>9</v>
      </c>
      <c r="P402">
        <v>1</v>
      </c>
    </row>
    <row r="403" spans="2:16" ht="17.25" customHeight="1" x14ac:dyDescent="0.25">
      <c r="B403" s="9" t="s">
        <v>10</v>
      </c>
      <c r="C403" s="10" t="s">
        <v>999</v>
      </c>
      <c r="D403" s="89">
        <v>45473</v>
      </c>
      <c r="E403" s="71" t="s">
        <v>16</v>
      </c>
      <c r="F403" s="179" t="s">
        <v>956</v>
      </c>
      <c r="G403" s="160">
        <v>491.25</v>
      </c>
      <c r="H403" s="160"/>
      <c r="I403" s="160">
        <f t="shared" si="15"/>
        <v>491.25</v>
      </c>
      <c r="J403" s="160">
        <f t="shared" si="16"/>
        <v>24.5625</v>
      </c>
      <c r="K403" s="160">
        <f t="shared" si="17"/>
        <v>515.8125</v>
      </c>
      <c r="L403" s="13" t="s">
        <v>9</v>
      </c>
      <c r="P403">
        <v>1</v>
      </c>
    </row>
    <row r="404" spans="2:16" ht="17.25" customHeight="1" x14ac:dyDescent="0.25">
      <c r="B404" s="9" t="s">
        <v>409</v>
      </c>
      <c r="C404" s="10" t="s">
        <v>1000</v>
      </c>
      <c r="D404" s="89">
        <v>45471</v>
      </c>
      <c r="E404" s="71" t="s">
        <v>181</v>
      </c>
      <c r="F404" s="9" t="s">
        <v>1003</v>
      </c>
      <c r="G404" s="160">
        <v>485</v>
      </c>
      <c r="H404" s="160"/>
      <c r="I404" s="160">
        <f t="shared" si="15"/>
        <v>485</v>
      </c>
      <c r="J404" s="160">
        <f t="shared" si="16"/>
        <v>24.25</v>
      </c>
      <c r="K404" s="160">
        <f t="shared" si="17"/>
        <v>509.25</v>
      </c>
      <c r="L404" s="13" t="s">
        <v>78</v>
      </c>
      <c r="P404">
        <v>1</v>
      </c>
    </row>
    <row r="405" spans="2:16" ht="17.25" customHeight="1" x14ac:dyDescent="0.25">
      <c r="B405" s="9" t="s">
        <v>10</v>
      </c>
      <c r="C405" s="10" t="s">
        <v>1004</v>
      </c>
      <c r="D405" s="89">
        <v>45473</v>
      </c>
      <c r="E405" s="71" t="s">
        <v>16</v>
      </c>
      <c r="F405" s="9" t="s">
        <v>1005</v>
      </c>
      <c r="G405" s="160">
        <v>1225</v>
      </c>
      <c r="H405" s="160"/>
      <c r="I405" s="160">
        <f t="shared" si="15"/>
        <v>1225</v>
      </c>
      <c r="J405" s="160">
        <f t="shared" si="16"/>
        <v>61.25</v>
      </c>
      <c r="K405" s="160">
        <f t="shared" si="17"/>
        <v>1286.25</v>
      </c>
      <c r="L405" s="13" t="s">
        <v>9</v>
      </c>
      <c r="P405">
        <v>1</v>
      </c>
    </row>
    <row r="406" spans="2:16" ht="17.25" customHeight="1" x14ac:dyDescent="0.25">
      <c r="B406" s="9" t="s">
        <v>1006</v>
      </c>
      <c r="C406" s="10" t="s">
        <v>1007</v>
      </c>
      <c r="D406" s="89">
        <v>45473</v>
      </c>
      <c r="E406" s="70"/>
      <c r="F406" s="9" t="s">
        <v>1008</v>
      </c>
      <c r="G406" s="160">
        <v>714.29</v>
      </c>
      <c r="H406" s="160"/>
      <c r="I406" s="160">
        <f t="shared" si="15"/>
        <v>714.29</v>
      </c>
      <c r="J406" s="160">
        <f t="shared" si="16"/>
        <v>35.714500000000001</v>
      </c>
      <c r="K406" s="160">
        <f t="shared" si="17"/>
        <v>750.00450000000001</v>
      </c>
      <c r="L406" s="13" t="s">
        <v>9</v>
      </c>
      <c r="P406">
        <v>1</v>
      </c>
    </row>
    <row r="407" spans="2:16" ht="17.25" customHeight="1" x14ac:dyDescent="0.25">
      <c r="H407" s="178"/>
      <c r="I407" s="178">
        <f t="shared" si="15"/>
        <v>0</v>
      </c>
      <c r="J407" s="178">
        <f t="shared" si="16"/>
        <v>0</v>
      </c>
      <c r="K407" s="178">
        <f t="shared" si="17"/>
        <v>0</v>
      </c>
      <c r="P407">
        <v>1</v>
      </c>
    </row>
    <row r="408" spans="2:16" ht="17.25" customHeight="1" x14ac:dyDescent="0.25">
      <c r="H408" s="160"/>
      <c r="I408" s="160">
        <f t="shared" si="15"/>
        <v>0</v>
      </c>
      <c r="J408" s="160">
        <f t="shared" si="16"/>
        <v>0</v>
      </c>
      <c r="K408" s="160">
        <f t="shared" si="17"/>
        <v>0</v>
      </c>
    </row>
    <row r="409" spans="2:16" ht="17.25" customHeight="1" x14ac:dyDescent="0.25">
      <c r="H409" s="160"/>
      <c r="I409" s="160">
        <f t="shared" si="15"/>
        <v>0</v>
      </c>
      <c r="J409" s="160">
        <f t="shared" si="16"/>
        <v>0</v>
      </c>
      <c r="K409" s="160">
        <f t="shared" si="17"/>
        <v>0</v>
      </c>
    </row>
    <row r="410" spans="2:16" ht="17.25" customHeight="1" x14ac:dyDescent="0.25">
      <c r="H410" s="160"/>
      <c r="I410" s="160">
        <f t="shared" si="15"/>
        <v>0</v>
      </c>
      <c r="J410" s="160">
        <f t="shared" si="16"/>
        <v>0</v>
      </c>
      <c r="K410" s="160">
        <f t="shared" si="17"/>
        <v>0</v>
      </c>
    </row>
    <row r="411" spans="2:16" ht="17.25" customHeight="1" x14ac:dyDescent="0.25">
      <c r="H411" s="160"/>
      <c r="I411" s="160">
        <f t="shared" si="15"/>
        <v>0</v>
      </c>
      <c r="J411" s="160">
        <f t="shared" si="16"/>
        <v>0</v>
      </c>
      <c r="K411" s="160">
        <f t="shared" si="17"/>
        <v>0</v>
      </c>
    </row>
    <row r="412" spans="2:16" ht="17.25" customHeight="1" x14ac:dyDescent="0.25">
      <c r="H412" s="160"/>
      <c r="I412" s="160">
        <f t="shared" si="15"/>
        <v>0</v>
      </c>
      <c r="J412" s="160">
        <f t="shared" si="16"/>
        <v>0</v>
      </c>
      <c r="K412" s="160">
        <f t="shared" si="17"/>
        <v>0</v>
      </c>
    </row>
  </sheetData>
  <autoFilter ref="B2:P412" xr:uid="{F4B167F0-8EFA-439D-90AA-1C5A7FAC5A10}"/>
  <conditionalFormatting sqref="B2 E2 L367:L373 B395 B397:B399 E12:E404 B407:B1048576 E407:E1048576 B11:B393 B401:B404">
    <cfRule type="duplicateValues" dxfId="38" priority="22"/>
  </conditionalFormatting>
  <conditionalFormatting sqref="B2 L367:L373 B395 B397:B399 B407:B1048576 B11:B393 B401:B404">
    <cfRule type="duplicateValues" dxfId="37" priority="21"/>
  </conditionalFormatting>
  <conditionalFormatting sqref="B3 E3">
    <cfRule type="duplicateValues" dxfId="36" priority="14"/>
  </conditionalFormatting>
  <conditionalFormatting sqref="B3">
    <cfRule type="duplicateValues" dxfId="35" priority="18"/>
  </conditionalFormatting>
  <conditionalFormatting sqref="B4:B5 E4:E5">
    <cfRule type="duplicateValues" dxfId="34" priority="17"/>
  </conditionalFormatting>
  <conditionalFormatting sqref="B4:B5">
    <cfRule type="duplicateValues" dxfId="33" priority="15"/>
  </conditionalFormatting>
  <conditionalFormatting sqref="B10 B34 B64 B70 B137 B145:B146 B161 B169 B175:B176 B180 B229 B237 B239 B242 B252 B257:B258 B265 B267 B283 B292 B302 B309 B324 B333 B335 B352 B364 B369 B385">
    <cfRule type="duplicateValues" dxfId="32" priority="9"/>
    <cfRule type="duplicateValues" dxfId="31" priority="10"/>
  </conditionalFormatting>
  <conditionalFormatting sqref="B405 E405">
    <cfRule type="duplicateValues" dxfId="30" priority="5"/>
    <cfRule type="duplicateValues" dxfId="29" priority="8"/>
  </conditionalFormatting>
  <conditionalFormatting sqref="B405">
    <cfRule type="duplicateValues" dxfId="28" priority="7"/>
  </conditionalFormatting>
  <conditionalFormatting sqref="B406 E406">
    <cfRule type="duplicateValues" dxfId="27" priority="1"/>
    <cfRule type="duplicateValues" dxfId="26" priority="4"/>
  </conditionalFormatting>
  <conditionalFormatting sqref="B406">
    <cfRule type="duplicateValues" dxfId="25" priority="3"/>
  </conditionalFormatting>
  <conditionalFormatting sqref="E2 E12:E404 E407:E1048576">
    <cfRule type="duplicateValues" dxfId="24" priority="20"/>
  </conditionalFormatting>
  <conditionalFormatting sqref="E3">
    <cfRule type="duplicateValues" dxfId="23" priority="11"/>
    <cfRule type="duplicateValues" dxfId="22" priority="12"/>
    <cfRule type="duplicateValues" dxfId="21" priority="13"/>
  </conditionalFormatting>
  <conditionalFormatting sqref="E4:E5">
    <cfRule type="duplicateValues" dxfId="20" priority="16"/>
  </conditionalFormatting>
  <conditionalFormatting sqref="E405">
    <cfRule type="duplicateValues" dxfId="19" priority="6"/>
  </conditionalFormatting>
  <conditionalFormatting sqref="E406">
    <cfRule type="duplicateValues" dxfId="18" priority="2"/>
  </conditionalFormatting>
  <conditionalFormatting sqref="L367:L373 B395 B397:B399 E1:E404 B407:B1048576 E407:E1048576 B1:B393 B401:B404">
    <cfRule type="duplicateValues" dxfId="17" priority="19"/>
  </conditionalFormatting>
  <dataValidations count="3">
    <dataValidation type="list" allowBlank="1" showInputMessage="1" showErrorMessage="1" sqref="L394" xr:uid="{9B6ECF45-5FD4-40DB-B1D3-895D1F2187AB}">
      <formula1>"DM, MARINELLE, REENA,GLEN, PROFORMA,GAGANDEEP, MARIYA"</formula1>
    </dataValidation>
    <dataValidation type="list" allowBlank="1" showInputMessage="1" showErrorMessage="1" sqref="L3:L159" xr:uid="{C0E89D99-6608-4D74-B5E8-9619D3A30277}">
      <formula1>"DM, MARINELLE, REENA,GLEN, PROFORMA,MELVIN"</formula1>
    </dataValidation>
    <dataValidation type="list" allowBlank="1" showInputMessage="1" showErrorMessage="1" sqref="L1:L2 L160:L393 L395:L1048576" xr:uid="{4A6E541E-6498-4A09-BE68-7096C8E9F1BE}">
      <formula1>"DM, MARINELLE, REENA,GLEN, PROFORMA, GAGANDEEP, KF MARIYA"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998F-7375-4FF8-B4C7-2EABDD75B261}">
  <dimension ref="A3:T46"/>
  <sheetViews>
    <sheetView zoomScale="75" zoomScaleNormal="75" workbookViewId="0">
      <selection activeCell="M25" sqref="M25"/>
    </sheetView>
  </sheetViews>
  <sheetFormatPr defaultRowHeight="15" x14ac:dyDescent="0.25"/>
  <cols>
    <col min="1" max="1" width="55.7109375" bestFit="1" customWidth="1"/>
    <col min="2" max="2" width="13.42578125" style="32" bestFit="1" customWidth="1"/>
    <col min="3" max="3" width="11.5703125" style="32" bestFit="1" customWidth="1"/>
    <col min="4" max="4" width="10.85546875" style="32" bestFit="1" customWidth="1"/>
    <col min="5" max="5" width="47" style="26" bestFit="1" customWidth="1"/>
    <col min="6" max="6" width="13.42578125" style="26" bestFit="1" customWidth="1"/>
    <col min="7" max="7" width="11.5703125" style="26" bestFit="1" customWidth="1"/>
    <col min="8" max="9" width="9.85546875" style="26" bestFit="1" customWidth="1"/>
    <col min="10" max="10" width="25.85546875" style="26" bestFit="1" customWidth="1"/>
    <col min="11" max="11" width="13.42578125" style="32" bestFit="1" customWidth="1"/>
    <col min="12" max="13" width="11.5703125" style="32" bestFit="1" customWidth="1"/>
    <col min="14" max="14" width="10.42578125" style="32" bestFit="1" customWidth="1"/>
    <col min="15" max="16" width="11.5703125" style="32" bestFit="1" customWidth="1"/>
    <col min="17" max="17" width="11.5703125" style="26" bestFit="1" customWidth="1"/>
    <col min="18" max="18" width="11" style="26" customWidth="1"/>
    <col min="19" max="19" width="13.85546875" style="26" bestFit="1" customWidth="1"/>
    <col min="20" max="20" width="9.85546875" style="26" bestFit="1" customWidth="1"/>
    <col min="21" max="22" width="9.85546875" bestFit="1" customWidth="1"/>
    <col min="23" max="29" width="9.140625" bestFit="1" customWidth="1"/>
    <col min="30" max="34" width="10.140625" bestFit="1" customWidth="1"/>
    <col min="35" max="35" width="10.85546875" bestFit="1" customWidth="1"/>
    <col min="36" max="43" width="10.140625" bestFit="1" customWidth="1"/>
    <col min="44" max="51" width="9.42578125" bestFit="1" customWidth="1"/>
    <col min="52" max="65" width="10.5703125" bestFit="1" customWidth="1"/>
    <col min="66" max="70" width="8.85546875" bestFit="1" customWidth="1"/>
    <col min="71" max="82" width="10" bestFit="1" customWidth="1"/>
    <col min="83" max="88" width="9.85546875" bestFit="1" customWidth="1"/>
    <col min="89" max="105" width="10.85546875" bestFit="1" customWidth="1"/>
    <col min="106" max="106" width="12" bestFit="1" customWidth="1"/>
    <col min="107" max="107" width="12.140625" bestFit="1" customWidth="1"/>
    <col min="108" max="108" width="10.28515625" bestFit="1" customWidth="1"/>
    <col min="109" max="109" width="11" bestFit="1" customWidth="1"/>
    <col min="110" max="113" width="10.28515625" bestFit="1" customWidth="1"/>
    <col min="114" max="114" width="7.28515625" bestFit="1" customWidth="1"/>
    <col min="115" max="115" width="12.7109375" bestFit="1" customWidth="1"/>
  </cols>
  <sheetData>
    <row r="3" spans="1:19" x14ac:dyDescent="0.25">
      <c r="A3" s="30" t="s">
        <v>31</v>
      </c>
      <c r="B3" s="86" t="s">
        <v>602</v>
      </c>
      <c r="C3" s="14"/>
      <c r="E3" s="30" t="s">
        <v>31</v>
      </c>
      <c r="F3" s="86" t="s">
        <v>602</v>
      </c>
      <c r="G3" s="14"/>
      <c r="J3" s="100" t="s">
        <v>31</v>
      </c>
      <c r="K3" s="208" t="s">
        <v>602</v>
      </c>
      <c r="L3" s="10"/>
      <c r="M3" s="10"/>
      <c r="N3" s="10"/>
      <c r="O3" s="10"/>
      <c r="P3" s="10"/>
      <c r="Q3" s="10"/>
      <c r="R3" s="10"/>
      <c r="S3" s="10"/>
    </row>
    <row r="4" spans="1:19" x14ac:dyDescent="0.25">
      <c r="A4" s="30" t="s">
        <v>601</v>
      </c>
      <c r="B4" s="25" t="s">
        <v>847</v>
      </c>
      <c r="C4" s="14" t="s">
        <v>13</v>
      </c>
      <c r="E4" s="30" t="s">
        <v>601</v>
      </c>
      <c r="F4" s="25" t="s">
        <v>1019</v>
      </c>
      <c r="G4" s="14" t="s">
        <v>13</v>
      </c>
      <c r="J4" s="100" t="s">
        <v>601</v>
      </c>
      <c r="K4" s="24" t="s">
        <v>18</v>
      </c>
      <c r="L4" s="24" t="s">
        <v>269</v>
      </c>
      <c r="M4" s="24" t="s">
        <v>401</v>
      </c>
      <c r="N4" s="24" t="s">
        <v>600</v>
      </c>
      <c r="O4" s="24" t="s">
        <v>680</v>
      </c>
      <c r="P4" s="24" t="s">
        <v>847</v>
      </c>
      <c r="Q4" s="24" t="s">
        <v>1019</v>
      </c>
      <c r="R4" s="24" t="s">
        <v>1139</v>
      </c>
      <c r="S4" s="10" t="s">
        <v>13</v>
      </c>
    </row>
    <row r="5" spans="1:19" x14ac:dyDescent="0.25">
      <c r="A5" s="27" t="s">
        <v>409</v>
      </c>
      <c r="B5" s="25">
        <v>485</v>
      </c>
      <c r="C5" s="25">
        <v>485</v>
      </c>
      <c r="E5" s="27" t="s">
        <v>409</v>
      </c>
      <c r="F5" s="25">
        <v>287.5</v>
      </c>
      <c r="G5" s="25">
        <v>287.5</v>
      </c>
      <c r="J5" s="101" t="s">
        <v>169</v>
      </c>
      <c r="K5" s="209">
        <v>6081</v>
      </c>
      <c r="L5" s="210"/>
      <c r="M5" s="210"/>
      <c r="N5" s="210"/>
      <c r="O5" s="210"/>
      <c r="P5" s="210"/>
      <c r="Q5" s="210"/>
      <c r="R5" s="210"/>
      <c r="S5" s="211">
        <v>6081</v>
      </c>
    </row>
    <row r="6" spans="1:19" x14ac:dyDescent="0.25">
      <c r="A6" s="27" t="s">
        <v>299</v>
      </c>
      <c r="B6" s="25">
        <v>389.75</v>
      </c>
      <c r="C6" s="25">
        <v>389.75</v>
      </c>
      <c r="E6" s="27" t="s">
        <v>386</v>
      </c>
      <c r="F6" s="25">
        <v>1395</v>
      </c>
      <c r="G6" s="25">
        <v>1395</v>
      </c>
      <c r="J6" s="140" t="s">
        <v>78</v>
      </c>
      <c r="K6" s="212">
        <v>68501.239999999991</v>
      </c>
      <c r="L6" s="213">
        <v>36948.000000000007</v>
      </c>
      <c r="M6" s="213">
        <v>52520.869999999995</v>
      </c>
      <c r="N6" s="213">
        <v>66984.5</v>
      </c>
      <c r="O6" s="213">
        <v>48692.259999999995</v>
      </c>
      <c r="P6" s="213">
        <v>99968.08</v>
      </c>
      <c r="Q6" s="213">
        <v>51732.2</v>
      </c>
      <c r="R6" s="213">
        <v>1580</v>
      </c>
      <c r="S6" s="214">
        <v>426927.15</v>
      </c>
    </row>
    <row r="7" spans="1:19" x14ac:dyDescent="0.25">
      <c r="A7" s="27" t="s">
        <v>43</v>
      </c>
      <c r="B7" s="25">
        <v>2138</v>
      </c>
      <c r="C7" s="25">
        <v>2138</v>
      </c>
      <c r="E7" s="27" t="s">
        <v>43</v>
      </c>
      <c r="F7" s="25">
        <v>1000</v>
      </c>
      <c r="G7" s="25">
        <v>1000</v>
      </c>
      <c r="J7" s="140" t="s">
        <v>25</v>
      </c>
      <c r="K7" s="212"/>
      <c r="L7" s="213"/>
      <c r="M7" s="213"/>
      <c r="N7" s="213"/>
      <c r="O7" s="213"/>
      <c r="P7" s="213">
        <v>39130</v>
      </c>
      <c r="Q7" s="213">
        <v>13786.81</v>
      </c>
      <c r="R7" s="213"/>
      <c r="S7" s="214">
        <v>52916.81</v>
      </c>
    </row>
    <row r="8" spans="1:19" x14ac:dyDescent="0.25">
      <c r="A8" s="27" t="s">
        <v>524</v>
      </c>
      <c r="B8" s="25">
        <v>5935</v>
      </c>
      <c r="C8" s="25">
        <v>5935</v>
      </c>
      <c r="E8" s="27" t="s">
        <v>174</v>
      </c>
      <c r="F8" s="25">
        <v>287.5</v>
      </c>
      <c r="G8" s="25">
        <v>287.5</v>
      </c>
      <c r="J8" s="140" t="s">
        <v>9</v>
      </c>
      <c r="K8" s="212">
        <v>76931.497000000003</v>
      </c>
      <c r="L8" s="213">
        <v>230704.47</v>
      </c>
      <c r="M8" s="213">
        <v>71536</v>
      </c>
      <c r="N8" s="213">
        <v>27060.45</v>
      </c>
      <c r="O8" s="213">
        <v>83866.689999999988</v>
      </c>
      <c r="P8" s="213">
        <v>138844.77000000002</v>
      </c>
      <c r="Q8" s="213">
        <v>39127.58</v>
      </c>
      <c r="R8" s="213"/>
      <c r="S8" s="214">
        <v>668071.45700000005</v>
      </c>
    </row>
    <row r="9" spans="1:19" x14ac:dyDescent="0.25">
      <c r="A9" s="27" t="s">
        <v>142</v>
      </c>
      <c r="B9" s="25">
        <v>3086</v>
      </c>
      <c r="C9" s="25">
        <v>3086</v>
      </c>
      <c r="E9" s="27" t="s">
        <v>86</v>
      </c>
      <c r="F9" s="25">
        <v>3210</v>
      </c>
      <c r="G9" s="25">
        <v>3210</v>
      </c>
      <c r="J9" s="27" t="s">
        <v>1046</v>
      </c>
      <c r="K9" s="25"/>
      <c r="L9" s="25"/>
      <c r="M9" s="25"/>
      <c r="N9" s="25"/>
      <c r="O9" s="25"/>
      <c r="P9" s="25">
        <v>999.29</v>
      </c>
      <c r="Q9" s="25">
        <v>1492</v>
      </c>
      <c r="R9" s="25"/>
      <c r="S9" s="25">
        <v>2491.29</v>
      </c>
    </row>
    <row r="10" spans="1:19" x14ac:dyDescent="0.25">
      <c r="A10" s="27" t="s">
        <v>515</v>
      </c>
      <c r="B10" s="25">
        <v>24338.5</v>
      </c>
      <c r="C10" s="25">
        <v>24338.5</v>
      </c>
      <c r="E10" s="27" t="s">
        <v>257</v>
      </c>
      <c r="F10" s="25">
        <v>1933.5</v>
      </c>
      <c r="G10" s="25">
        <v>1933.5</v>
      </c>
      <c r="J10" s="27" t="s">
        <v>1071</v>
      </c>
      <c r="K10" s="25"/>
      <c r="L10" s="25"/>
      <c r="M10" s="25"/>
      <c r="N10" s="25"/>
      <c r="O10" s="25"/>
      <c r="P10" s="25">
        <v>0</v>
      </c>
      <c r="Q10" s="25">
        <v>3750</v>
      </c>
      <c r="R10" s="25"/>
      <c r="S10" s="25">
        <v>3750</v>
      </c>
    </row>
    <row r="11" spans="1:19" x14ac:dyDescent="0.25">
      <c r="A11" s="27" t="s">
        <v>203</v>
      </c>
      <c r="B11" s="25">
        <v>358.75</v>
      </c>
      <c r="C11" s="25">
        <v>358.75</v>
      </c>
      <c r="E11" s="27" t="s">
        <v>524</v>
      </c>
      <c r="F11" s="25">
        <v>485</v>
      </c>
      <c r="G11" s="25">
        <v>485</v>
      </c>
      <c r="J11" s="101" t="s">
        <v>13</v>
      </c>
      <c r="K11" s="24">
        <v>151513.73699999999</v>
      </c>
      <c r="L11" s="24">
        <v>267652.47000000003</v>
      </c>
      <c r="M11" s="24">
        <v>124056.87</v>
      </c>
      <c r="N11" s="24">
        <v>94044.95</v>
      </c>
      <c r="O11" s="24">
        <v>132558.94999999998</v>
      </c>
      <c r="P11" s="24">
        <v>278942.14</v>
      </c>
      <c r="Q11" s="24">
        <v>109888.59</v>
      </c>
      <c r="R11" s="24">
        <v>1580</v>
      </c>
      <c r="S11" s="24">
        <v>1160237.7070000002</v>
      </c>
    </row>
    <row r="12" spans="1:19" x14ac:dyDescent="0.25">
      <c r="A12" s="27" t="s">
        <v>100</v>
      </c>
      <c r="B12" s="25">
        <v>820</v>
      </c>
      <c r="C12" s="25">
        <v>820</v>
      </c>
      <c r="E12" s="27" t="s">
        <v>142</v>
      </c>
      <c r="F12" s="25">
        <v>5528.75</v>
      </c>
      <c r="G12" s="25">
        <v>5528.75</v>
      </c>
    </row>
    <row r="13" spans="1:19" x14ac:dyDescent="0.25">
      <c r="A13" s="27" t="s">
        <v>122</v>
      </c>
      <c r="B13" s="25">
        <v>6445</v>
      </c>
      <c r="C13" s="25">
        <v>6445</v>
      </c>
      <c r="E13" s="27" t="s">
        <v>203</v>
      </c>
      <c r="F13" s="25">
        <v>14110</v>
      </c>
      <c r="G13" s="25">
        <v>14110</v>
      </c>
    </row>
    <row r="14" spans="1:19" x14ac:dyDescent="0.25">
      <c r="A14" s="27" t="s">
        <v>199</v>
      </c>
      <c r="B14" s="25">
        <v>1233.75</v>
      </c>
      <c r="C14" s="25">
        <v>1233.75</v>
      </c>
      <c r="E14" s="27" t="s">
        <v>122</v>
      </c>
      <c r="F14" s="25">
        <v>275</v>
      </c>
      <c r="G14" s="25">
        <v>275</v>
      </c>
    </row>
    <row r="15" spans="1:19" x14ac:dyDescent="0.25">
      <c r="A15" s="27" t="s">
        <v>102</v>
      </c>
      <c r="B15" s="25">
        <v>160</v>
      </c>
      <c r="C15" s="25">
        <v>160</v>
      </c>
      <c r="E15" s="27" t="s">
        <v>102</v>
      </c>
      <c r="F15" s="25">
        <v>5885</v>
      </c>
      <c r="G15" s="25">
        <v>5885</v>
      </c>
    </row>
    <row r="16" spans="1:19" x14ac:dyDescent="0.25">
      <c r="A16" s="27" t="s">
        <v>94</v>
      </c>
      <c r="B16" s="25">
        <v>285</v>
      </c>
      <c r="C16" s="25">
        <v>285</v>
      </c>
      <c r="E16" s="27" t="s">
        <v>357</v>
      </c>
      <c r="F16" s="25">
        <v>125</v>
      </c>
      <c r="G16" s="25">
        <v>125</v>
      </c>
    </row>
    <row r="17" spans="1:7" x14ac:dyDescent="0.25">
      <c r="A17" s="27" t="s">
        <v>81</v>
      </c>
      <c r="B17" s="25">
        <v>870</v>
      </c>
      <c r="C17" s="25">
        <v>870</v>
      </c>
      <c r="E17" s="27" t="s">
        <v>290</v>
      </c>
      <c r="F17" s="25">
        <v>2435</v>
      </c>
      <c r="G17" s="25">
        <v>2435</v>
      </c>
    </row>
    <row r="18" spans="1:7" x14ac:dyDescent="0.25">
      <c r="A18" s="27" t="s">
        <v>75</v>
      </c>
      <c r="B18" s="25">
        <v>10070</v>
      </c>
      <c r="C18" s="25">
        <v>10070</v>
      </c>
      <c r="E18" s="27" t="s">
        <v>81</v>
      </c>
      <c r="F18" s="25">
        <v>3110</v>
      </c>
      <c r="G18" s="25">
        <v>3110</v>
      </c>
    </row>
    <row r="19" spans="1:7" x14ac:dyDescent="0.25">
      <c r="A19" s="27" t="s">
        <v>29</v>
      </c>
      <c r="B19" s="25">
        <v>33682.5</v>
      </c>
      <c r="C19" s="25">
        <v>33682.5</v>
      </c>
      <c r="E19" s="27" t="s">
        <v>89</v>
      </c>
      <c r="F19" s="25">
        <v>700</v>
      </c>
      <c r="G19" s="25">
        <v>700</v>
      </c>
    </row>
    <row r="20" spans="1:7" x14ac:dyDescent="0.25">
      <c r="A20" s="27" t="s">
        <v>398</v>
      </c>
      <c r="B20" s="25">
        <v>1325</v>
      </c>
      <c r="C20" s="25">
        <v>1325</v>
      </c>
      <c r="E20" s="27" t="s">
        <v>29</v>
      </c>
      <c r="F20" s="25">
        <v>977</v>
      </c>
      <c r="G20" s="25">
        <v>977</v>
      </c>
    </row>
    <row r="21" spans="1:7" x14ac:dyDescent="0.25">
      <c r="A21" s="27" t="s">
        <v>244</v>
      </c>
      <c r="B21" s="25">
        <v>210</v>
      </c>
      <c r="C21" s="25">
        <v>210</v>
      </c>
      <c r="E21" s="27" t="s">
        <v>10</v>
      </c>
      <c r="F21" s="25">
        <v>15382.81</v>
      </c>
      <c r="G21" s="25">
        <v>15382.81</v>
      </c>
    </row>
    <row r="22" spans="1:7" x14ac:dyDescent="0.25">
      <c r="A22" s="27" t="s">
        <v>10</v>
      </c>
      <c r="B22" s="25">
        <v>76627.75</v>
      </c>
      <c r="C22" s="25">
        <v>76627.75</v>
      </c>
      <c r="E22" s="27" t="s">
        <v>22</v>
      </c>
      <c r="F22" s="25">
        <v>760</v>
      </c>
      <c r="G22" s="25">
        <v>760</v>
      </c>
    </row>
    <row r="23" spans="1:7" x14ac:dyDescent="0.25">
      <c r="A23" s="27" t="s">
        <v>443</v>
      </c>
      <c r="B23" s="25">
        <v>735</v>
      </c>
      <c r="C23" s="25">
        <v>735</v>
      </c>
      <c r="E23" s="27" t="s">
        <v>114</v>
      </c>
      <c r="F23" s="25">
        <v>4369</v>
      </c>
      <c r="G23" s="25">
        <v>4369</v>
      </c>
    </row>
    <row r="24" spans="1:7" x14ac:dyDescent="0.25">
      <c r="A24" s="27" t="s">
        <v>114</v>
      </c>
      <c r="B24" s="25">
        <v>1731</v>
      </c>
      <c r="C24" s="25">
        <v>1731</v>
      </c>
      <c r="E24" s="27" t="s">
        <v>664</v>
      </c>
      <c r="F24" s="25">
        <v>78.75</v>
      </c>
      <c r="G24" s="25">
        <v>78.75</v>
      </c>
    </row>
    <row r="25" spans="1:7" x14ac:dyDescent="0.25">
      <c r="A25" s="27" t="s">
        <v>644</v>
      </c>
      <c r="B25" s="25">
        <v>459.52</v>
      </c>
      <c r="C25" s="25">
        <v>459.52</v>
      </c>
      <c r="E25" s="27" t="s">
        <v>666</v>
      </c>
      <c r="F25" s="25">
        <v>31.5</v>
      </c>
      <c r="G25" s="25">
        <v>31.5</v>
      </c>
    </row>
    <row r="26" spans="1:7" x14ac:dyDescent="0.25">
      <c r="A26" s="27" t="s">
        <v>664</v>
      </c>
      <c r="B26" s="25">
        <v>60</v>
      </c>
      <c r="C26" s="25">
        <v>60</v>
      </c>
      <c r="E26" s="27" t="s">
        <v>736</v>
      </c>
      <c r="F26" s="25">
        <v>700</v>
      </c>
      <c r="G26" s="25">
        <v>700</v>
      </c>
    </row>
    <row r="27" spans="1:7" x14ac:dyDescent="0.25">
      <c r="A27" s="27" t="s">
        <v>666</v>
      </c>
      <c r="B27" s="25">
        <v>30</v>
      </c>
      <c r="C27" s="25">
        <v>30</v>
      </c>
      <c r="E27" s="27" t="s">
        <v>1006</v>
      </c>
      <c r="F27" s="25">
        <v>1412</v>
      </c>
      <c r="G27" s="25">
        <v>1412</v>
      </c>
    </row>
    <row r="28" spans="1:7" x14ac:dyDescent="0.25">
      <c r="A28" s="27" t="s">
        <v>736</v>
      </c>
      <c r="B28" s="25">
        <v>893</v>
      </c>
      <c r="C28" s="25">
        <v>893</v>
      </c>
      <c r="E28" s="27" t="s">
        <v>1016</v>
      </c>
      <c r="F28" s="25">
        <v>200</v>
      </c>
      <c r="G28" s="25">
        <v>200</v>
      </c>
    </row>
    <row r="29" spans="1:7" x14ac:dyDescent="0.25">
      <c r="A29" s="27" t="s">
        <v>835</v>
      </c>
      <c r="B29" s="25">
        <v>90</v>
      </c>
      <c r="C29" s="25">
        <v>90</v>
      </c>
      <c r="E29" s="27" t="s">
        <v>1018</v>
      </c>
      <c r="F29" s="25">
        <v>1243.75</v>
      </c>
      <c r="G29" s="25">
        <v>1243.75</v>
      </c>
    </row>
    <row r="30" spans="1:7" x14ac:dyDescent="0.25">
      <c r="A30" s="27" t="s">
        <v>886</v>
      </c>
      <c r="B30" s="25">
        <v>4000</v>
      </c>
      <c r="C30" s="25">
        <v>4000</v>
      </c>
      <c r="E30" s="27" t="s">
        <v>1023</v>
      </c>
      <c r="F30" s="25">
        <v>2800</v>
      </c>
      <c r="G30" s="25">
        <v>2800</v>
      </c>
    </row>
    <row r="31" spans="1:7" x14ac:dyDescent="0.25">
      <c r="A31" s="27" t="s">
        <v>863</v>
      </c>
      <c r="B31" s="25">
        <v>367.5</v>
      </c>
      <c r="C31" s="25">
        <v>367.5</v>
      </c>
      <c r="E31" s="27" t="s">
        <v>1036</v>
      </c>
      <c r="F31" s="25">
        <v>1803.75</v>
      </c>
      <c r="G31" s="25">
        <v>1803.75</v>
      </c>
    </row>
    <row r="32" spans="1:7" x14ac:dyDescent="0.25">
      <c r="A32" s="27" t="s">
        <v>904</v>
      </c>
      <c r="B32" s="25">
        <v>45667.08</v>
      </c>
      <c r="C32" s="25">
        <v>45667.08</v>
      </c>
      <c r="E32" s="27" t="s">
        <v>1039</v>
      </c>
      <c r="F32" s="25">
        <v>2032.5</v>
      </c>
      <c r="G32" s="25">
        <v>2032.5</v>
      </c>
    </row>
    <row r="33" spans="1:7" x14ac:dyDescent="0.25">
      <c r="A33" s="27" t="s">
        <v>911</v>
      </c>
      <c r="B33" s="25">
        <v>39130</v>
      </c>
      <c r="C33" s="25">
        <v>39130</v>
      </c>
      <c r="E33" s="27" t="s">
        <v>1060</v>
      </c>
      <c r="F33" s="25">
        <v>1195</v>
      </c>
      <c r="G33" s="25">
        <v>1195</v>
      </c>
    </row>
    <row r="34" spans="1:7" x14ac:dyDescent="0.25">
      <c r="A34" s="27" t="s">
        <v>954</v>
      </c>
      <c r="B34" s="25">
        <v>4517.5</v>
      </c>
      <c r="C34" s="25">
        <v>4517.5</v>
      </c>
      <c r="E34" s="27" t="s">
        <v>1063</v>
      </c>
      <c r="F34" s="25">
        <v>625</v>
      </c>
      <c r="G34" s="25">
        <v>625</v>
      </c>
    </row>
    <row r="35" spans="1:7" x14ac:dyDescent="0.25">
      <c r="A35" s="27" t="s">
        <v>957</v>
      </c>
      <c r="B35" s="25">
        <v>285</v>
      </c>
      <c r="C35" s="25">
        <v>285</v>
      </c>
      <c r="E35" s="27" t="s">
        <v>1065</v>
      </c>
      <c r="F35" s="25">
        <v>565</v>
      </c>
      <c r="G35" s="25">
        <v>565</v>
      </c>
    </row>
    <row r="36" spans="1:7" x14ac:dyDescent="0.25">
      <c r="A36" s="27" t="s">
        <v>963</v>
      </c>
      <c r="B36" s="25">
        <v>425</v>
      </c>
      <c r="C36" s="25">
        <v>425</v>
      </c>
      <c r="E36" s="27" t="s">
        <v>1066</v>
      </c>
      <c r="F36" s="25">
        <v>24876</v>
      </c>
      <c r="G36" s="25">
        <v>24876</v>
      </c>
    </row>
    <row r="37" spans="1:7" x14ac:dyDescent="0.25">
      <c r="A37" s="27" t="s">
        <v>980</v>
      </c>
      <c r="B37" s="25">
        <v>11142.25</v>
      </c>
      <c r="C37" s="25">
        <v>11142.25</v>
      </c>
      <c r="E37" s="27" t="s">
        <v>1077</v>
      </c>
      <c r="F37" s="25">
        <v>2750</v>
      </c>
      <c r="G37" s="25">
        <v>2750</v>
      </c>
    </row>
    <row r="38" spans="1:7" x14ac:dyDescent="0.25">
      <c r="A38" s="27" t="s">
        <v>990</v>
      </c>
      <c r="B38" s="25">
        <v>235</v>
      </c>
      <c r="C38" s="25">
        <v>235</v>
      </c>
      <c r="E38" s="27" t="s">
        <v>1092</v>
      </c>
      <c r="F38" s="25">
        <v>80</v>
      </c>
      <c r="G38" s="25">
        <v>80</v>
      </c>
    </row>
    <row r="39" spans="1:7" x14ac:dyDescent="0.25">
      <c r="A39" s="27" t="s">
        <v>983</v>
      </c>
      <c r="B39" s="25">
        <v>0</v>
      </c>
      <c r="C39" s="25">
        <v>0</v>
      </c>
      <c r="E39" s="27" t="s">
        <v>1101</v>
      </c>
      <c r="F39" s="25">
        <v>380.95</v>
      </c>
      <c r="G39" s="25">
        <v>380.95</v>
      </c>
    </row>
    <row r="40" spans="1:7" x14ac:dyDescent="0.25">
      <c r="A40" s="27" t="s">
        <v>1006</v>
      </c>
      <c r="B40" s="25">
        <v>714.29</v>
      </c>
      <c r="C40" s="25">
        <v>714.29</v>
      </c>
      <c r="E40" s="27" t="s">
        <v>1110</v>
      </c>
      <c r="F40" s="25">
        <v>1175</v>
      </c>
      <c r="G40" s="25">
        <v>1175</v>
      </c>
    </row>
    <row r="41" spans="1:7" x14ac:dyDescent="0.25">
      <c r="A41" s="27" t="s">
        <v>13</v>
      </c>
      <c r="B41" s="25">
        <v>278942.13999999996</v>
      </c>
      <c r="C41" s="25">
        <v>278942.13999999996</v>
      </c>
      <c r="E41" s="27" t="s">
        <v>1112</v>
      </c>
      <c r="F41" s="25">
        <v>3750</v>
      </c>
      <c r="G41" s="25">
        <v>3750</v>
      </c>
    </row>
    <row r="42" spans="1:7" x14ac:dyDescent="0.25">
      <c r="B42" s="26"/>
      <c r="C42" s="26"/>
      <c r="E42" s="27" t="s">
        <v>1124</v>
      </c>
      <c r="F42" s="25">
        <v>1600</v>
      </c>
      <c r="G42" s="25">
        <v>1600</v>
      </c>
    </row>
    <row r="43" spans="1:7" x14ac:dyDescent="0.25">
      <c r="B43" s="26"/>
      <c r="C43" s="26"/>
      <c r="E43" s="27" t="s">
        <v>1128</v>
      </c>
      <c r="F43" s="25">
        <v>333.33</v>
      </c>
      <c r="G43" s="25">
        <v>333.33</v>
      </c>
    </row>
    <row r="44" spans="1:7" x14ac:dyDescent="0.25">
      <c r="B44" s="26"/>
      <c r="C44" s="26"/>
      <c r="E44" s="27" t="s">
        <v>13</v>
      </c>
      <c r="F44" s="25">
        <v>109888.59</v>
      </c>
      <c r="G44" s="25">
        <v>109888.59</v>
      </c>
    </row>
    <row r="45" spans="1:7" x14ac:dyDescent="0.25">
      <c r="B45" s="26"/>
      <c r="C45" s="26"/>
    </row>
    <row r="46" spans="1:7" x14ac:dyDescent="0.25">
      <c r="B46" s="26"/>
      <c r="C46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6510-9158-428D-B035-0816140C6EE5}">
  <dimension ref="A3:O118"/>
  <sheetViews>
    <sheetView topLeftCell="A62" zoomScale="93" zoomScaleNormal="93" workbookViewId="0">
      <selection activeCell="C127" sqref="C127"/>
    </sheetView>
  </sheetViews>
  <sheetFormatPr defaultRowHeight="15" x14ac:dyDescent="0.25"/>
  <cols>
    <col min="1" max="1" width="55" bestFit="1" customWidth="1"/>
    <col min="2" max="2" width="16.7109375" bestFit="1" customWidth="1"/>
    <col min="3" max="3" width="12.42578125" bestFit="1" customWidth="1"/>
    <col min="4" max="4" width="15.28515625" bestFit="1" customWidth="1"/>
    <col min="5" max="5" width="7.5703125" bestFit="1" customWidth="1"/>
    <col min="6" max="6" width="10.7109375" bestFit="1" customWidth="1"/>
    <col min="7" max="7" width="7.5703125" bestFit="1" customWidth="1"/>
    <col min="8" max="8" width="9.7109375" bestFit="1" customWidth="1"/>
    <col min="9" max="9" width="12.42578125" bestFit="1" customWidth="1"/>
    <col min="10" max="10" width="9.7109375" bestFit="1" customWidth="1"/>
    <col min="11" max="11" width="12.42578125" bestFit="1" customWidth="1"/>
    <col min="12" max="12" width="8.5703125" bestFit="1" customWidth="1"/>
    <col min="13" max="13" width="10.42578125" bestFit="1" customWidth="1"/>
    <col min="14" max="14" width="31.28515625" bestFit="1" customWidth="1"/>
    <col min="15" max="15" width="25.140625" bestFit="1" customWidth="1"/>
  </cols>
  <sheetData>
    <row r="3" spans="1:15" x14ac:dyDescent="0.25">
      <c r="A3" s="9"/>
      <c r="B3" s="100" t="s">
        <v>537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s="25" customFormat="1" x14ac:dyDescent="0.25">
      <c r="A4" s="9"/>
      <c r="B4" s="9" t="s">
        <v>18</v>
      </c>
      <c r="C4" s="9"/>
      <c r="D4" s="9" t="s">
        <v>269</v>
      </c>
      <c r="E4" s="9"/>
      <c r="F4" s="9" t="s">
        <v>401</v>
      </c>
      <c r="G4" s="9"/>
      <c r="H4" s="9" t="s">
        <v>600</v>
      </c>
      <c r="I4" s="9"/>
      <c r="J4" s="9" t="s">
        <v>680</v>
      </c>
      <c r="K4" s="9"/>
      <c r="L4" s="9" t="s">
        <v>847</v>
      </c>
      <c r="M4" s="9"/>
      <c r="N4" s="102" t="s">
        <v>861</v>
      </c>
      <c r="O4" s="102" t="s">
        <v>862</v>
      </c>
    </row>
    <row r="5" spans="1:15" ht="62.25" customHeight="1" x14ac:dyDescent="0.25">
      <c r="A5" s="100" t="s">
        <v>859</v>
      </c>
      <c r="B5" s="102" t="s">
        <v>31</v>
      </c>
      <c r="C5" s="102" t="s">
        <v>860</v>
      </c>
      <c r="D5" s="102" t="s">
        <v>31</v>
      </c>
      <c r="E5" s="102" t="s">
        <v>860</v>
      </c>
      <c r="F5" s="102" t="s">
        <v>31</v>
      </c>
      <c r="G5" s="102" t="s">
        <v>860</v>
      </c>
      <c r="H5" s="102" t="s">
        <v>31</v>
      </c>
      <c r="I5" s="102" t="s">
        <v>860</v>
      </c>
      <c r="J5" s="102" t="s">
        <v>31</v>
      </c>
      <c r="K5" s="102" t="s">
        <v>860</v>
      </c>
      <c r="L5" s="102" t="s">
        <v>31</v>
      </c>
      <c r="M5" s="102" t="s">
        <v>860</v>
      </c>
      <c r="N5" s="102"/>
      <c r="O5" s="102"/>
    </row>
    <row r="6" spans="1:15" x14ac:dyDescent="0.25">
      <c r="A6" s="101" t="s">
        <v>394</v>
      </c>
      <c r="B6" s="9"/>
      <c r="C6" s="9"/>
      <c r="D6" s="9">
        <v>47.62</v>
      </c>
      <c r="E6" s="9">
        <v>1</v>
      </c>
      <c r="F6" s="9"/>
      <c r="G6" s="9"/>
      <c r="H6" s="9"/>
      <c r="I6" s="9"/>
      <c r="J6" s="9"/>
      <c r="K6" s="9"/>
      <c r="L6" s="9"/>
      <c r="M6" s="9"/>
      <c r="N6" s="9">
        <v>47.62</v>
      </c>
      <c r="O6" s="9">
        <v>1</v>
      </c>
    </row>
    <row r="7" spans="1:15" x14ac:dyDescent="0.25">
      <c r="A7" s="101" t="s">
        <v>409</v>
      </c>
      <c r="B7" s="9"/>
      <c r="C7" s="9"/>
      <c r="D7" s="9">
        <v>3150</v>
      </c>
      <c r="E7" s="9">
        <v>2</v>
      </c>
      <c r="F7" s="9"/>
      <c r="G7" s="9"/>
      <c r="H7" s="9"/>
      <c r="I7" s="9"/>
      <c r="J7" s="9">
        <v>260</v>
      </c>
      <c r="K7" s="9">
        <v>1</v>
      </c>
      <c r="L7" s="9"/>
      <c r="M7" s="9"/>
      <c r="N7" s="9">
        <v>3410</v>
      </c>
      <c r="O7" s="9">
        <v>3</v>
      </c>
    </row>
    <row r="8" spans="1:15" x14ac:dyDescent="0.25">
      <c r="A8" s="101" t="s">
        <v>386</v>
      </c>
      <c r="B8" s="9"/>
      <c r="C8" s="9"/>
      <c r="D8" s="9">
        <v>3490</v>
      </c>
      <c r="E8" s="9">
        <v>1</v>
      </c>
      <c r="F8" s="9"/>
      <c r="G8" s="9"/>
      <c r="H8" s="9"/>
      <c r="I8" s="9"/>
      <c r="J8" s="9"/>
      <c r="K8" s="9"/>
      <c r="L8" s="9"/>
      <c r="M8" s="9"/>
      <c r="N8" s="9">
        <v>3490</v>
      </c>
      <c r="O8" s="9">
        <v>1</v>
      </c>
    </row>
    <row r="9" spans="1:15" x14ac:dyDescent="0.25">
      <c r="A9" s="101" t="s">
        <v>670</v>
      </c>
      <c r="B9" s="9"/>
      <c r="C9" s="9"/>
      <c r="D9" s="9"/>
      <c r="E9" s="9"/>
      <c r="F9" s="9"/>
      <c r="G9" s="9"/>
      <c r="H9" s="9"/>
      <c r="I9" s="9"/>
      <c r="J9" s="9">
        <v>350</v>
      </c>
      <c r="K9" s="9">
        <v>1</v>
      </c>
      <c r="L9" s="9"/>
      <c r="M9" s="9"/>
      <c r="N9" s="9">
        <v>350</v>
      </c>
      <c r="O9" s="9">
        <v>1</v>
      </c>
    </row>
    <row r="10" spans="1:15" x14ac:dyDescent="0.25">
      <c r="A10" s="101" t="s">
        <v>281</v>
      </c>
      <c r="B10" s="9"/>
      <c r="C10" s="9"/>
      <c r="D10" s="9">
        <v>10965</v>
      </c>
      <c r="E10" s="9">
        <v>1</v>
      </c>
      <c r="F10" s="9"/>
      <c r="G10" s="9"/>
      <c r="H10" s="9"/>
      <c r="I10" s="9"/>
      <c r="J10" s="9"/>
      <c r="K10" s="9"/>
      <c r="L10" s="9"/>
      <c r="M10" s="9"/>
      <c r="N10" s="9">
        <v>10965</v>
      </c>
      <c r="O10" s="9">
        <v>1</v>
      </c>
    </row>
    <row r="11" spans="1:15" x14ac:dyDescent="0.25">
      <c r="A11" s="101" t="s">
        <v>591</v>
      </c>
      <c r="B11" s="9"/>
      <c r="C11" s="9"/>
      <c r="D11" s="9"/>
      <c r="E11" s="9"/>
      <c r="F11" s="9"/>
      <c r="G11" s="9"/>
      <c r="H11" s="9">
        <v>380</v>
      </c>
      <c r="I11" s="9">
        <v>1</v>
      </c>
      <c r="J11" s="9"/>
      <c r="K11" s="9"/>
      <c r="L11" s="9"/>
      <c r="M11" s="9"/>
      <c r="N11" s="9">
        <v>380</v>
      </c>
      <c r="O11" s="9">
        <v>1</v>
      </c>
    </row>
    <row r="12" spans="1:15" x14ac:dyDescent="0.25">
      <c r="A12" s="101" t="s">
        <v>365</v>
      </c>
      <c r="B12" s="9"/>
      <c r="C12" s="9"/>
      <c r="D12" s="9">
        <v>2715</v>
      </c>
      <c r="E12" s="9">
        <v>1</v>
      </c>
      <c r="F12" s="9"/>
      <c r="G12" s="9"/>
      <c r="H12" s="9"/>
      <c r="I12" s="9"/>
      <c r="J12" s="9"/>
      <c r="K12" s="9"/>
      <c r="L12" s="9"/>
      <c r="M12" s="9"/>
      <c r="N12" s="9">
        <v>2715</v>
      </c>
      <c r="O12" s="9">
        <v>1</v>
      </c>
    </row>
    <row r="13" spans="1:15" x14ac:dyDescent="0.25">
      <c r="A13" s="101" t="s">
        <v>161</v>
      </c>
      <c r="B13" s="9">
        <v>995</v>
      </c>
      <c r="C13" s="9">
        <v>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>
        <v>995</v>
      </c>
      <c r="O13" s="9">
        <v>1</v>
      </c>
    </row>
    <row r="14" spans="1:15" x14ac:dyDescent="0.25">
      <c r="A14" s="101" t="s">
        <v>299</v>
      </c>
      <c r="B14" s="9"/>
      <c r="C14" s="9"/>
      <c r="D14" s="9">
        <v>1580</v>
      </c>
      <c r="E14" s="9">
        <v>1</v>
      </c>
      <c r="F14" s="9">
        <v>1130</v>
      </c>
      <c r="G14" s="9">
        <v>1</v>
      </c>
      <c r="H14" s="9"/>
      <c r="I14" s="9"/>
      <c r="J14" s="9"/>
      <c r="K14" s="9"/>
      <c r="L14" s="9"/>
      <c r="M14" s="9"/>
      <c r="N14" s="9">
        <v>2710</v>
      </c>
      <c r="O14" s="9">
        <v>2</v>
      </c>
    </row>
    <row r="15" spans="1:15" x14ac:dyDescent="0.25">
      <c r="A15" s="101" t="s">
        <v>628</v>
      </c>
      <c r="B15" s="9"/>
      <c r="C15" s="9"/>
      <c r="D15" s="9"/>
      <c r="E15" s="9"/>
      <c r="F15" s="9"/>
      <c r="G15" s="9"/>
      <c r="H15" s="9">
        <v>202.95</v>
      </c>
      <c r="I15" s="9">
        <v>1</v>
      </c>
      <c r="J15" s="9">
        <v>195</v>
      </c>
      <c r="K15" s="9">
        <v>1</v>
      </c>
      <c r="L15" s="9"/>
      <c r="M15" s="9"/>
      <c r="N15" s="9">
        <v>397.95</v>
      </c>
      <c r="O15" s="9">
        <v>2</v>
      </c>
    </row>
    <row r="16" spans="1:15" x14ac:dyDescent="0.25">
      <c r="A16" s="101" t="s">
        <v>177</v>
      </c>
      <c r="B16" s="9">
        <v>250</v>
      </c>
      <c r="C16" s="9">
        <v>1</v>
      </c>
      <c r="D16" s="9">
        <v>3150</v>
      </c>
      <c r="E16" s="9">
        <v>2</v>
      </c>
      <c r="F16" s="9"/>
      <c r="G16" s="9"/>
      <c r="H16" s="9"/>
      <c r="I16" s="9"/>
      <c r="J16" s="9">
        <v>85</v>
      </c>
      <c r="K16" s="9">
        <v>1</v>
      </c>
      <c r="L16" s="9"/>
      <c r="M16" s="9"/>
      <c r="N16" s="9">
        <v>3485</v>
      </c>
      <c r="O16" s="9">
        <v>4</v>
      </c>
    </row>
    <row r="17" spans="1:15" x14ac:dyDescent="0.25">
      <c r="A17" s="101" t="s">
        <v>45</v>
      </c>
      <c r="B17" s="9">
        <v>6050</v>
      </c>
      <c r="C17" s="9">
        <v>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>
        <v>6050</v>
      </c>
      <c r="O17" s="9">
        <v>2</v>
      </c>
    </row>
    <row r="18" spans="1:15" x14ac:dyDescent="0.25">
      <c r="A18" s="101" t="s">
        <v>43</v>
      </c>
      <c r="B18" s="9">
        <v>553.75</v>
      </c>
      <c r="C18" s="9">
        <v>2</v>
      </c>
      <c r="D18" s="9">
        <v>2410.5</v>
      </c>
      <c r="E18" s="9">
        <v>2</v>
      </c>
      <c r="F18" s="9">
        <v>792.5</v>
      </c>
      <c r="G18" s="9">
        <v>1</v>
      </c>
      <c r="H18" s="9"/>
      <c r="I18" s="9"/>
      <c r="J18" s="9">
        <v>869</v>
      </c>
      <c r="K18" s="9">
        <v>1</v>
      </c>
      <c r="L18" s="9">
        <v>1788</v>
      </c>
      <c r="M18" s="9">
        <v>1</v>
      </c>
      <c r="N18" s="9">
        <v>6413.75</v>
      </c>
      <c r="O18" s="9">
        <v>7</v>
      </c>
    </row>
    <row r="19" spans="1:15" x14ac:dyDescent="0.25">
      <c r="A19" s="101" t="s">
        <v>174</v>
      </c>
      <c r="B19" s="9">
        <v>745</v>
      </c>
      <c r="C19" s="9">
        <v>1</v>
      </c>
      <c r="D19" s="9">
        <v>3150</v>
      </c>
      <c r="E19" s="9">
        <v>2</v>
      </c>
      <c r="F19" s="9"/>
      <c r="G19" s="9"/>
      <c r="H19" s="9"/>
      <c r="I19" s="9"/>
      <c r="J19" s="9"/>
      <c r="K19" s="9"/>
      <c r="L19" s="9"/>
      <c r="M19" s="9"/>
      <c r="N19" s="9">
        <v>3895</v>
      </c>
      <c r="O19" s="9">
        <v>3</v>
      </c>
    </row>
    <row r="20" spans="1:15" x14ac:dyDescent="0.25">
      <c r="A20" s="101" t="s">
        <v>180</v>
      </c>
      <c r="B20" s="9">
        <v>250</v>
      </c>
      <c r="C20" s="9">
        <v>1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>
        <v>250</v>
      </c>
      <c r="O20" s="9">
        <v>1</v>
      </c>
    </row>
    <row r="21" spans="1:15" x14ac:dyDescent="0.25">
      <c r="A21" s="101" t="s">
        <v>739</v>
      </c>
      <c r="B21" s="9"/>
      <c r="C21" s="9"/>
      <c r="D21" s="9"/>
      <c r="E21" s="9"/>
      <c r="F21" s="9"/>
      <c r="G21" s="9"/>
      <c r="H21" s="9"/>
      <c r="I21" s="9"/>
      <c r="J21" s="9">
        <v>8385</v>
      </c>
      <c r="K21" s="9">
        <v>1</v>
      </c>
      <c r="L21" s="9"/>
      <c r="M21" s="9"/>
      <c r="N21" s="9">
        <v>8385</v>
      </c>
      <c r="O21" s="9">
        <v>1</v>
      </c>
    </row>
    <row r="22" spans="1:15" x14ac:dyDescent="0.25">
      <c r="A22" s="101" t="s">
        <v>753</v>
      </c>
      <c r="B22" s="9"/>
      <c r="C22" s="9"/>
      <c r="D22" s="9"/>
      <c r="E22" s="9"/>
      <c r="F22" s="9"/>
      <c r="G22" s="9"/>
      <c r="H22" s="9"/>
      <c r="I22" s="9"/>
      <c r="J22" s="9">
        <v>2173.75</v>
      </c>
      <c r="K22" s="9">
        <v>1</v>
      </c>
      <c r="L22" s="9"/>
      <c r="M22" s="9"/>
      <c r="N22" s="9">
        <v>2173.75</v>
      </c>
      <c r="O22" s="9">
        <v>1</v>
      </c>
    </row>
    <row r="23" spans="1:15" x14ac:dyDescent="0.25">
      <c r="A23" s="101" t="s">
        <v>86</v>
      </c>
      <c r="B23" s="9">
        <v>825</v>
      </c>
      <c r="C23" s="9">
        <v>1</v>
      </c>
      <c r="D23" s="9">
        <v>310</v>
      </c>
      <c r="E23" s="9">
        <v>1</v>
      </c>
      <c r="F23" s="9"/>
      <c r="G23" s="9"/>
      <c r="H23" s="9">
        <v>825</v>
      </c>
      <c r="I23" s="9">
        <v>1</v>
      </c>
      <c r="J23" s="9"/>
      <c r="K23" s="9"/>
      <c r="L23" s="9"/>
      <c r="M23" s="9"/>
      <c r="N23" s="9">
        <v>1960</v>
      </c>
      <c r="O23" s="9">
        <v>3</v>
      </c>
    </row>
    <row r="24" spans="1:15" x14ac:dyDescent="0.25">
      <c r="A24" s="101" t="s">
        <v>486</v>
      </c>
      <c r="B24" s="9"/>
      <c r="C24" s="9"/>
      <c r="D24" s="9"/>
      <c r="E24" s="9"/>
      <c r="F24" s="9">
        <v>1725</v>
      </c>
      <c r="G24" s="9">
        <v>1</v>
      </c>
      <c r="H24" s="9"/>
      <c r="I24" s="9"/>
      <c r="J24" s="9"/>
      <c r="K24" s="9"/>
      <c r="L24" s="9"/>
      <c r="M24" s="9"/>
      <c r="N24" s="9">
        <v>1725</v>
      </c>
      <c r="O24" s="9">
        <v>1</v>
      </c>
    </row>
    <row r="25" spans="1:15" x14ac:dyDescent="0.25">
      <c r="A25" s="101" t="s">
        <v>572</v>
      </c>
      <c r="B25" s="9"/>
      <c r="C25" s="9"/>
      <c r="D25" s="9"/>
      <c r="E25" s="9"/>
      <c r="F25" s="9"/>
      <c r="G25" s="9"/>
      <c r="H25" s="9">
        <v>285.5</v>
      </c>
      <c r="I25" s="9">
        <v>1</v>
      </c>
      <c r="J25" s="9"/>
      <c r="K25" s="9"/>
      <c r="L25" s="9"/>
      <c r="M25" s="9"/>
      <c r="N25" s="9">
        <v>285.5</v>
      </c>
      <c r="O25" s="9">
        <v>1</v>
      </c>
    </row>
    <row r="26" spans="1:15" x14ac:dyDescent="0.25">
      <c r="A26" s="101" t="s">
        <v>147</v>
      </c>
      <c r="B26" s="9">
        <v>1250</v>
      </c>
      <c r="C26" s="9">
        <v>1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>
        <v>1250</v>
      </c>
      <c r="O26" s="9">
        <v>1</v>
      </c>
    </row>
    <row r="27" spans="1:15" x14ac:dyDescent="0.25">
      <c r="A27" s="101" t="s">
        <v>257</v>
      </c>
      <c r="B27" s="9">
        <v>14375</v>
      </c>
      <c r="C27" s="9">
        <v>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>
        <v>14375</v>
      </c>
      <c r="O27" s="9">
        <v>1</v>
      </c>
    </row>
    <row r="28" spans="1:15" x14ac:dyDescent="0.25">
      <c r="A28" s="101" t="s">
        <v>524</v>
      </c>
      <c r="B28" s="9"/>
      <c r="C28" s="9"/>
      <c r="D28" s="9"/>
      <c r="E28" s="9"/>
      <c r="F28" s="9">
        <v>4225</v>
      </c>
      <c r="G28" s="9">
        <v>2</v>
      </c>
      <c r="H28" s="9"/>
      <c r="I28" s="9"/>
      <c r="J28" s="9">
        <v>350</v>
      </c>
      <c r="K28" s="9">
        <v>1</v>
      </c>
      <c r="L28" s="9"/>
      <c r="M28" s="9"/>
      <c r="N28" s="9">
        <v>4575</v>
      </c>
      <c r="O28" s="9">
        <v>3</v>
      </c>
    </row>
    <row r="29" spans="1:15" x14ac:dyDescent="0.25">
      <c r="A29" s="101" t="s">
        <v>595</v>
      </c>
      <c r="B29" s="9"/>
      <c r="C29" s="9"/>
      <c r="D29" s="9"/>
      <c r="E29" s="9"/>
      <c r="F29" s="9"/>
      <c r="G29" s="9"/>
      <c r="H29" s="9">
        <v>2850</v>
      </c>
      <c r="I29" s="9">
        <v>1</v>
      </c>
      <c r="J29" s="9"/>
      <c r="K29" s="9"/>
      <c r="L29" s="9"/>
      <c r="M29" s="9"/>
      <c r="N29" s="9">
        <v>2850</v>
      </c>
      <c r="O29" s="9">
        <v>1</v>
      </c>
    </row>
    <row r="30" spans="1:15" x14ac:dyDescent="0.25">
      <c r="A30" s="101" t="s">
        <v>136</v>
      </c>
      <c r="B30" s="9">
        <v>3150</v>
      </c>
      <c r="C30" s="9">
        <v>1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>
        <v>3150</v>
      </c>
      <c r="O30" s="9">
        <v>1</v>
      </c>
    </row>
    <row r="31" spans="1:15" x14ac:dyDescent="0.25">
      <c r="A31" s="101" t="s">
        <v>241</v>
      </c>
      <c r="B31" s="9">
        <v>0</v>
      </c>
      <c r="C31" s="9">
        <v>1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>
        <v>0</v>
      </c>
      <c r="O31" s="9">
        <v>1</v>
      </c>
    </row>
    <row r="32" spans="1:15" x14ac:dyDescent="0.25">
      <c r="A32" s="101" t="s">
        <v>142</v>
      </c>
      <c r="B32" s="9"/>
      <c r="C32" s="9"/>
      <c r="D32" s="9">
        <v>3835</v>
      </c>
      <c r="E32" s="9">
        <v>2</v>
      </c>
      <c r="F32" s="9"/>
      <c r="G32" s="9"/>
      <c r="H32" s="9"/>
      <c r="I32" s="9"/>
      <c r="J32" s="9">
        <v>1266</v>
      </c>
      <c r="K32" s="9">
        <v>1</v>
      </c>
      <c r="L32" s="9"/>
      <c r="M32" s="9"/>
      <c r="N32" s="9">
        <v>5101</v>
      </c>
      <c r="O32" s="9">
        <v>3</v>
      </c>
    </row>
    <row r="33" spans="1:15" x14ac:dyDescent="0.25">
      <c r="A33" s="101" t="s">
        <v>346</v>
      </c>
      <c r="B33" s="9"/>
      <c r="C33" s="9"/>
      <c r="D33" s="9">
        <v>1920</v>
      </c>
      <c r="E33" s="9">
        <v>1</v>
      </c>
      <c r="F33" s="9"/>
      <c r="G33" s="9"/>
      <c r="H33" s="9"/>
      <c r="I33" s="9"/>
      <c r="J33" s="9"/>
      <c r="K33" s="9"/>
      <c r="L33" s="9"/>
      <c r="M33" s="9"/>
      <c r="N33" s="9">
        <v>1920</v>
      </c>
      <c r="O33" s="9">
        <v>1</v>
      </c>
    </row>
    <row r="34" spans="1:15" x14ac:dyDescent="0.25">
      <c r="A34" s="101" t="s">
        <v>576</v>
      </c>
      <c r="B34" s="9"/>
      <c r="C34" s="9"/>
      <c r="D34" s="9"/>
      <c r="E34" s="9"/>
      <c r="F34" s="9"/>
      <c r="G34" s="9"/>
      <c r="H34" s="9">
        <v>29332.5</v>
      </c>
      <c r="I34" s="9">
        <v>2</v>
      </c>
      <c r="J34" s="9"/>
      <c r="K34" s="9"/>
      <c r="L34" s="9"/>
      <c r="M34" s="9"/>
      <c r="N34" s="9">
        <v>29332.5</v>
      </c>
      <c r="O34" s="9">
        <v>2</v>
      </c>
    </row>
    <row r="35" spans="1:15" x14ac:dyDescent="0.25">
      <c r="A35" s="101" t="s">
        <v>515</v>
      </c>
      <c r="B35" s="9"/>
      <c r="C35" s="9"/>
      <c r="D35" s="9"/>
      <c r="E35" s="9"/>
      <c r="F35" s="9">
        <v>6920</v>
      </c>
      <c r="G35" s="9">
        <v>1</v>
      </c>
      <c r="H35" s="9"/>
      <c r="I35" s="9"/>
      <c r="J35" s="9">
        <v>12375</v>
      </c>
      <c r="K35" s="9">
        <v>1</v>
      </c>
      <c r="L35" s="9"/>
      <c r="M35" s="9"/>
      <c r="N35" s="9">
        <v>19295</v>
      </c>
      <c r="O35" s="9">
        <v>2</v>
      </c>
    </row>
    <row r="36" spans="1:15" x14ac:dyDescent="0.25">
      <c r="A36" s="101" t="s">
        <v>203</v>
      </c>
      <c r="B36" s="9">
        <v>19193.5</v>
      </c>
      <c r="C36" s="9">
        <v>2</v>
      </c>
      <c r="D36" s="9"/>
      <c r="E36" s="9"/>
      <c r="F36" s="9"/>
      <c r="G36" s="9"/>
      <c r="H36" s="9"/>
      <c r="I36" s="9"/>
      <c r="J36" s="9">
        <v>3831.2999999999997</v>
      </c>
      <c r="K36" s="9">
        <v>4</v>
      </c>
      <c r="L36" s="9">
        <v>358.75</v>
      </c>
      <c r="M36" s="9">
        <v>1</v>
      </c>
      <c r="N36" s="9">
        <v>23383.55</v>
      </c>
      <c r="O36" s="9">
        <v>7</v>
      </c>
    </row>
    <row r="37" spans="1:15" x14ac:dyDescent="0.25">
      <c r="A37" s="101" t="s">
        <v>337</v>
      </c>
      <c r="B37" s="9"/>
      <c r="C37" s="9"/>
      <c r="D37" s="9">
        <v>892.5</v>
      </c>
      <c r="E37" s="9">
        <v>1</v>
      </c>
      <c r="F37" s="9"/>
      <c r="G37" s="9"/>
      <c r="H37" s="9"/>
      <c r="I37" s="9"/>
      <c r="J37" s="9"/>
      <c r="K37" s="9"/>
      <c r="L37" s="9"/>
      <c r="M37" s="9"/>
      <c r="N37" s="9">
        <v>892.5</v>
      </c>
      <c r="O37" s="9">
        <v>1</v>
      </c>
    </row>
    <row r="38" spans="1:15" x14ac:dyDescent="0.25">
      <c r="A38" s="101" t="s">
        <v>231</v>
      </c>
      <c r="B38" s="9">
        <v>300</v>
      </c>
      <c r="C38" s="9">
        <v>1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>
        <v>300</v>
      </c>
      <c r="O38" s="9">
        <v>1</v>
      </c>
    </row>
    <row r="39" spans="1:15" x14ac:dyDescent="0.25">
      <c r="A39" s="101" t="s">
        <v>266</v>
      </c>
      <c r="B39" s="9"/>
      <c r="C39" s="9"/>
      <c r="D39" s="9">
        <v>1400</v>
      </c>
      <c r="E39" s="9">
        <v>1</v>
      </c>
      <c r="F39" s="9"/>
      <c r="G39" s="9"/>
      <c r="H39" s="9"/>
      <c r="I39" s="9"/>
      <c r="J39" s="9">
        <v>944</v>
      </c>
      <c r="K39" s="9">
        <v>1</v>
      </c>
      <c r="L39" s="9"/>
      <c r="M39" s="9"/>
      <c r="N39" s="9">
        <v>2344</v>
      </c>
      <c r="O39" s="9">
        <v>2</v>
      </c>
    </row>
    <row r="40" spans="1:15" x14ac:dyDescent="0.25">
      <c r="A40" s="101" t="s">
        <v>750</v>
      </c>
      <c r="B40" s="9"/>
      <c r="C40" s="9"/>
      <c r="D40" s="9"/>
      <c r="E40" s="9"/>
      <c r="F40" s="9"/>
      <c r="G40" s="9"/>
      <c r="H40" s="9"/>
      <c r="I40" s="9"/>
      <c r="J40" s="9">
        <v>285.70999999999998</v>
      </c>
      <c r="K40" s="9">
        <v>1</v>
      </c>
      <c r="L40" s="9"/>
      <c r="M40" s="9"/>
      <c r="N40" s="9">
        <v>285.70999999999998</v>
      </c>
      <c r="O40" s="9">
        <v>1</v>
      </c>
    </row>
    <row r="41" spans="1:15" x14ac:dyDescent="0.25">
      <c r="A41" s="101" t="s">
        <v>26</v>
      </c>
      <c r="B41" s="9">
        <v>1315</v>
      </c>
      <c r="C41" s="9">
        <v>3</v>
      </c>
      <c r="D41" s="9"/>
      <c r="E41" s="9"/>
      <c r="F41" s="9"/>
      <c r="G41" s="9"/>
      <c r="H41" s="9"/>
      <c r="I41" s="9"/>
      <c r="J41" s="9">
        <v>450</v>
      </c>
      <c r="K41" s="9">
        <v>1</v>
      </c>
      <c r="L41" s="9"/>
      <c r="M41" s="9"/>
      <c r="N41" s="9">
        <v>1765</v>
      </c>
      <c r="O41" s="9">
        <v>4</v>
      </c>
    </row>
    <row r="42" spans="1:15" x14ac:dyDescent="0.25">
      <c r="A42" s="101" t="s">
        <v>163</v>
      </c>
      <c r="B42" s="9">
        <v>95</v>
      </c>
      <c r="C42" s="9">
        <v>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>
        <v>95</v>
      </c>
      <c r="O42" s="9">
        <v>1</v>
      </c>
    </row>
    <row r="43" spans="1:15" x14ac:dyDescent="0.25">
      <c r="A43" s="101" t="s">
        <v>92</v>
      </c>
      <c r="B43" s="9">
        <v>1690</v>
      </c>
      <c r="C43" s="9">
        <v>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>
        <v>1690</v>
      </c>
      <c r="O43" s="9">
        <v>1</v>
      </c>
    </row>
    <row r="44" spans="1:15" x14ac:dyDescent="0.25">
      <c r="A44" s="101" t="s">
        <v>669</v>
      </c>
      <c r="B44" s="9"/>
      <c r="C44" s="9"/>
      <c r="D44" s="9"/>
      <c r="E44" s="9"/>
      <c r="F44" s="9"/>
      <c r="G44" s="9"/>
      <c r="H44" s="9"/>
      <c r="I44" s="9"/>
      <c r="J44" s="9">
        <v>2225</v>
      </c>
      <c r="K44" s="9">
        <v>1</v>
      </c>
      <c r="L44" s="9"/>
      <c r="M44" s="9"/>
      <c r="N44" s="9">
        <v>2225</v>
      </c>
      <c r="O44" s="9">
        <v>1</v>
      </c>
    </row>
    <row r="45" spans="1:15" x14ac:dyDescent="0.25">
      <c r="A45" s="101" t="s">
        <v>699</v>
      </c>
      <c r="B45" s="9"/>
      <c r="C45" s="9"/>
      <c r="D45" s="9"/>
      <c r="E45" s="9"/>
      <c r="F45" s="9"/>
      <c r="G45" s="9"/>
      <c r="H45" s="9"/>
      <c r="I45" s="9"/>
      <c r="J45" s="9">
        <v>175</v>
      </c>
      <c r="K45" s="9">
        <v>1</v>
      </c>
      <c r="L45" s="9"/>
      <c r="M45" s="9"/>
      <c r="N45" s="9">
        <v>175</v>
      </c>
      <c r="O45" s="9">
        <v>1</v>
      </c>
    </row>
    <row r="46" spans="1:15" x14ac:dyDescent="0.25">
      <c r="A46" s="101" t="s">
        <v>100</v>
      </c>
      <c r="B46" s="9">
        <v>120</v>
      </c>
      <c r="C46" s="9">
        <v>1</v>
      </c>
      <c r="D46" s="9">
        <v>190</v>
      </c>
      <c r="E46" s="9">
        <v>1</v>
      </c>
      <c r="F46" s="9"/>
      <c r="G46" s="9"/>
      <c r="H46" s="9"/>
      <c r="I46" s="9"/>
      <c r="J46" s="9">
        <v>1145</v>
      </c>
      <c r="K46" s="9">
        <v>1</v>
      </c>
      <c r="L46" s="9"/>
      <c r="M46" s="9"/>
      <c r="N46" s="9">
        <v>1455</v>
      </c>
      <c r="O46" s="9">
        <v>3</v>
      </c>
    </row>
    <row r="47" spans="1:15" x14ac:dyDescent="0.25">
      <c r="A47" s="101" t="s">
        <v>345</v>
      </c>
      <c r="B47" s="9"/>
      <c r="C47" s="9"/>
      <c r="D47" s="9">
        <v>8850</v>
      </c>
      <c r="E47" s="9">
        <v>1</v>
      </c>
      <c r="F47" s="9"/>
      <c r="G47" s="9"/>
      <c r="H47" s="9"/>
      <c r="I47" s="9"/>
      <c r="J47" s="9"/>
      <c r="K47" s="9"/>
      <c r="L47" s="9"/>
      <c r="M47" s="9"/>
      <c r="N47" s="9">
        <v>8850</v>
      </c>
      <c r="O47" s="9">
        <v>1</v>
      </c>
    </row>
    <row r="48" spans="1:15" x14ac:dyDescent="0.25">
      <c r="A48" s="101" t="s">
        <v>436</v>
      </c>
      <c r="B48" s="9"/>
      <c r="C48" s="9"/>
      <c r="D48" s="9"/>
      <c r="E48" s="9"/>
      <c r="F48" s="9">
        <v>925</v>
      </c>
      <c r="G48" s="9">
        <v>1</v>
      </c>
      <c r="H48" s="9"/>
      <c r="I48" s="9"/>
      <c r="J48" s="9"/>
      <c r="K48" s="9"/>
      <c r="L48" s="9"/>
      <c r="M48" s="9"/>
      <c r="N48" s="9">
        <v>925</v>
      </c>
      <c r="O48" s="9">
        <v>1</v>
      </c>
    </row>
    <row r="49" spans="1:15" x14ac:dyDescent="0.25">
      <c r="A49" s="101" t="s">
        <v>48</v>
      </c>
      <c r="B49" s="9">
        <v>8360</v>
      </c>
      <c r="C49" s="9">
        <v>2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>
        <v>8360</v>
      </c>
      <c r="O49" s="9">
        <v>2</v>
      </c>
    </row>
    <row r="50" spans="1:15" x14ac:dyDescent="0.25">
      <c r="A50" s="101" t="s">
        <v>494</v>
      </c>
      <c r="B50" s="9"/>
      <c r="C50" s="9"/>
      <c r="D50" s="9"/>
      <c r="E50" s="9"/>
      <c r="F50" s="9">
        <v>285</v>
      </c>
      <c r="G50" s="9">
        <v>1</v>
      </c>
      <c r="H50" s="9"/>
      <c r="I50" s="9"/>
      <c r="J50" s="9"/>
      <c r="K50" s="9"/>
      <c r="L50" s="9"/>
      <c r="M50" s="9"/>
      <c r="N50" s="9">
        <v>285</v>
      </c>
      <c r="O50" s="9">
        <v>1</v>
      </c>
    </row>
    <row r="51" spans="1:15" x14ac:dyDescent="0.25">
      <c r="A51" s="101" t="s">
        <v>324</v>
      </c>
      <c r="B51" s="9"/>
      <c r="C51" s="9"/>
      <c r="D51" s="9">
        <v>1225</v>
      </c>
      <c r="E51" s="9">
        <v>1</v>
      </c>
      <c r="F51" s="9"/>
      <c r="G51" s="9"/>
      <c r="H51" s="9"/>
      <c r="I51" s="9"/>
      <c r="J51" s="9"/>
      <c r="K51" s="9"/>
      <c r="L51" s="9"/>
      <c r="M51" s="9"/>
      <c r="N51" s="9">
        <v>1225</v>
      </c>
      <c r="O51" s="9">
        <v>1</v>
      </c>
    </row>
    <row r="52" spans="1:15" x14ac:dyDescent="0.25">
      <c r="A52" s="101" t="s">
        <v>122</v>
      </c>
      <c r="B52" s="9">
        <v>4475</v>
      </c>
      <c r="C52" s="9">
        <v>2</v>
      </c>
      <c r="D52" s="9"/>
      <c r="E52" s="9"/>
      <c r="F52" s="9">
        <v>22177.5</v>
      </c>
      <c r="G52" s="9">
        <v>3</v>
      </c>
      <c r="H52" s="9">
        <v>310</v>
      </c>
      <c r="I52" s="9">
        <v>1</v>
      </c>
      <c r="J52" s="9">
        <v>975</v>
      </c>
      <c r="K52" s="9">
        <v>1</v>
      </c>
      <c r="L52" s="9">
        <v>2785</v>
      </c>
      <c r="M52" s="9">
        <v>1</v>
      </c>
      <c r="N52" s="9">
        <v>30722.5</v>
      </c>
      <c r="O52" s="9">
        <v>8</v>
      </c>
    </row>
    <row r="53" spans="1:15" x14ac:dyDescent="0.25">
      <c r="A53" s="101" t="s">
        <v>535</v>
      </c>
      <c r="B53" s="9"/>
      <c r="C53" s="9"/>
      <c r="D53" s="9"/>
      <c r="E53" s="9"/>
      <c r="F53" s="9">
        <v>12626.25</v>
      </c>
      <c r="G53" s="9">
        <v>3</v>
      </c>
      <c r="H53" s="9"/>
      <c r="I53" s="9"/>
      <c r="J53" s="9">
        <v>1240</v>
      </c>
      <c r="K53" s="9">
        <v>1</v>
      </c>
      <c r="L53" s="9"/>
      <c r="M53" s="9"/>
      <c r="N53" s="9">
        <v>13866.25</v>
      </c>
      <c r="O53" s="9">
        <v>4</v>
      </c>
    </row>
    <row r="54" spans="1:15" x14ac:dyDescent="0.25">
      <c r="A54" s="101" t="s">
        <v>563</v>
      </c>
      <c r="B54" s="9"/>
      <c r="C54" s="9"/>
      <c r="D54" s="9"/>
      <c r="E54" s="9"/>
      <c r="F54" s="9">
        <v>7493.15</v>
      </c>
      <c r="G54" s="9">
        <v>2</v>
      </c>
      <c r="H54" s="9"/>
      <c r="I54" s="9"/>
      <c r="J54" s="9"/>
      <c r="K54" s="9"/>
      <c r="L54" s="9"/>
      <c r="M54" s="9"/>
      <c r="N54" s="9">
        <v>7493.15</v>
      </c>
      <c r="O54" s="9">
        <v>2</v>
      </c>
    </row>
    <row r="55" spans="1:15" x14ac:dyDescent="0.25">
      <c r="A55" s="101" t="s">
        <v>253</v>
      </c>
      <c r="B55" s="9">
        <v>1060</v>
      </c>
      <c r="C55" s="9">
        <v>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>
        <v>1060</v>
      </c>
      <c r="O55" s="9">
        <v>1</v>
      </c>
    </row>
    <row r="56" spans="1:15" x14ac:dyDescent="0.25">
      <c r="A56" s="101" t="s">
        <v>199</v>
      </c>
      <c r="B56" s="9">
        <v>1125</v>
      </c>
      <c r="C56" s="9">
        <v>1</v>
      </c>
      <c r="D56" s="9">
        <v>225</v>
      </c>
      <c r="E56" s="9">
        <v>1</v>
      </c>
      <c r="F56" s="9"/>
      <c r="G56" s="9"/>
      <c r="H56" s="9">
        <v>375</v>
      </c>
      <c r="I56" s="9">
        <v>1</v>
      </c>
      <c r="J56" s="9">
        <v>4355</v>
      </c>
      <c r="K56" s="9">
        <v>2</v>
      </c>
      <c r="L56" s="9">
        <v>1233.75</v>
      </c>
      <c r="M56" s="9">
        <v>1</v>
      </c>
      <c r="N56" s="9">
        <v>7313.75</v>
      </c>
      <c r="O56" s="9">
        <v>6</v>
      </c>
    </row>
    <row r="57" spans="1:15" x14ac:dyDescent="0.25">
      <c r="A57" s="101" t="s">
        <v>102</v>
      </c>
      <c r="B57" s="9">
        <v>4813</v>
      </c>
      <c r="C57" s="9">
        <v>3</v>
      </c>
      <c r="D57" s="9">
        <v>165010.85</v>
      </c>
      <c r="E57" s="9">
        <v>8</v>
      </c>
      <c r="F57" s="9">
        <v>585</v>
      </c>
      <c r="G57" s="9">
        <v>1</v>
      </c>
      <c r="H57" s="9">
        <v>4197</v>
      </c>
      <c r="I57" s="9">
        <v>3</v>
      </c>
      <c r="J57" s="9">
        <v>16875.669999999998</v>
      </c>
      <c r="K57" s="9">
        <v>9</v>
      </c>
      <c r="L57" s="9"/>
      <c r="M57" s="9"/>
      <c r="N57" s="9">
        <v>191481.52000000002</v>
      </c>
      <c r="O57" s="9">
        <v>24</v>
      </c>
    </row>
    <row r="58" spans="1:15" x14ac:dyDescent="0.25">
      <c r="A58" s="101" t="s">
        <v>72</v>
      </c>
      <c r="B58" s="9">
        <v>227.90700000000001</v>
      </c>
      <c r="C58" s="9">
        <v>1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>
        <v>227.90700000000001</v>
      </c>
      <c r="O58" s="9">
        <v>1</v>
      </c>
    </row>
    <row r="59" spans="1:15" x14ac:dyDescent="0.25">
      <c r="A59" s="101" t="s">
        <v>357</v>
      </c>
      <c r="B59" s="9"/>
      <c r="C59" s="9"/>
      <c r="D59" s="9">
        <v>420</v>
      </c>
      <c r="E59" s="9">
        <v>1</v>
      </c>
      <c r="F59" s="9">
        <v>185</v>
      </c>
      <c r="G59" s="9">
        <v>1</v>
      </c>
      <c r="H59" s="9"/>
      <c r="I59" s="9"/>
      <c r="J59" s="9">
        <v>420</v>
      </c>
      <c r="K59" s="9">
        <v>2</v>
      </c>
      <c r="L59" s="9"/>
      <c r="M59" s="9"/>
      <c r="N59" s="9">
        <v>1025</v>
      </c>
      <c r="O59" s="9">
        <v>4</v>
      </c>
    </row>
    <row r="60" spans="1:15" x14ac:dyDescent="0.25">
      <c r="A60" s="101" t="s">
        <v>94</v>
      </c>
      <c r="B60" s="9">
        <v>310</v>
      </c>
      <c r="C60" s="9">
        <v>1</v>
      </c>
      <c r="D60" s="9"/>
      <c r="E60" s="9"/>
      <c r="F60" s="9"/>
      <c r="G60" s="9"/>
      <c r="H60" s="9"/>
      <c r="I60" s="9"/>
      <c r="J60" s="9">
        <v>1010</v>
      </c>
      <c r="K60" s="9">
        <v>2</v>
      </c>
      <c r="L60" s="9"/>
      <c r="M60" s="9"/>
      <c r="N60" s="9">
        <v>1320</v>
      </c>
      <c r="O60" s="9">
        <v>3</v>
      </c>
    </row>
    <row r="61" spans="1:15" x14ac:dyDescent="0.25">
      <c r="A61" s="101" t="s">
        <v>290</v>
      </c>
      <c r="B61" s="9"/>
      <c r="C61" s="9"/>
      <c r="D61" s="9">
        <v>779</v>
      </c>
      <c r="E61" s="9">
        <v>1</v>
      </c>
      <c r="F61" s="9"/>
      <c r="G61" s="9"/>
      <c r="H61" s="9"/>
      <c r="I61" s="9"/>
      <c r="J61" s="9">
        <v>770</v>
      </c>
      <c r="K61" s="9">
        <v>2</v>
      </c>
      <c r="L61" s="9"/>
      <c r="M61" s="9"/>
      <c r="N61" s="9">
        <v>1549</v>
      </c>
      <c r="O61" s="9">
        <v>3</v>
      </c>
    </row>
    <row r="62" spans="1:15" x14ac:dyDescent="0.25">
      <c r="A62" s="101" t="s">
        <v>97</v>
      </c>
      <c r="B62" s="9">
        <v>5975</v>
      </c>
      <c r="C62" s="9">
        <v>1</v>
      </c>
      <c r="D62" s="9"/>
      <c r="E62" s="9"/>
      <c r="F62" s="9"/>
      <c r="G62" s="9"/>
      <c r="H62" s="9"/>
      <c r="I62" s="9"/>
      <c r="J62" s="9">
        <v>1612.5</v>
      </c>
      <c r="K62" s="9">
        <v>1</v>
      </c>
      <c r="L62" s="9"/>
      <c r="M62" s="9"/>
      <c r="N62" s="9">
        <v>7587.5</v>
      </c>
      <c r="O62" s="9">
        <v>2</v>
      </c>
    </row>
    <row r="63" spans="1:15" x14ac:dyDescent="0.25">
      <c r="A63" s="101" t="s">
        <v>558</v>
      </c>
      <c r="B63" s="9"/>
      <c r="C63" s="9"/>
      <c r="D63" s="9"/>
      <c r="E63" s="9"/>
      <c r="F63" s="9"/>
      <c r="G63" s="9"/>
      <c r="H63" s="9">
        <v>1167</v>
      </c>
      <c r="I63" s="9">
        <v>1</v>
      </c>
      <c r="J63" s="9">
        <v>250</v>
      </c>
      <c r="K63" s="9">
        <v>1</v>
      </c>
      <c r="L63" s="9"/>
      <c r="M63" s="9"/>
      <c r="N63" s="9">
        <v>1417</v>
      </c>
      <c r="O63" s="9">
        <v>2</v>
      </c>
    </row>
    <row r="64" spans="1:15" x14ac:dyDescent="0.25">
      <c r="A64" s="101" t="s">
        <v>319</v>
      </c>
      <c r="B64" s="9"/>
      <c r="C64" s="9"/>
      <c r="D64" s="9">
        <v>13000</v>
      </c>
      <c r="E64" s="9">
        <v>1</v>
      </c>
      <c r="F64" s="9"/>
      <c r="G64" s="9"/>
      <c r="H64" s="9"/>
      <c r="I64" s="9"/>
      <c r="J64" s="9"/>
      <c r="K64" s="9"/>
      <c r="L64" s="9"/>
      <c r="M64" s="9"/>
      <c r="N64" s="9">
        <v>13000</v>
      </c>
      <c r="O64" s="9">
        <v>1</v>
      </c>
    </row>
    <row r="65" spans="1:15" x14ac:dyDescent="0.25">
      <c r="A65" s="101" t="s">
        <v>292</v>
      </c>
      <c r="B65" s="9"/>
      <c r="C65" s="9"/>
      <c r="D65" s="9">
        <v>140</v>
      </c>
      <c r="E65" s="9">
        <v>1</v>
      </c>
      <c r="F65" s="9"/>
      <c r="G65" s="9"/>
      <c r="H65" s="9"/>
      <c r="I65" s="9"/>
      <c r="J65" s="9"/>
      <c r="K65" s="9"/>
      <c r="L65" s="9"/>
      <c r="M65" s="9"/>
      <c r="N65" s="9">
        <v>140</v>
      </c>
      <c r="O65" s="9">
        <v>1</v>
      </c>
    </row>
    <row r="66" spans="1:15" x14ac:dyDescent="0.25">
      <c r="A66" s="101" t="s">
        <v>182</v>
      </c>
      <c r="B66" s="9">
        <v>200</v>
      </c>
      <c r="C66" s="9">
        <v>1</v>
      </c>
      <c r="D66" s="9"/>
      <c r="E66" s="9"/>
      <c r="F66" s="9"/>
      <c r="G66" s="9"/>
      <c r="H66" s="9"/>
      <c r="I66" s="9"/>
      <c r="J66" s="9">
        <v>85</v>
      </c>
      <c r="K66" s="9">
        <v>1</v>
      </c>
      <c r="L66" s="9"/>
      <c r="M66" s="9"/>
      <c r="N66" s="9">
        <v>285</v>
      </c>
      <c r="O66" s="9">
        <v>2</v>
      </c>
    </row>
    <row r="67" spans="1:15" x14ac:dyDescent="0.25">
      <c r="A67" s="101" t="s">
        <v>379</v>
      </c>
      <c r="B67" s="9"/>
      <c r="C67" s="9"/>
      <c r="D67" s="9">
        <v>6775</v>
      </c>
      <c r="E67" s="9">
        <v>2</v>
      </c>
      <c r="F67" s="9"/>
      <c r="G67" s="9"/>
      <c r="H67" s="9"/>
      <c r="I67" s="9"/>
      <c r="J67" s="9"/>
      <c r="K67" s="9"/>
      <c r="L67" s="9"/>
      <c r="M67" s="9"/>
      <c r="N67" s="9">
        <v>6775</v>
      </c>
      <c r="O67" s="9">
        <v>2</v>
      </c>
    </row>
    <row r="68" spans="1:15" x14ac:dyDescent="0.25">
      <c r="A68" s="101" t="s">
        <v>81</v>
      </c>
      <c r="B68" s="9">
        <v>1250</v>
      </c>
      <c r="C68" s="9">
        <v>1</v>
      </c>
      <c r="D68" s="9"/>
      <c r="E68" s="9"/>
      <c r="F68" s="9">
        <v>9475</v>
      </c>
      <c r="G68" s="9">
        <v>3</v>
      </c>
      <c r="H68" s="9">
        <v>1100</v>
      </c>
      <c r="I68" s="9">
        <v>1</v>
      </c>
      <c r="J68" s="9"/>
      <c r="K68" s="9"/>
      <c r="L68" s="9"/>
      <c r="M68" s="9"/>
      <c r="N68" s="9">
        <v>11825</v>
      </c>
      <c r="O68" s="9">
        <v>5</v>
      </c>
    </row>
    <row r="69" spans="1:15" x14ac:dyDescent="0.25">
      <c r="A69" s="101" t="s">
        <v>89</v>
      </c>
      <c r="B69" s="9">
        <v>4252.5</v>
      </c>
      <c r="C69" s="9">
        <v>1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>
        <v>4252.5</v>
      </c>
      <c r="O69" s="9">
        <v>1</v>
      </c>
    </row>
    <row r="70" spans="1:15" x14ac:dyDescent="0.25">
      <c r="A70" s="101" t="s">
        <v>75</v>
      </c>
      <c r="B70" s="9">
        <v>475</v>
      </c>
      <c r="C70" s="9">
        <v>1</v>
      </c>
      <c r="D70" s="9">
        <v>1347.5</v>
      </c>
      <c r="E70" s="9">
        <v>2</v>
      </c>
      <c r="F70" s="9"/>
      <c r="G70" s="9"/>
      <c r="H70" s="9"/>
      <c r="I70" s="9"/>
      <c r="J70" s="9">
        <v>1060</v>
      </c>
      <c r="K70" s="9">
        <v>1</v>
      </c>
      <c r="L70" s="9"/>
      <c r="M70" s="9"/>
      <c r="N70" s="9">
        <v>2882.5</v>
      </c>
      <c r="O70" s="9">
        <v>4</v>
      </c>
    </row>
    <row r="71" spans="1:15" x14ac:dyDescent="0.25">
      <c r="A71" s="101" t="s">
        <v>56</v>
      </c>
      <c r="B71" s="9">
        <v>530</v>
      </c>
      <c r="C71" s="9">
        <v>1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>
        <v>530</v>
      </c>
      <c r="O71" s="9">
        <v>1</v>
      </c>
    </row>
    <row r="72" spans="1:15" x14ac:dyDescent="0.25">
      <c r="A72" s="101" t="s">
        <v>589</v>
      </c>
      <c r="B72" s="9"/>
      <c r="C72" s="9"/>
      <c r="D72" s="9"/>
      <c r="E72" s="9"/>
      <c r="F72" s="9"/>
      <c r="G72" s="9"/>
      <c r="H72" s="9">
        <v>1205</v>
      </c>
      <c r="I72" s="9">
        <v>1</v>
      </c>
      <c r="J72" s="9"/>
      <c r="K72" s="9"/>
      <c r="L72" s="9"/>
      <c r="M72" s="9"/>
      <c r="N72" s="9">
        <v>1205</v>
      </c>
      <c r="O72" s="9">
        <v>1</v>
      </c>
    </row>
    <row r="73" spans="1:15" x14ac:dyDescent="0.25">
      <c r="A73" s="101" t="s">
        <v>631</v>
      </c>
      <c r="B73" s="9"/>
      <c r="C73" s="9"/>
      <c r="D73" s="9"/>
      <c r="E73" s="9"/>
      <c r="F73" s="9"/>
      <c r="G73" s="9"/>
      <c r="H73" s="9">
        <v>1249.5</v>
      </c>
      <c r="I73" s="9">
        <v>1</v>
      </c>
      <c r="J73" s="9"/>
      <c r="K73" s="9"/>
      <c r="L73" s="9"/>
      <c r="M73" s="9"/>
      <c r="N73" s="9">
        <v>1249.5</v>
      </c>
      <c r="O73" s="9">
        <v>1</v>
      </c>
    </row>
    <row r="74" spans="1:15" x14ac:dyDescent="0.25">
      <c r="A74" s="101" t="s">
        <v>513</v>
      </c>
      <c r="B74" s="9"/>
      <c r="C74" s="9"/>
      <c r="D74" s="9"/>
      <c r="E74" s="9"/>
      <c r="F74" s="9">
        <v>1440</v>
      </c>
      <c r="G74" s="9">
        <v>1</v>
      </c>
      <c r="H74" s="9"/>
      <c r="I74" s="9"/>
      <c r="J74" s="9"/>
      <c r="K74" s="9"/>
      <c r="L74" s="9"/>
      <c r="M74" s="9"/>
      <c r="N74" s="9">
        <v>1440</v>
      </c>
      <c r="O74" s="9">
        <v>1</v>
      </c>
    </row>
    <row r="75" spans="1:15" x14ac:dyDescent="0.25">
      <c r="A75" s="101" t="s">
        <v>736</v>
      </c>
      <c r="B75" s="9"/>
      <c r="C75" s="9"/>
      <c r="D75" s="9"/>
      <c r="E75" s="9"/>
      <c r="F75" s="9"/>
      <c r="G75" s="9"/>
      <c r="H75" s="9"/>
      <c r="I75" s="9"/>
      <c r="J75" s="9">
        <v>2195</v>
      </c>
      <c r="K75" s="9">
        <v>1</v>
      </c>
      <c r="L75" s="9"/>
      <c r="M75" s="9"/>
      <c r="N75" s="9">
        <v>2195</v>
      </c>
      <c r="O75" s="9">
        <v>1</v>
      </c>
    </row>
    <row r="76" spans="1:15" x14ac:dyDescent="0.25">
      <c r="A76" s="101" t="s">
        <v>263</v>
      </c>
      <c r="B76" s="9"/>
      <c r="C76" s="9"/>
      <c r="D76" s="9">
        <v>3150</v>
      </c>
      <c r="E76" s="9">
        <v>2</v>
      </c>
      <c r="F76" s="9"/>
      <c r="G76" s="9"/>
      <c r="H76" s="9"/>
      <c r="I76" s="9"/>
      <c r="J76" s="9"/>
      <c r="K76" s="9"/>
      <c r="L76" s="9"/>
      <c r="M76" s="9"/>
      <c r="N76" s="9">
        <v>3150</v>
      </c>
      <c r="O76" s="9">
        <v>2</v>
      </c>
    </row>
    <row r="77" spans="1:15" x14ac:dyDescent="0.25">
      <c r="A77" s="101" t="s">
        <v>564</v>
      </c>
      <c r="B77" s="9"/>
      <c r="C77" s="9"/>
      <c r="D77" s="9"/>
      <c r="E77" s="9"/>
      <c r="F77" s="9">
        <v>2497.7199999999998</v>
      </c>
      <c r="G77" s="9">
        <v>1</v>
      </c>
      <c r="H77" s="9"/>
      <c r="I77" s="9"/>
      <c r="J77" s="9"/>
      <c r="K77" s="9"/>
      <c r="L77" s="9"/>
      <c r="M77" s="9"/>
      <c r="N77" s="9">
        <v>2497.7199999999998</v>
      </c>
      <c r="O77" s="9">
        <v>1</v>
      </c>
    </row>
    <row r="78" spans="1:15" x14ac:dyDescent="0.25">
      <c r="A78" s="101" t="s">
        <v>562</v>
      </c>
      <c r="B78" s="9"/>
      <c r="C78" s="9"/>
      <c r="D78" s="9"/>
      <c r="E78" s="9"/>
      <c r="F78" s="9">
        <v>8463.75</v>
      </c>
      <c r="G78" s="9">
        <v>1</v>
      </c>
      <c r="H78" s="9"/>
      <c r="I78" s="9"/>
      <c r="J78" s="9"/>
      <c r="K78" s="9"/>
      <c r="L78" s="9"/>
      <c r="M78" s="9"/>
      <c r="N78" s="9">
        <v>8463.75</v>
      </c>
      <c r="O78" s="9">
        <v>1</v>
      </c>
    </row>
    <row r="79" spans="1:15" x14ac:dyDescent="0.25">
      <c r="A79" s="101" t="s">
        <v>649</v>
      </c>
      <c r="B79" s="9"/>
      <c r="C79" s="9"/>
      <c r="D79" s="9"/>
      <c r="E79" s="9"/>
      <c r="F79" s="9"/>
      <c r="G79" s="9"/>
      <c r="H79" s="9">
        <v>900</v>
      </c>
      <c r="I79" s="9">
        <v>1</v>
      </c>
      <c r="J79" s="9"/>
      <c r="K79" s="9"/>
      <c r="L79" s="9"/>
      <c r="M79" s="9"/>
      <c r="N79" s="9">
        <v>900</v>
      </c>
      <c r="O79" s="9">
        <v>1</v>
      </c>
    </row>
    <row r="80" spans="1:15" x14ac:dyDescent="0.25">
      <c r="A80" s="101" t="s">
        <v>172</v>
      </c>
      <c r="B80" s="9">
        <v>400</v>
      </c>
      <c r="C80" s="9">
        <v>1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>
        <v>400</v>
      </c>
      <c r="O80" s="9">
        <v>1</v>
      </c>
    </row>
    <row r="81" spans="1:15" x14ac:dyDescent="0.25">
      <c r="A81" s="101" t="s">
        <v>195</v>
      </c>
      <c r="B81" s="9">
        <v>4687.5</v>
      </c>
      <c r="C81" s="9">
        <v>1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>
        <v>4687.5</v>
      </c>
      <c r="O81" s="9">
        <v>1</v>
      </c>
    </row>
    <row r="82" spans="1:15" x14ac:dyDescent="0.25">
      <c r="A82" s="101" t="s">
        <v>460</v>
      </c>
      <c r="B82" s="9"/>
      <c r="C82" s="9"/>
      <c r="D82" s="9"/>
      <c r="E82" s="9"/>
      <c r="F82" s="9">
        <v>750</v>
      </c>
      <c r="G82" s="9">
        <v>1</v>
      </c>
      <c r="H82" s="9"/>
      <c r="I82" s="9"/>
      <c r="J82" s="9"/>
      <c r="K82" s="9"/>
      <c r="L82" s="9"/>
      <c r="M82" s="9"/>
      <c r="N82" s="9">
        <v>750</v>
      </c>
      <c r="O82" s="9">
        <v>1</v>
      </c>
    </row>
    <row r="83" spans="1:15" x14ac:dyDescent="0.25">
      <c r="A83" s="101" t="s">
        <v>644</v>
      </c>
      <c r="B83" s="9"/>
      <c r="C83" s="9"/>
      <c r="D83" s="9"/>
      <c r="E83" s="9"/>
      <c r="F83" s="9"/>
      <c r="G83" s="9"/>
      <c r="H83" s="9">
        <v>380</v>
      </c>
      <c r="I83" s="9">
        <v>1</v>
      </c>
      <c r="J83" s="9"/>
      <c r="K83" s="9"/>
      <c r="L83" s="9"/>
      <c r="M83" s="9"/>
      <c r="N83" s="9">
        <v>380</v>
      </c>
      <c r="O83" s="9">
        <v>1</v>
      </c>
    </row>
    <row r="84" spans="1:15" x14ac:dyDescent="0.25">
      <c r="A84" s="101" t="s">
        <v>492</v>
      </c>
      <c r="B84" s="9"/>
      <c r="C84" s="9"/>
      <c r="D84" s="9"/>
      <c r="E84" s="9"/>
      <c r="F84" s="9">
        <v>10720</v>
      </c>
      <c r="G84" s="9">
        <v>3</v>
      </c>
      <c r="H84" s="9"/>
      <c r="I84" s="9"/>
      <c r="J84" s="9"/>
      <c r="K84" s="9"/>
      <c r="L84" s="9"/>
      <c r="M84" s="9"/>
      <c r="N84" s="9">
        <v>10720</v>
      </c>
      <c r="O84" s="9">
        <v>3</v>
      </c>
    </row>
    <row r="85" spans="1:15" x14ac:dyDescent="0.25">
      <c r="A85" s="101" t="s">
        <v>29</v>
      </c>
      <c r="B85" s="9">
        <v>10803.35</v>
      </c>
      <c r="C85" s="9">
        <v>4</v>
      </c>
      <c r="D85" s="9"/>
      <c r="E85" s="9"/>
      <c r="F85" s="9">
        <v>550</v>
      </c>
      <c r="G85" s="9">
        <v>2</v>
      </c>
      <c r="H85" s="9">
        <v>4669</v>
      </c>
      <c r="I85" s="9">
        <v>4</v>
      </c>
      <c r="J85" s="9">
        <v>12497.5</v>
      </c>
      <c r="K85" s="9">
        <v>9</v>
      </c>
      <c r="L85" s="9"/>
      <c r="M85" s="9"/>
      <c r="N85" s="9">
        <v>28519.85</v>
      </c>
      <c r="O85" s="9">
        <v>19</v>
      </c>
    </row>
    <row r="86" spans="1:15" x14ac:dyDescent="0.25">
      <c r="A86" s="101" t="s">
        <v>398</v>
      </c>
      <c r="B86" s="9"/>
      <c r="C86" s="9"/>
      <c r="D86" s="9"/>
      <c r="E86" s="9"/>
      <c r="F86" s="9">
        <v>1125</v>
      </c>
      <c r="G86" s="9">
        <v>3</v>
      </c>
      <c r="H86" s="9"/>
      <c r="I86" s="9"/>
      <c r="J86" s="9">
        <v>6202.5</v>
      </c>
      <c r="K86" s="9">
        <v>3</v>
      </c>
      <c r="L86" s="9"/>
      <c r="M86" s="9"/>
      <c r="N86" s="9">
        <v>7327.5</v>
      </c>
      <c r="O86" s="9">
        <v>6</v>
      </c>
    </row>
    <row r="87" spans="1:15" x14ac:dyDescent="0.25">
      <c r="A87" s="101" t="s">
        <v>835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>
        <v>90</v>
      </c>
      <c r="M87" s="9">
        <v>1</v>
      </c>
      <c r="N87" s="9">
        <v>90</v>
      </c>
      <c r="O87" s="9">
        <v>1</v>
      </c>
    </row>
    <row r="88" spans="1:15" x14ac:dyDescent="0.25">
      <c r="A88" s="101" t="s">
        <v>321</v>
      </c>
      <c r="B88" s="9"/>
      <c r="C88" s="9"/>
      <c r="D88" s="9">
        <v>525</v>
      </c>
      <c r="E88" s="9">
        <v>1</v>
      </c>
      <c r="F88" s="9">
        <v>550</v>
      </c>
      <c r="G88" s="9">
        <v>1</v>
      </c>
      <c r="H88" s="9"/>
      <c r="I88" s="9"/>
      <c r="J88" s="9"/>
      <c r="K88" s="9"/>
      <c r="L88" s="9"/>
      <c r="M88" s="9"/>
      <c r="N88" s="9">
        <v>1075</v>
      </c>
      <c r="O88" s="9">
        <v>2</v>
      </c>
    </row>
    <row r="89" spans="1:15" x14ac:dyDescent="0.25">
      <c r="A89" s="101" t="s">
        <v>229</v>
      </c>
      <c r="B89" s="9">
        <v>525</v>
      </c>
      <c r="C89" s="9">
        <v>1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>
        <v>525</v>
      </c>
      <c r="O89" s="9">
        <v>1</v>
      </c>
    </row>
    <row r="90" spans="1:15" x14ac:dyDescent="0.25">
      <c r="A90" s="101" t="s">
        <v>482</v>
      </c>
      <c r="B90" s="9"/>
      <c r="C90" s="9"/>
      <c r="D90" s="9"/>
      <c r="E90" s="9"/>
      <c r="F90" s="9">
        <v>6625</v>
      </c>
      <c r="G90" s="9">
        <v>2</v>
      </c>
      <c r="H90" s="9"/>
      <c r="I90" s="9"/>
      <c r="J90" s="9"/>
      <c r="K90" s="9"/>
      <c r="L90" s="9"/>
      <c r="M90" s="9"/>
      <c r="N90" s="9">
        <v>6625</v>
      </c>
      <c r="O90" s="9">
        <v>2</v>
      </c>
    </row>
    <row r="91" spans="1:15" x14ac:dyDescent="0.25">
      <c r="A91" s="101" t="s">
        <v>167</v>
      </c>
      <c r="B91" s="9">
        <v>5781</v>
      </c>
      <c r="C91" s="9">
        <v>2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>
        <v>5781</v>
      </c>
      <c r="O91" s="9">
        <v>2</v>
      </c>
    </row>
    <row r="92" spans="1:15" x14ac:dyDescent="0.25">
      <c r="A92" s="101" t="s">
        <v>566</v>
      </c>
      <c r="B92" s="9"/>
      <c r="C92" s="9"/>
      <c r="D92" s="9"/>
      <c r="E92" s="9"/>
      <c r="F92" s="9"/>
      <c r="G92" s="9"/>
      <c r="H92" s="9">
        <v>24600</v>
      </c>
      <c r="I92" s="9">
        <v>3</v>
      </c>
      <c r="J92" s="9"/>
      <c r="K92" s="9"/>
      <c r="L92" s="9"/>
      <c r="M92" s="9"/>
      <c r="N92" s="9">
        <v>24600</v>
      </c>
      <c r="O92" s="9">
        <v>3</v>
      </c>
    </row>
    <row r="93" spans="1:15" x14ac:dyDescent="0.25">
      <c r="A93" s="101" t="s">
        <v>770</v>
      </c>
      <c r="B93" s="9"/>
      <c r="C93" s="9"/>
      <c r="D93" s="9"/>
      <c r="E93" s="9"/>
      <c r="F93" s="9"/>
      <c r="G93" s="9"/>
      <c r="H93" s="9"/>
      <c r="I93" s="9"/>
      <c r="J93" s="9">
        <v>1183</v>
      </c>
      <c r="K93" s="9">
        <v>1</v>
      </c>
      <c r="L93" s="9"/>
      <c r="M93" s="9"/>
      <c r="N93" s="9">
        <v>1183</v>
      </c>
      <c r="O93" s="9">
        <v>1</v>
      </c>
    </row>
    <row r="94" spans="1:15" x14ac:dyDescent="0.25">
      <c r="A94" s="101" t="s">
        <v>512</v>
      </c>
      <c r="B94" s="9"/>
      <c r="C94" s="9"/>
      <c r="D94" s="9"/>
      <c r="E94" s="9"/>
      <c r="F94" s="9">
        <v>435</v>
      </c>
      <c r="G94" s="9">
        <v>1</v>
      </c>
      <c r="H94" s="9"/>
      <c r="I94" s="9"/>
      <c r="J94" s="9"/>
      <c r="K94" s="9"/>
      <c r="L94" s="9"/>
      <c r="M94" s="9"/>
      <c r="N94" s="9">
        <v>435</v>
      </c>
      <c r="O94" s="9">
        <v>1</v>
      </c>
    </row>
    <row r="95" spans="1:15" x14ac:dyDescent="0.25">
      <c r="A95" s="101" t="s">
        <v>119</v>
      </c>
      <c r="B95" s="9">
        <v>14677.74</v>
      </c>
      <c r="C95" s="9">
        <v>2</v>
      </c>
      <c r="D95" s="9"/>
      <c r="E95" s="9"/>
      <c r="F95" s="9"/>
      <c r="G95" s="9"/>
      <c r="H95" s="9">
        <v>325</v>
      </c>
      <c r="I95" s="9">
        <v>1</v>
      </c>
      <c r="J95" s="9"/>
      <c r="K95" s="9"/>
      <c r="L95" s="9"/>
      <c r="M95" s="9"/>
      <c r="N95" s="9">
        <v>15002.74</v>
      </c>
      <c r="O95" s="9">
        <v>3</v>
      </c>
    </row>
    <row r="96" spans="1:15" x14ac:dyDescent="0.25">
      <c r="A96" s="101" t="s">
        <v>139</v>
      </c>
      <c r="B96" s="9">
        <v>380</v>
      </c>
      <c r="C96" s="9">
        <v>1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>
        <v>380</v>
      </c>
      <c r="O96" s="9">
        <v>1</v>
      </c>
    </row>
    <row r="97" spans="1:15" x14ac:dyDescent="0.25">
      <c r="A97" s="101" t="s">
        <v>814</v>
      </c>
      <c r="B97" s="9"/>
      <c r="C97" s="9"/>
      <c r="D97" s="9"/>
      <c r="E97" s="9"/>
      <c r="F97" s="9"/>
      <c r="G97" s="9"/>
      <c r="H97" s="9"/>
      <c r="I97" s="9"/>
      <c r="J97" s="9">
        <v>2250</v>
      </c>
      <c r="K97" s="9">
        <v>1</v>
      </c>
      <c r="L97" s="9"/>
      <c r="M97" s="9"/>
      <c r="N97" s="9">
        <v>2250</v>
      </c>
      <c r="O97" s="9">
        <v>1</v>
      </c>
    </row>
    <row r="98" spans="1:15" x14ac:dyDescent="0.25">
      <c r="A98" s="101" t="s">
        <v>184</v>
      </c>
      <c r="B98" s="9">
        <v>3950</v>
      </c>
      <c r="C98" s="9">
        <v>1</v>
      </c>
      <c r="D98" s="9"/>
      <c r="E98" s="9"/>
      <c r="F98" s="9"/>
      <c r="G98" s="9"/>
      <c r="H98" s="9">
        <v>1050</v>
      </c>
      <c r="I98" s="9">
        <v>1</v>
      </c>
      <c r="J98" s="9">
        <v>190</v>
      </c>
      <c r="K98" s="9">
        <v>1</v>
      </c>
      <c r="L98" s="9"/>
      <c r="M98" s="9"/>
      <c r="N98" s="9">
        <v>5190</v>
      </c>
      <c r="O98" s="9">
        <v>3</v>
      </c>
    </row>
    <row r="99" spans="1:15" x14ac:dyDescent="0.25">
      <c r="A99" s="101" t="s">
        <v>238</v>
      </c>
      <c r="B99" s="9">
        <v>150</v>
      </c>
      <c r="C99" s="9">
        <v>1</v>
      </c>
      <c r="D99" s="9">
        <v>915</v>
      </c>
      <c r="E99" s="9">
        <v>1</v>
      </c>
      <c r="F99" s="9"/>
      <c r="G99" s="9"/>
      <c r="H99" s="9"/>
      <c r="I99" s="9"/>
      <c r="J99" s="9"/>
      <c r="K99" s="9"/>
      <c r="L99" s="9"/>
      <c r="M99" s="9"/>
      <c r="N99" s="9">
        <v>1065</v>
      </c>
      <c r="O99" s="9">
        <v>2</v>
      </c>
    </row>
    <row r="100" spans="1:15" x14ac:dyDescent="0.25">
      <c r="A100" s="101" t="s">
        <v>276</v>
      </c>
      <c r="B100" s="9"/>
      <c r="C100" s="9"/>
      <c r="D100" s="9">
        <v>625</v>
      </c>
      <c r="E100" s="9">
        <v>2</v>
      </c>
      <c r="F100" s="9"/>
      <c r="G100" s="9"/>
      <c r="H100" s="9"/>
      <c r="I100" s="9"/>
      <c r="J100" s="9"/>
      <c r="K100" s="9"/>
      <c r="L100" s="9"/>
      <c r="M100" s="9"/>
      <c r="N100" s="9">
        <v>625</v>
      </c>
      <c r="O100" s="9">
        <v>2</v>
      </c>
    </row>
    <row r="101" spans="1:15" x14ac:dyDescent="0.25">
      <c r="A101" s="101" t="s">
        <v>244</v>
      </c>
      <c r="B101" s="9">
        <v>1250</v>
      </c>
      <c r="C101" s="9">
        <v>1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>
        <v>1250</v>
      </c>
      <c r="O101" s="9">
        <v>1</v>
      </c>
    </row>
    <row r="102" spans="1:15" x14ac:dyDescent="0.25">
      <c r="A102" s="101" t="s">
        <v>10</v>
      </c>
      <c r="B102" s="9">
        <v>9650.49</v>
      </c>
      <c r="C102" s="9">
        <v>10</v>
      </c>
      <c r="D102" s="9">
        <v>16015.5</v>
      </c>
      <c r="E102" s="9">
        <v>10</v>
      </c>
      <c r="F102" s="9">
        <v>18431</v>
      </c>
      <c r="G102" s="9">
        <v>14</v>
      </c>
      <c r="H102" s="9">
        <v>9871</v>
      </c>
      <c r="I102" s="9">
        <v>10</v>
      </c>
      <c r="J102" s="9">
        <v>19695.77</v>
      </c>
      <c r="K102" s="9">
        <v>21</v>
      </c>
      <c r="L102" s="9">
        <v>24612</v>
      </c>
      <c r="M102" s="9">
        <v>4</v>
      </c>
      <c r="N102" s="9">
        <v>98275.76</v>
      </c>
      <c r="O102" s="9">
        <v>69</v>
      </c>
    </row>
    <row r="103" spans="1:15" x14ac:dyDescent="0.25">
      <c r="A103" s="101" t="s">
        <v>297</v>
      </c>
      <c r="B103" s="9"/>
      <c r="C103" s="9"/>
      <c r="D103" s="9">
        <v>989</v>
      </c>
      <c r="E103" s="9">
        <v>1</v>
      </c>
      <c r="F103" s="9"/>
      <c r="G103" s="9"/>
      <c r="H103" s="9"/>
      <c r="I103" s="9"/>
      <c r="J103" s="9">
        <v>7425</v>
      </c>
      <c r="K103" s="9">
        <v>1</v>
      </c>
      <c r="L103" s="9"/>
      <c r="M103" s="9"/>
      <c r="N103" s="9">
        <v>8414</v>
      </c>
      <c r="O103" s="9">
        <v>2</v>
      </c>
    </row>
    <row r="104" spans="1:15" x14ac:dyDescent="0.25">
      <c r="A104" s="101" t="s">
        <v>450</v>
      </c>
      <c r="B104" s="9"/>
      <c r="C104" s="9"/>
      <c r="D104" s="9">
        <v>1925</v>
      </c>
      <c r="E104" s="9">
        <v>1</v>
      </c>
      <c r="F104" s="9"/>
      <c r="G104" s="9"/>
      <c r="H104" s="9"/>
      <c r="I104" s="9"/>
      <c r="J104" s="9"/>
      <c r="K104" s="9"/>
      <c r="L104" s="9"/>
      <c r="M104" s="9"/>
      <c r="N104" s="9">
        <v>1925</v>
      </c>
      <c r="O104" s="9">
        <v>1</v>
      </c>
    </row>
    <row r="105" spans="1:15" x14ac:dyDescent="0.25">
      <c r="A105" s="101" t="s">
        <v>731</v>
      </c>
      <c r="B105" s="9"/>
      <c r="C105" s="9"/>
      <c r="D105" s="9"/>
      <c r="E105" s="9"/>
      <c r="F105" s="9"/>
      <c r="G105" s="9"/>
      <c r="H105" s="9"/>
      <c r="I105" s="9"/>
      <c r="J105" s="9">
        <v>11490.5</v>
      </c>
      <c r="K105" s="9">
        <v>3</v>
      </c>
      <c r="L105" s="9"/>
      <c r="M105" s="9"/>
      <c r="N105" s="9">
        <v>11490.5</v>
      </c>
      <c r="O105" s="9">
        <v>3</v>
      </c>
    </row>
    <row r="106" spans="1:15" x14ac:dyDescent="0.25">
      <c r="A106" s="101" t="s">
        <v>443</v>
      </c>
      <c r="B106" s="9"/>
      <c r="C106" s="9"/>
      <c r="D106" s="9"/>
      <c r="E106" s="9"/>
      <c r="F106" s="9">
        <v>405</v>
      </c>
      <c r="G106" s="9">
        <v>2</v>
      </c>
      <c r="H106" s="9"/>
      <c r="I106" s="9"/>
      <c r="J106" s="9"/>
      <c r="K106" s="9"/>
      <c r="L106" s="9"/>
      <c r="M106" s="9"/>
      <c r="N106" s="9">
        <v>405</v>
      </c>
      <c r="O106" s="9">
        <v>2</v>
      </c>
    </row>
    <row r="107" spans="1:15" x14ac:dyDescent="0.25">
      <c r="A107" s="101" t="s">
        <v>552</v>
      </c>
      <c r="B107" s="9"/>
      <c r="C107" s="9"/>
      <c r="D107" s="9"/>
      <c r="E107" s="9"/>
      <c r="F107" s="9"/>
      <c r="G107" s="9"/>
      <c r="H107" s="9">
        <v>1750.5</v>
      </c>
      <c r="I107" s="9">
        <v>1</v>
      </c>
      <c r="J107" s="9"/>
      <c r="K107" s="9"/>
      <c r="L107" s="9"/>
      <c r="M107" s="9"/>
      <c r="N107" s="9">
        <v>1750.5</v>
      </c>
      <c r="O107" s="9">
        <v>1</v>
      </c>
    </row>
    <row r="108" spans="1:15" x14ac:dyDescent="0.25">
      <c r="A108" s="101" t="s">
        <v>330</v>
      </c>
      <c r="B108" s="9"/>
      <c r="C108" s="9"/>
      <c r="D108" s="9">
        <v>3335</v>
      </c>
      <c r="E108" s="9">
        <v>1</v>
      </c>
      <c r="F108" s="9"/>
      <c r="G108" s="9"/>
      <c r="H108" s="9"/>
      <c r="I108" s="9"/>
      <c r="J108" s="9"/>
      <c r="K108" s="9"/>
      <c r="L108" s="9"/>
      <c r="M108" s="9"/>
      <c r="N108" s="9">
        <v>3335</v>
      </c>
      <c r="O108" s="9">
        <v>1</v>
      </c>
    </row>
    <row r="109" spans="1:15" x14ac:dyDescent="0.25">
      <c r="A109" s="101" t="s">
        <v>22</v>
      </c>
      <c r="B109" s="9">
        <v>405</v>
      </c>
      <c r="C109" s="9">
        <v>1</v>
      </c>
      <c r="D109" s="9"/>
      <c r="E109" s="9"/>
      <c r="F109" s="9">
        <v>540</v>
      </c>
      <c r="G109" s="9">
        <v>1</v>
      </c>
      <c r="H109" s="9">
        <v>845</v>
      </c>
      <c r="I109" s="9">
        <v>2</v>
      </c>
      <c r="J109" s="9"/>
      <c r="K109" s="9"/>
      <c r="L109" s="9"/>
      <c r="M109" s="9"/>
      <c r="N109" s="9">
        <v>1790</v>
      </c>
      <c r="O109" s="9">
        <v>4</v>
      </c>
    </row>
    <row r="110" spans="1:15" x14ac:dyDescent="0.25">
      <c r="A110" s="101" t="s">
        <v>114</v>
      </c>
      <c r="B110" s="9">
        <v>5975</v>
      </c>
      <c r="C110" s="9">
        <v>5</v>
      </c>
      <c r="D110" s="9">
        <v>3000</v>
      </c>
      <c r="E110" s="9">
        <v>4</v>
      </c>
      <c r="F110" s="9">
        <v>2830</v>
      </c>
      <c r="G110" s="9">
        <v>4</v>
      </c>
      <c r="H110" s="9">
        <v>405</v>
      </c>
      <c r="I110" s="9">
        <v>1</v>
      </c>
      <c r="J110" s="9">
        <v>4864</v>
      </c>
      <c r="K110" s="9">
        <v>7</v>
      </c>
      <c r="L110" s="9">
        <v>1311</v>
      </c>
      <c r="M110" s="9">
        <v>1</v>
      </c>
      <c r="N110" s="9">
        <v>18385</v>
      </c>
      <c r="O110" s="9">
        <v>22</v>
      </c>
    </row>
    <row r="111" spans="1:15" x14ac:dyDescent="0.25">
      <c r="A111" s="101" t="s">
        <v>221</v>
      </c>
      <c r="B111" s="9">
        <v>1140</v>
      </c>
      <c r="C111" s="9">
        <v>1</v>
      </c>
      <c r="D111" s="9"/>
      <c r="E111" s="9"/>
      <c r="F111" s="9"/>
      <c r="G111" s="9"/>
      <c r="H111" s="9">
        <v>6000</v>
      </c>
      <c r="I111" s="9">
        <v>1</v>
      </c>
      <c r="J111" s="9"/>
      <c r="K111" s="9"/>
      <c r="L111" s="9"/>
      <c r="M111" s="9"/>
      <c r="N111" s="9">
        <v>7140</v>
      </c>
      <c r="O111" s="9">
        <v>2</v>
      </c>
    </row>
    <row r="112" spans="1:15" x14ac:dyDescent="0.25">
      <c r="A112" s="101" t="s">
        <v>236</v>
      </c>
      <c r="B112" s="9">
        <v>375</v>
      </c>
      <c r="C112" s="9">
        <v>2</v>
      </c>
      <c r="D112" s="9">
        <v>195</v>
      </c>
      <c r="E112" s="9">
        <v>2</v>
      </c>
      <c r="F112" s="9">
        <v>154.5</v>
      </c>
      <c r="G112" s="9">
        <v>2</v>
      </c>
      <c r="H112" s="9"/>
      <c r="I112" s="9"/>
      <c r="J112" s="9"/>
      <c r="K112" s="9"/>
      <c r="L112" s="9"/>
      <c r="M112" s="9"/>
      <c r="N112" s="9">
        <v>724.5</v>
      </c>
      <c r="O112" s="9">
        <v>6</v>
      </c>
    </row>
    <row r="113" spans="1:15" x14ac:dyDescent="0.25">
      <c r="A113" s="101" t="s">
        <v>666</v>
      </c>
      <c r="B113" s="9"/>
      <c r="C113" s="9"/>
      <c r="D113" s="9"/>
      <c r="E113" s="9"/>
      <c r="F113" s="9"/>
      <c r="G113" s="9"/>
      <c r="H113" s="9">
        <v>90</v>
      </c>
      <c r="I113" s="9">
        <v>1</v>
      </c>
      <c r="J113" s="9">
        <v>60</v>
      </c>
      <c r="K113" s="9">
        <v>1</v>
      </c>
      <c r="L113" s="9"/>
      <c r="M113" s="9"/>
      <c r="N113" s="9">
        <v>150</v>
      </c>
      <c r="O113" s="9">
        <v>2</v>
      </c>
    </row>
    <row r="114" spans="1:15" x14ac:dyDescent="0.25">
      <c r="A114" s="101" t="s">
        <v>664</v>
      </c>
      <c r="B114" s="9"/>
      <c r="C114" s="9"/>
      <c r="D114" s="9"/>
      <c r="E114" s="9"/>
      <c r="F114" s="9"/>
      <c r="G114" s="9"/>
      <c r="H114" s="9">
        <v>180</v>
      </c>
      <c r="I114" s="9">
        <v>1</v>
      </c>
      <c r="J114" s="9">
        <v>210</v>
      </c>
      <c r="K114" s="9">
        <v>1</v>
      </c>
      <c r="L114" s="9"/>
      <c r="M114" s="9"/>
      <c r="N114" s="9">
        <v>390</v>
      </c>
      <c r="O114" s="9">
        <v>2</v>
      </c>
    </row>
    <row r="115" spans="1:15" x14ac:dyDescent="0.25">
      <c r="A115" s="101" t="s">
        <v>49</v>
      </c>
      <c r="B115" s="9">
        <v>5373</v>
      </c>
      <c r="C115" s="9">
        <v>2</v>
      </c>
      <c r="D115" s="9"/>
      <c r="E115" s="9"/>
      <c r="F115" s="9"/>
      <c r="G115" s="9"/>
      <c r="H115" s="9"/>
      <c r="I115" s="9"/>
      <c r="J115" s="9">
        <v>217.5</v>
      </c>
      <c r="K115" s="9">
        <v>1</v>
      </c>
      <c r="L115" s="9"/>
      <c r="M115" s="9"/>
      <c r="N115" s="9">
        <v>5590.5</v>
      </c>
      <c r="O115" s="9">
        <v>3</v>
      </c>
    </row>
    <row r="116" spans="1:15" x14ac:dyDescent="0.25">
      <c r="A116" s="101" t="s">
        <v>262</v>
      </c>
      <c r="B116" s="9">
        <v>1780</v>
      </c>
      <c r="C116" s="9">
        <v>1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>
        <v>1780</v>
      </c>
      <c r="O116" s="9">
        <v>1</v>
      </c>
    </row>
    <row r="117" spans="1:15" x14ac:dyDescent="0.25">
      <c r="A117" s="101" t="s">
        <v>863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>
        <v>367.5</v>
      </c>
      <c r="M117" s="9">
        <v>1</v>
      </c>
      <c r="N117" s="9">
        <v>367.5</v>
      </c>
      <c r="O117" s="9">
        <v>1</v>
      </c>
    </row>
    <row r="118" spans="1:15" x14ac:dyDescent="0.25">
      <c r="A118" s="101" t="s">
        <v>13</v>
      </c>
      <c r="B118" s="9">
        <v>151513.73700000002</v>
      </c>
      <c r="C118" s="9">
        <v>76</v>
      </c>
      <c r="D118" s="9">
        <v>267652.46999999997</v>
      </c>
      <c r="E118" s="9">
        <v>64</v>
      </c>
      <c r="F118" s="9">
        <v>124061.37</v>
      </c>
      <c r="G118" s="9">
        <v>60</v>
      </c>
      <c r="H118" s="9">
        <v>94544.95</v>
      </c>
      <c r="I118" s="9">
        <v>44</v>
      </c>
      <c r="J118" s="9">
        <v>132498.70000000001</v>
      </c>
      <c r="K118" s="9">
        <v>94</v>
      </c>
      <c r="L118" s="9">
        <v>32546</v>
      </c>
      <c r="M118" s="9">
        <v>11</v>
      </c>
      <c r="N118" s="9">
        <v>802817.22699999996</v>
      </c>
      <c r="O118" s="9">
        <v>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F0F7-F48B-462A-84DD-C4C196928CFD}">
  <sheetPr>
    <pageSetUpPr fitToPage="1"/>
  </sheetPr>
  <dimension ref="A2:T844"/>
  <sheetViews>
    <sheetView tabSelected="1" zoomScale="87" zoomScaleNormal="87" workbookViewId="0">
      <pane xSplit="2" ySplit="2" topLeftCell="C595" activePane="bottomRight" state="frozen"/>
      <selection pane="topRight" activeCell="C1" sqref="C1"/>
      <selection pane="bottomLeft" activeCell="A3" sqref="A3"/>
      <selection pane="bottomRight" activeCell="R618" sqref="R618"/>
    </sheetView>
  </sheetViews>
  <sheetFormatPr defaultRowHeight="17.25" customHeight="1" x14ac:dyDescent="0.25"/>
  <cols>
    <col min="1" max="1" width="2.85546875" customWidth="1"/>
    <col min="2" max="2" width="51.85546875" customWidth="1"/>
    <col min="3" max="3" width="14.28515625" style="14" customWidth="1"/>
    <col min="4" max="4" width="13.5703125" style="93" customWidth="1"/>
    <col min="5" max="5" width="25.140625" style="16" customWidth="1"/>
    <col min="6" max="6" width="49.28515625" customWidth="1"/>
    <col min="7" max="7" width="13.7109375" style="26" customWidth="1"/>
    <col min="8" max="8" width="8" style="26" customWidth="1"/>
    <col min="9" max="9" width="14.85546875" style="26" bestFit="1" customWidth="1"/>
    <col min="10" max="10" width="11.42578125" style="26" bestFit="1" customWidth="1"/>
    <col min="11" max="11" width="16.42578125" style="26" customWidth="1"/>
    <col min="12" max="12" width="19.5703125" style="18" customWidth="1"/>
    <col min="13" max="13" width="10.5703125" customWidth="1"/>
    <col min="14" max="14" width="11.85546875" customWidth="1"/>
    <col min="15" max="15" width="14.28515625" customWidth="1"/>
    <col min="18" max="18" width="11" customWidth="1"/>
    <col min="19" max="19" width="12.5703125" bestFit="1" customWidth="1"/>
    <col min="20" max="20" width="14.5703125" customWidth="1"/>
  </cols>
  <sheetData>
    <row r="2" spans="2:15" s="8" customFormat="1" ht="37.5" customHeight="1" x14ac:dyDescent="0.25">
      <c r="B2" s="1" t="s">
        <v>0</v>
      </c>
      <c r="C2" s="1" t="s">
        <v>1</v>
      </c>
      <c r="D2" s="88" t="s">
        <v>2</v>
      </c>
      <c r="E2" s="3" t="s">
        <v>3</v>
      </c>
      <c r="F2" s="1" t="s">
        <v>4</v>
      </c>
      <c r="G2" s="156" t="s">
        <v>5</v>
      </c>
      <c r="H2" s="157" t="s">
        <v>19</v>
      </c>
      <c r="I2" s="158" t="s">
        <v>20</v>
      </c>
      <c r="J2" s="156" t="s">
        <v>6</v>
      </c>
      <c r="K2" s="156" t="s">
        <v>7</v>
      </c>
      <c r="L2" s="4" t="s">
        <v>8</v>
      </c>
      <c r="M2" s="5">
        <f>COUNTA(C:C)-1</f>
        <v>842</v>
      </c>
      <c r="N2" s="6" t="e">
        <f>GETPIVOTDATA("Count of INVOICE NO.",#REF!)+GETPIVOTDATA("Count of INVOICE NO.",#REF!)</f>
        <v>#REF!</v>
      </c>
      <c r="O2" s="7">
        <f>SUM(G:G)</f>
        <v>2220393.0769999996</v>
      </c>
    </row>
    <row r="3" spans="2:15" ht="17.25" customHeight="1" x14ac:dyDescent="0.25">
      <c r="B3" s="9" t="s">
        <v>10</v>
      </c>
      <c r="C3" s="10" t="s">
        <v>32</v>
      </c>
      <c r="D3" s="89">
        <v>45293</v>
      </c>
      <c r="E3" s="34" t="s">
        <v>16</v>
      </c>
      <c r="F3" s="9" t="s">
        <v>41</v>
      </c>
      <c r="G3" s="159">
        <v>425.49</v>
      </c>
      <c r="H3" s="159"/>
      <c r="I3" s="159">
        <f t="shared" ref="I3:I11" si="0">G3-H3</f>
        <v>425.49</v>
      </c>
      <c r="J3" s="159">
        <f t="shared" ref="J3:J11" si="1">G3*5%</f>
        <v>21.274500000000003</v>
      </c>
      <c r="K3" s="159">
        <f t="shared" ref="K3:K11" si="2">G3+J3</f>
        <v>446.7645</v>
      </c>
      <c r="L3" s="29" t="s">
        <v>9</v>
      </c>
      <c r="N3" s="33"/>
    </row>
    <row r="4" spans="2:15" ht="17.25" customHeight="1" x14ac:dyDescent="0.25">
      <c r="B4" s="9" t="s">
        <v>10</v>
      </c>
      <c r="C4" s="10" t="s">
        <v>33</v>
      </c>
      <c r="D4" s="89">
        <v>45295</v>
      </c>
      <c r="E4" s="34" t="s">
        <v>16</v>
      </c>
      <c r="F4" s="9" t="s">
        <v>42</v>
      </c>
      <c r="G4" s="159">
        <v>415</v>
      </c>
      <c r="H4" s="159"/>
      <c r="I4" s="160">
        <f t="shared" si="0"/>
        <v>415</v>
      </c>
      <c r="J4" s="160">
        <f t="shared" si="1"/>
        <v>20.75</v>
      </c>
      <c r="K4" s="160">
        <f t="shared" si="2"/>
        <v>435.75</v>
      </c>
      <c r="L4" s="13" t="s">
        <v>9</v>
      </c>
      <c r="N4" s="33"/>
    </row>
    <row r="5" spans="2:15" ht="17.25" customHeight="1" x14ac:dyDescent="0.25">
      <c r="B5" s="9" t="s">
        <v>43</v>
      </c>
      <c r="C5" s="10" t="s">
        <v>34</v>
      </c>
      <c r="D5" s="89">
        <v>45295</v>
      </c>
      <c r="E5" s="34" t="s">
        <v>30</v>
      </c>
      <c r="F5" s="9" t="s">
        <v>44</v>
      </c>
      <c r="G5" s="159">
        <v>475</v>
      </c>
      <c r="H5" s="159"/>
      <c r="I5" s="160">
        <f t="shared" si="0"/>
        <v>475</v>
      </c>
      <c r="J5" s="160">
        <f t="shared" si="1"/>
        <v>23.75</v>
      </c>
      <c r="K5" s="160">
        <f t="shared" si="2"/>
        <v>498.75</v>
      </c>
      <c r="L5" s="13" t="s">
        <v>9</v>
      </c>
      <c r="N5" s="33"/>
    </row>
    <row r="6" spans="2:15" ht="17.25" customHeight="1" x14ac:dyDescent="0.25">
      <c r="B6" s="9" t="s">
        <v>45</v>
      </c>
      <c r="C6" s="10" t="s">
        <v>35</v>
      </c>
      <c r="D6" s="89">
        <v>45306</v>
      </c>
      <c r="E6" s="34" t="s">
        <v>46</v>
      </c>
      <c r="F6" s="9" t="s">
        <v>84</v>
      </c>
      <c r="G6" s="159">
        <v>5850</v>
      </c>
      <c r="H6" s="159"/>
      <c r="I6" s="160">
        <f t="shared" si="0"/>
        <v>5850</v>
      </c>
      <c r="J6" s="160">
        <f t="shared" si="1"/>
        <v>292.5</v>
      </c>
      <c r="K6" s="160">
        <f t="shared" si="2"/>
        <v>6142.5</v>
      </c>
      <c r="L6" s="13" t="s">
        <v>78</v>
      </c>
      <c r="N6" s="33"/>
    </row>
    <row r="7" spans="2:15" ht="17.25" customHeight="1" x14ac:dyDescent="0.25">
      <c r="B7" s="9" t="s">
        <v>26</v>
      </c>
      <c r="C7" s="10" t="s">
        <v>36</v>
      </c>
      <c r="D7" s="89">
        <v>45297</v>
      </c>
      <c r="E7" s="34" t="s">
        <v>21</v>
      </c>
      <c r="F7" s="9" t="s">
        <v>47</v>
      </c>
      <c r="G7" s="159">
        <v>425</v>
      </c>
      <c r="H7" s="159"/>
      <c r="I7" s="160">
        <f t="shared" si="0"/>
        <v>425</v>
      </c>
      <c r="J7" s="160">
        <f t="shared" si="1"/>
        <v>21.25</v>
      </c>
      <c r="K7" s="160">
        <f t="shared" si="2"/>
        <v>446.25</v>
      </c>
      <c r="L7" s="13" t="s">
        <v>9</v>
      </c>
      <c r="N7" s="33"/>
    </row>
    <row r="8" spans="2:15" ht="17.25" customHeight="1" x14ac:dyDescent="0.25">
      <c r="B8" s="9" t="s">
        <v>48</v>
      </c>
      <c r="C8" s="10" t="s">
        <v>37</v>
      </c>
      <c r="D8" s="89">
        <v>45296</v>
      </c>
      <c r="E8" s="38" t="s">
        <v>24</v>
      </c>
      <c r="F8" s="9" t="s">
        <v>27</v>
      </c>
      <c r="G8" s="159">
        <v>7600</v>
      </c>
      <c r="H8" s="159"/>
      <c r="I8" s="159">
        <f t="shared" si="0"/>
        <v>7600</v>
      </c>
      <c r="J8" s="159">
        <f t="shared" si="1"/>
        <v>380</v>
      </c>
      <c r="K8" s="159">
        <f t="shared" si="2"/>
        <v>7980</v>
      </c>
      <c r="L8" s="29" t="s">
        <v>9</v>
      </c>
      <c r="N8" s="33"/>
    </row>
    <row r="9" spans="2:15" ht="17.25" customHeight="1" x14ac:dyDescent="0.25">
      <c r="B9" s="9" t="s">
        <v>49</v>
      </c>
      <c r="C9" s="10" t="s">
        <v>38</v>
      </c>
      <c r="D9" s="89">
        <v>45302</v>
      </c>
      <c r="E9" s="34" t="s">
        <v>50</v>
      </c>
      <c r="F9" s="9" t="s">
        <v>51</v>
      </c>
      <c r="G9" s="159">
        <v>848</v>
      </c>
      <c r="H9" s="159"/>
      <c r="I9" s="159">
        <f t="shared" si="0"/>
        <v>848</v>
      </c>
      <c r="J9" s="159">
        <f t="shared" si="1"/>
        <v>42.400000000000006</v>
      </c>
      <c r="K9" s="159">
        <f t="shared" si="2"/>
        <v>890.4</v>
      </c>
      <c r="L9" s="29" t="s">
        <v>9</v>
      </c>
      <c r="N9" s="33"/>
    </row>
    <row r="10" spans="2:15" ht="17.25" customHeight="1" x14ac:dyDescent="0.25">
      <c r="B10" s="9" t="s">
        <v>29</v>
      </c>
      <c r="C10" s="40" t="s">
        <v>39</v>
      </c>
      <c r="D10" s="89">
        <v>45300</v>
      </c>
      <c r="E10" s="34" t="s">
        <v>28</v>
      </c>
      <c r="F10" s="9" t="s">
        <v>52</v>
      </c>
      <c r="G10" s="159">
        <v>380</v>
      </c>
      <c r="H10" s="159"/>
      <c r="I10" s="160">
        <f t="shared" si="0"/>
        <v>380</v>
      </c>
      <c r="J10" s="160">
        <f t="shared" si="1"/>
        <v>19</v>
      </c>
      <c r="K10" s="160">
        <f t="shared" si="2"/>
        <v>399</v>
      </c>
      <c r="L10" s="13" t="s">
        <v>9</v>
      </c>
      <c r="N10" s="33"/>
    </row>
    <row r="11" spans="2:15" ht="17.25" customHeight="1" x14ac:dyDescent="0.25">
      <c r="B11" s="9" t="s">
        <v>22</v>
      </c>
      <c r="C11" s="60" t="s">
        <v>40</v>
      </c>
      <c r="D11" s="89">
        <v>45316</v>
      </c>
      <c r="E11" s="34" t="s">
        <v>23</v>
      </c>
      <c r="F11" s="9" t="s">
        <v>53</v>
      </c>
      <c r="G11" s="159">
        <v>405</v>
      </c>
      <c r="H11" s="159"/>
      <c r="I11" s="160">
        <f t="shared" si="0"/>
        <v>405</v>
      </c>
      <c r="J11" s="160">
        <f t="shared" si="1"/>
        <v>20.25</v>
      </c>
      <c r="K11" s="160">
        <f t="shared" si="2"/>
        <v>425.25</v>
      </c>
      <c r="L11" s="13" t="s">
        <v>9</v>
      </c>
      <c r="N11" s="33"/>
    </row>
    <row r="12" spans="2:15" ht="17.25" customHeight="1" x14ac:dyDescent="0.25">
      <c r="B12" s="9" t="s">
        <v>56</v>
      </c>
      <c r="C12" s="40" t="s">
        <v>54</v>
      </c>
      <c r="D12" s="89">
        <v>45300</v>
      </c>
      <c r="E12" s="38" t="s">
        <v>57</v>
      </c>
      <c r="F12" s="9" t="s">
        <v>58</v>
      </c>
      <c r="G12" s="159">
        <v>530</v>
      </c>
      <c r="H12" s="159"/>
      <c r="I12" s="160">
        <f t="shared" ref="I12" si="3">G12-H12</f>
        <v>530</v>
      </c>
      <c r="J12" s="160">
        <f t="shared" ref="J12" si="4">G12*5%</f>
        <v>26.5</v>
      </c>
      <c r="K12" s="160">
        <f t="shared" ref="K12" si="5">G12+J12</f>
        <v>556.5</v>
      </c>
      <c r="L12" s="29" t="s">
        <v>9</v>
      </c>
    </row>
    <row r="13" spans="2:15" ht="17.25" customHeight="1" x14ac:dyDescent="0.25">
      <c r="B13" s="9" t="s">
        <v>48</v>
      </c>
      <c r="C13" s="40" t="s">
        <v>55</v>
      </c>
      <c r="D13" s="89">
        <v>45302</v>
      </c>
      <c r="E13" s="38" t="s">
        <v>24</v>
      </c>
      <c r="F13" s="9" t="s">
        <v>59</v>
      </c>
      <c r="G13" s="159">
        <v>760</v>
      </c>
      <c r="H13" s="159"/>
      <c r="I13" s="160">
        <f t="shared" ref="I13:I15" si="6">G13-H13</f>
        <v>760</v>
      </c>
      <c r="J13" s="160">
        <f t="shared" ref="J13:J15" si="7">G13*5%</f>
        <v>38</v>
      </c>
      <c r="K13" s="160">
        <f t="shared" ref="K13:K15" si="8">G13+J13</f>
        <v>798</v>
      </c>
      <c r="L13" s="13" t="s">
        <v>9</v>
      </c>
    </row>
    <row r="14" spans="2:15" ht="17.25" customHeight="1" x14ac:dyDescent="0.25">
      <c r="B14" s="9" t="s">
        <v>72</v>
      </c>
      <c r="C14" s="40" t="s">
        <v>61</v>
      </c>
      <c r="D14" s="89">
        <v>45300</v>
      </c>
      <c r="E14" s="38" t="s">
        <v>74</v>
      </c>
      <c r="F14" s="9" t="s">
        <v>73</v>
      </c>
      <c r="G14" s="159">
        <f>3.67*62.1</f>
        <v>227.90700000000001</v>
      </c>
      <c r="H14" s="159"/>
      <c r="I14" s="160">
        <f t="shared" si="6"/>
        <v>227.90700000000001</v>
      </c>
      <c r="J14" s="160">
        <f t="shared" si="7"/>
        <v>11.395350000000001</v>
      </c>
      <c r="K14" s="160">
        <f t="shared" si="8"/>
        <v>239.30235000000002</v>
      </c>
      <c r="L14" s="13" t="s">
        <v>9</v>
      </c>
    </row>
    <row r="15" spans="2:15" ht="17.25" customHeight="1" x14ac:dyDescent="0.25">
      <c r="B15" s="9" t="s">
        <v>75</v>
      </c>
      <c r="C15" s="40" t="s">
        <v>62</v>
      </c>
      <c r="D15" s="89">
        <v>45303</v>
      </c>
      <c r="E15" s="38" t="s">
        <v>76</v>
      </c>
      <c r="F15" s="9" t="s">
        <v>77</v>
      </c>
      <c r="G15" s="159">
        <v>475</v>
      </c>
      <c r="H15" s="159"/>
      <c r="I15" s="160">
        <f t="shared" si="6"/>
        <v>475</v>
      </c>
      <c r="J15" s="160">
        <f t="shared" si="7"/>
        <v>23.75</v>
      </c>
      <c r="K15" s="160">
        <f t="shared" si="8"/>
        <v>498.75</v>
      </c>
      <c r="L15" s="13" t="s">
        <v>78</v>
      </c>
    </row>
    <row r="16" spans="2:15" ht="17.25" customHeight="1" x14ac:dyDescent="0.25">
      <c r="B16" s="9" t="s">
        <v>10</v>
      </c>
      <c r="C16" s="40" t="s">
        <v>63</v>
      </c>
      <c r="D16" s="89">
        <v>45303</v>
      </c>
      <c r="E16" s="38" t="s">
        <v>79</v>
      </c>
      <c r="F16" s="9" t="s">
        <v>80</v>
      </c>
      <c r="G16" s="159">
        <v>440</v>
      </c>
      <c r="H16" s="159"/>
      <c r="I16" s="160">
        <f t="shared" ref="I16:I89" si="9">G16-H16</f>
        <v>440</v>
      </c>
      <c r="J16" s="160">
        <f t="shared" ref="J16:J89" si="10">G16*5%</f>
        <v>22</v>
      </c>
      <c r="K16" s="160">
        <f t="shared" ref="K16:K89" si="11">G16+J16</f>
        <v>462</v>
      </c>
      <c r="L16" s="13" t="s">
        <v>9</v>
      </c>
    </row>
    <row r="17" spans="2:12" ht="17.25" customHeight="1" x14ac:dyDescent="0.25">
      <c r="B17" s="9" t="s">
        <v>81</v>
      </c>
      <c r="C17" s="40" t="s">
        <v>64</v>
      </c>
      <c r="D17" s="89">
        <v>45303</v>
      </c>
      <c r="E17" s="38" t="s">
        <v>82</v>
      </c>
      <c r="F17" s="9" t="s">
        <v>83</v>
      </c>
      <c r="G17" s="159">
        <v>1250</v>
      </c>
      <c r="H17" s="159"/>
      <c r="I17" s="160">
        <f t="shared" si="9"/>
        <v>1250</v>
      </c>
      <c r="J17" s="160">
        <f t="shared" si="10"/>
        <v>62.5</v>
      </c>
      <c r="K17" s="160">
        <f t="shared" si="11"/>
        <v>1312.5</v>
      </c>
      <c r="L17" s="13" t="s">
        <v>78</v>
      </c>
    </row>
    <row r="18" spans="2:12" ht="17.25" customHeight="1" x14ac:dyDescent="0.25">
      <c r="B18" s="9" t="s">
        <v>26</v>
      </c>
      <c r="C18" s="40" t="s">
        <v>65</v>
      </c>
      <c r="D18" s="89">
        <v>45303</v>
      </c>
      <c r="E18" s="38" t="s">
        <v>21</v>
      </c>
      <c r="F18" s="9" t="s">
        <v>85</v>
      </c>
      <c r="G18" s="159">
        <v>165</v>
      </c>
      <c r="H18" s="159"/>
      <c r="I18" s="160">
        <f t="shared" si="9"/>
        <v>165</v>
      </c>
      <c r="J18" s="160">
        <f t="shared" si="10"/>
        <v>8.25</v>
      </c>
      <c r="K18" s="160">
        <f t="shared" si="11"/>
        <v>173.25</v>
      </c>
      <c r="L18" s="13" t="s">
        <v>9</v>
      </c>
    </row>
    <row r="19" spans="2:12" ht="17.25" customHeight="1" x14ac:dyDescent="0.25">
      <c r="B19" s="9" t="s">
        <v>86</v>
      </c>
      <c r="C19" s="40" t="s">
        <v>66</v>
      </c>
      <c r="D19" s="89">
        <v>45304</v>
      </c>
      <c r="E19" s="38" t="s">
        <v>87</v>
      </c>
      <c r="F19" s="9" t="s">
        <v>88</v>
      </c>
      <c r="G19" s="159">
        <v>825</v>
      </c>
      <c r="H19" s="159"/>
      <c r="I19" s="160">
        <f t="shared" si="9"/>
        <v>825</v>
      </c>
      <c r="J19" s="160">
        <f t="shared" si="10"/>
        <v>41.25</v>
      </c>
      <c r="K19" s="160">
        <f t="shared" si="11"/>
        <v>866.25</v>
      </c>
      <c r="L19" s="13" t="s">
        <v>9</v>
      </c>
    </row>
    <row r="20" spans="2:12" ht="17.25" customHeight="1" x14ac:dyDescent="0.25">
      <c r="B20" s="9" t="s">
        <v>89</v>
      </c>
      <c r="C20" s="60" t="s">
        <v>67</v>
      </c>
      <c r="D20" s="89">
        <v>45316</v>
      </c>
      <c r="E20" s="38" t="s">
        <v>90</v>
      </c>
      <c r="F20" s="9" t="s">
        <v>91</v>
      </c>
      <c r="G20" s="159">
        <v>4252.5</v>
      </c>
      <c r="H20" s="159"/>
      <c r="I20" s="160">
        <f t="shared" si="9"/>
        <v>4252.5</v>
      </c>
      <c r="J20" s="160">
        <f t="shared" si="10"/>
        <v>212.625</v>
      </c>
      <c r="K20" s="160">
        <f t="shared" si="11"/>
        <v>4465.125</v>
      </c>
      <c r="L20" s="13" t="s">
        <v>78</v>
      </c>
    </row>
    <row r="21" spans="2:12" ht="17.25" customHeight="1" x14ac:dyDescent="0.25">
      <c r="B21" s="9" t="s">
        <v>92</v>
      </c>
      <c r="C21" s="40" t="s">
        <v>68</v>
      </c>
      <c r="D21" s="89">
        <v>45307</v>
      </c>
      <c r="E21" s="38" t="s">
        <v>74</v>
      </c>
      <c r="F21" s="9" t="s">
        <v>93</v>
      </c>
      <c r="G21" s="159">
        <v>1690</v>
      </c>
      <c r="H21" s="159"/>
      <c r="I21" s="160">
        <f t="shared" si="9"/>
        <v>1690</v>
      </c>
      <c r="J21" s="160">
        <f t="shared" si="10"/>
        <v>84.5</v>
      </c>
      <c r="K21" s="160">
        <f t="shared" si="11"/>
        <v>1774.5</v>
      </c>
      <c r="L21" s="13" t="s">
        <v>78</v>
      </c>
    </row>
    <row r="22" spans="2:12" ht="17.25" customHeight="1" x14ac:dyDescent="0.25">
      <c r="B22" s="9" t="s">
        <v>94</v>
      </c>
      <c r="C22" s="40" t="s">
        <v>69</v>
      </c>
      <c r="D22" s="89">
        <v>45306</v>
      </c>
      <c r="E22" s="38" t="s">
        <v>96</v>
      </c>
      <c r="F22" s="9" t="s">
        <v>95</v>
      </c>
      <c r="G22" s="159">
        <v>310</v>
      </c>
      <c r="H22" s="159"/>
      <c r="I22" s="160">
        <f t="shared" si="9"/>
        <v>310</v>
      </c>
      <c r="J22" s="160">
        <f t="shared" si="10"/>
        <v>15.5</v>
      </c>
      <c r="K22" s="160">
        <f t="shared" si="11"/>
        <v>325.5</v>
      </c>
      <c r="L22" s="13" t="s">
        <v>78</v>
      </c>
    </row>
    <row r="23" spans="2:12" ht="17.25" customHeight="1" x14ac:dyDescent="0.25">
      <c r="B23" s="9" t="s">
        <v>97</v>
      </c>
      <c r="C23" s="40" t="s">
        <v>70</v>
      </c>
      <c r="D23" s="89">
        <v>45307</v>
      </c>
      <c r="E23" s="38" t="s">
        <v>98</v>
      </c>
      <c r="F23" s="9" t="s">
        <v>99</v>
      </c>
      <c r="G23" s="159">
        <v>5975</v>
      </c>
      <c r="H23" s="159"/>
      <c r="I23" s="160">
        <f t="shared" si="9"/>
        <v>5975</v>
      </c>
      <c r="J23" s="160">
        <f t="shared" si="10"/>
        <v>298.75</v>
      </c>
      <c r="K23" s="160">
        <f t="shared" si="11"/>
        <v>6273.75</v>
      </c>
      <c r="L23" s="13" t="s">
        <v>78</v>
      </c>
    </row>
    <row r="24" spans="2:12" ht="17.25" customHeight="1" x14ac:dyDescent="0.25">
      <c r="B24" s="9" t="s">
        <v>100</v>
      </c>
      <c r="C24" s="40" t="s">
        <v>71</v>
      </c>
      <c r="D24" s="89">
        <v>45303</v>
      </c>
      <c r="E24" s="38" t="s">
        <v>74</v>
      </c>
      <c r="F24" s="9" t="s">
        <v>101</v>
      </c>
      <c r="G24" s="159">
        <v>120</v>
      </c>
      <c r="H24" s="159"/>
      <c r="I24" s="160">
        <f t="shared" si="9"/>
        <v>120</v>
      </c>
      <c r="J24" s="160">
        <f t="shared" si="10"/>
        <v>6</v>
      </c>
      <c r="K24" s="160">
        <f t="shared" si="11"/>
        <v>126</v>
      </c>
      <c r="L24" s="13" t="s">
        <v>9</v>
      </c>
    </row>
    <row r="25" spans="2:12" ht="17.25" customHeight="1" x14ac:dyDescent="0.25">
      <c r="B25" s="61" t="s">
        <v>102</v>
      </c>
      <c r="C25" s="62" t="s">
        <v>103</v>
      </c>
      <c r="D25" s="90">
        <v>45303</v>
      </c>
      <c r="E25" s="63" t="s">
        <v>104</v>
      </c>
      <c r="F25" s="61" t="s">
        <v>105</v>
      </c>
      <c r="G25" s="161">
        <v>0</v>
      </c>
      <c r="H25" s="161"/>
      <c r="I25" s="161">
        <f t="shared" si="9"/>
        <v>0</v>
      </c>
      <c r="J25" s="161">
        <f t="shared" si="10"/>
        <v>0</v>
      </c>
      <c r="K25" s="161">
        <f t="shared" si="11"/>
        <v>0</v>
      </c>
      <c r="L25" s="64" t="s">
        <v>9</v>
      </c>
    </row>
    <row r="26" spans="2:12" ht="17.25" customHeight="1" x14ac:dyDescent="0.25">
      <c r="B26" s="9" t="s">
        <v>45</v>
      </c>
      <c r="C26" s="40" t="s">
        <v>106</v>
      </c>
      <c r="D26" s="89">
        <v>45307</v>
      </c>
      <c r="E26" s="38" t="s">
        <v>46</v>
      </c>
      <c r="F26" s="9" t="s">
        <v>113</v>
      </c>
      <c r="G26" s="159">
        <v>200</v>
      </c>
      <c r="H26" s="159"/>
      <c r="I26" s="160">
        <f t="shared" si="9"/>
        <v>200</v>
      </c>
      <c r="J26" s="160">
        <f t="shared" si="10"/>
        <v>10</v>
      </c>
      <c r="K26" s="160">
        <f t="shared" si="11"/>
        <v>210</v>
      </c>
      <c r="L26" s="13" t="s">
        <v>78</v>
      </c>
    </row>
    <row r="27" spans="2:12" ht="17.25" customHeight="1" x14ac:dyDescent="0.25">
      <c r="B27" s="9" t="s">
        <v>119</v>
      </c>
      <c r="C27" s="60" t="s">
        <v>107</v>
      </c>
      <c r="D27" s="89">
        <v>45313</v>
      </c>
      <c r="E27" s="38" t="s">
        <v>74</v>
      </c>
      <c r="F27" s="9" t="s">
        <v>120</v>
      </c>
      <c r="G27" s="159">
        <v>7595.24</v>
      </c>
      <c r="H27" s="159"/>
      <c r="I27" s="160">
        <f t="shared" si="9"/>
        <v>7595.24</v>
      </c>
      <c r="J27" s="160">
        <f t="shared" si="10"/>
        <v>379.762</v>
      </c>
      <c r="K27" s="160">
        <f t="shared" si="11"/>
        <v>7975.0019999999995</v>
      </c>
      <c r="L27" s="13" t="s">
        <v>78</v>
      </c>
    </row>
    <row r="28" spans="2:12" ht="17.25" customHeight="1" x14ac:dyDescent="0.25">
      <c r="B28" s="9" t="s">
        <v>114</v>
      </c>
      <c r="C28" s="40" t="s">
        <v>108</v>
      </c>
      <c r="D28" s="89">
        <v>45321</v>
      </c>
      <c r="E28" s="38" t="s">
        <v>115</v>
      </c>
      <c r="F28" s="9" t="s">
        <v>116</v>
      </c>
      <c r="G28" s="159">
        <v>470</v>
      </c>
      <c r="H28" s="159"/>
      <c r="I28" s="160">
        <f t="shared" si="9"/>
        <v>470</v>
      </c>
      <c r="J28" s="160">
        <f t="shared" si="10"/>
        <v>23.5</v>
      </c>
      <c r="K28" s="160">
        <f t="shared" si="11"/>
        <v>493.5</v>
      </c>
      <c r="L28" s="13" t="s">
        <v>9</v>
      </c>
    </row>
    <row r="29" spans="2:12" ht="17.25" customHeight="1" x14ac:dyDescent="0.25">
      <c r="B29" s="9" t="s">
        <v>102</v>
      </c>
      <c r="C29" s="60" t="s">
        <v>109</v>
      </c>
      <c r="D29" s="89">
        <v>45325</v>
      </c>
      <c r="E29" s="38" t="s">
        <v>104</v>
      </c>
      <c r="F29" s="9" t="s">
        <v>117</v>
      </c>
      <c r="G29" s="159">
        <v>526.5</v>
      </c>
      <c r="H29" s="159"/>
      <c r="I29" s="160">
        <f t="shared" si="9"/>
        <v>526.5</v>
      </c>
      <c r="J29" s="160">
        <f t="shared" si="10"/>
        <v>26.325000000000003</v>
      </c>
      <c r="K29" s="160">
        <f t="shared" si="11"/>
        <v>552.82500000000005</v>
      </c>
      <c r="L29" s="13" t="s">
        <v>9</v>
      </c>
    </row>
    <row r="30" spans="2:12" ht="17.25" customHeight="1" x14ac:dyDescent="0.25">
      <c r="B30" s="9" t="s">
        <v>10</v>
      </c>
      <c r="C30" s="40" t="s">
        <v>110</v>
      </c>
      <c r="D30" s="89">
        <v>45308</v>
      </c>
      <c r="E30" s="38" t="s">
        <v>16</v>
      </c>
      <c r="F30" s="9" t="s">
        <v>121</v>
      </c>
      <c r="G30" s="159">
        <v>955</v>
      </c>
      <c r="H30" s="159"/>
      <c r="I30" s="160">
        <f t="shared" si="9"/>
        <v>955</v>
      </c>
      <c r="J30" s="160">
        <f t="shared" si="10"/>
        <v>47.75</v>
      </c>
      <c r="K30" s="160">
        <f t="shared" si="11"/>
        <v>1002.75</v>
      </c>
      <c r="L30" s="13" t="s">
        <v>9</v>
      </c>
    </row>
    <row r="31" spans="2:12" ht="17.25" customHeight="1" x14ac:dyDescent="0.25">
      <c r="B31" s="9" t="s">
        <v>122</v>
      </c>
      <c r="C31" s="40" t="s">
        <v>111</v>
      </c>
      <c r="D31" s="89">
        <v>45309</v>
      </c>
      <c r="E31" s="38" t="s">
        <v>74</v>
      </c>
      <c r="F31" s="9" t="s">
        <v>123</v>
      </c>
      <c r="G31" s="159">
        <v>350</v>
      </c>
      <c r="H31" s="159"/>
      <c r="I31" s="160">
        <f t="shared" si="9"/>
        <v>350</v>
      </c>
      <c r="J31" s="160">
        <f t="shared" si="10"/>
        <v>17.5</v>
      </c>
      <c r="K31" s="160">
        <f t="shared" si="11"/>
        <v>367.5</v>
      </c>
      <c r="L31" s="13" t="s">
        <v>9</v>
      </c>
    </row>
    <row r="32" spans="2:12" ht="17.25" customHeight="1" x14ac:dyDescent="0.25">
      <c r="B32" s="9" t="s">
        <v>10</v>
      </c>
      <c r="C32" s="40" t="s">
        <v>112</v>
      </c>
      <c r="D32" s="89">
        <v>45308</v>
      </c>
      <c r="E32" s="38" t="s">
        <v>79</v>
      </c>
      <c r="F32" s="9" t="s">
        <v>124</v>
      </c>
      <c r="G32" s="159">
        <v>435</v>
      </c>
      <c r="H32" s="159"/>
      <c r="I32" s="160">
        <f t="shared" si="9"/>
        <v>435</v>
      </c>
      <c r="J32" s="160">
        <f t="shared" si="10"/>
        <v>21.75</v>
      </c>
      <c r="K32" s="160">
        <f t="shared" si="11"/>
        <v>456.75</v>
      </c>
      <c r="L32" s="13" t="s">
        <v>9</v>
      </c>
    </row>
    <row r="33" spans="2:12" ht="17.25" customHeight="1" x14ac:dyDescent="0.25">
      <c r="B33" s="9" t="s">
        <v>43</v>
      </c>
      <c r="C33" s="40" t="s">
        <v>118</v>
      </c>
      <c r="D33" s="89">
        <v>45308</v>
      </c>
      <c r="E33" s="38" t="s">
        <v>126</v>
      </c>
      <c r="F33" s="9" t="s">
        <v>125</v>
      </c>
      <c r="G33" s="159">
        <v>78.75</v>
      </c>
      <c r="H33" s="159"/>
      <c r="I33" s="160">
        <f t="shared" si="9"/>
        <v>78.75</v>
      </c>
      <c r="J33" s="160">
        <f t="shared" si="10"/>
        <v>3.9375</v>
      </c>
      <c r="K33" s="160">
        <f t="shared" si="11"/>
        <v>82.6875</v>
      </c>
      <c r="L33" s="13" t="s">
        <v>9</v>
      </c>
    </row>
    <row r="34" spans="2:12" ht="17.25" customHeight="1" x14ac:dyDescent="0.25">
      <c r="B34" s="9" t="s">
        <v>29</v>
      </c>
      <c r="C34" s="40" t="s">
        <v>127</v>
      </c>
      <c r="D34" s="89">
        <v>45309</v>
      </c>
      <c r="E34" s="38" t="s">
        <v>128</v>
      </c>
      <c r="F34" s="9" t="s">
        <v>129</v>
      </c>
      <c r="G34" s="159">
        <v>424.95</v>
      </c>
      <c r="H34" s="159"/>
      <c r="I34" s="160">
        <f t="shared" ref="I34:I88" si="12">G34-H34</f>
        <v>424.95</v>
      </c>
      <c r="J34" s="160">
        <f t="shared" ref="J34:J88" si="13">G34*5%</f>
        <v>21.247500000000002</v>
      </c>
      <c r="K34" s="160">
        <f t="shared" ref="K34:K88" si="14">G34+J34</f>
        <v>446.19749999999999</v>
      </c>
      <c r="L34" s="13" t="s">
        <v>9</v>
      </c>
    </row>
    <row r="35" spans="2:12" ht="17.25" customHeight="1" x14ac:dyDescent="0.25">
      <c r="B35" s="9" t="s">
        <v>114</v>
      </c>
      <c r="C35" s="40" t="s">
        <v>130</v>
      </c>
      <c r="D35" s="89">
        <v>45315</v>
      </c>
      <c r="E35" s="38" t="s">
        <v>115</v>
      </c>
      <c r="F35" s="9" t="s">
        <v>134</v>
      </c>
      <c r="G35" s="159">
        <v>4290</v>
      </c>
      <c r="H35" s="159"/>
      <c r="I35" s="160">
        <f t="shared" si="12"/>
        <v>4290</v>
      </c>
      <c r="J35" s="160">
        <f t="shared" si="13"/>
        <v>214.5</v>
      </c>
      <c r="K35" s="160">
        <f t="shared" si="14"/>
        <v>4504.5</v>
      </c>
      <c r="L35" s="13" t="s">
        <v>9</v>
      </c>
    </row>
    <row r="36" spans="2:12" ht="17.25" customHeight="1" x14ac:dyDescent="0.25">
      <c r="B36" s="9" t="s">
        <v>26</v>
      </c>
      <c r="C36" s="40" t="s">
        <v>131</v>
      </c>
      <c r="D36" s="89">
        <v>45314</v>
      </c>
      <c r="E36" s="38" t="s">
        <v>21</v>
      </c>
      <c r="F36" s="9" t="s">
        <v>135</v>
      </c>
      <c r="G36" s="159">
        <v>725</v>
      </c>
      <c r="H36" s="159"/>
      <c r="I36" s="160">
        <f t="shared" si="12"/>
        <v>725</v>
      </c>
      <c r="J36" s="160">
        <f t="shared" si="13"/>
        <v>36.25</v>
      </c>
      <c r="K36" s="160">
        <f t="shared" si="14"/>
        <v>761.25</v>
      </c>
      <c r="L36" s="13" t="s">
        <v>9</v>
      </c>
    </row>
    <row r="37" spans="2:12" ht="17.25" customHeight="1" x14ac:dyDescent="0.25">
      <c r="B37" s="9" t="s">
        <v>136</v>
      </c>
      <c r="C37" s="40" t="s">
        <v>132</v>
      </c>
      <c r="D37" s="89">
        <v>45314</v>
      </c>
      <c r="E37" s="38" t="s">
        <v>137</v>
      </c>
      <c r="F37" s="9" t="s">
        <v>138</v>
      </c>
      <c r="G37" s="159">
        <v>3150</v>
      </c>
      <c r="H37" s="159"/>
      <c r="I37" s="160">
        <f t="shared" si="12"/>
        <v>3150</v>
      </c>
      <c r="J37" s="160">
        <f t="shared" si="13"/>
        <v>157.5</v>
      </c>
      <c r="K37" s="160">
        <f t="shared" si="14"/>
        <v>3307.5</v>
      </c>
      <c r="L37" s="13" t="s">
        <v>78</v>
      </c>
    </row>
    <row r="38" spans="2:12" ht="17.25" customHeight="1" x14ac:dyDescent="0.25">
      <c r="B38" s="9" t="s">
        <v>139</v>
      </c>
      <c r="C38" s="40" t="s">
        <v>133</v>
      </c>
      <c r="D38" s="89">
        <v>45313</v>
      </c>
      <c r="E38" s="38" t="s">
        <v>140</v>
      </c>
      <c r="F38" s="9" t="s">
        <v>141</v>
      </c>
      <c r="G38" s="159">
        <v>380</v>
      </c>
      <c r="H38" s="159"/>
      <c r="I38" s="160">
        <f t="shared" si="12"/>
        <v>380</v>
      </c>
      <c r="J38" s="160">
        <f t="shared" si="13"/>
        <v>19</v>
      </c>
      <c r="K38" s="160">
        <f t="shared" si="14"/>
        <v>399</v>
      </c>
      <c r="L38" s="13" t="s">
        <v>78</v>
      </c>
    </row>
    <row r="39" spans="2:12" ht="17.25" customHeight="1" x14ac:dyDescent="0.25">
      <c r="B39" s="9" t="s">
        <v>147</v>
      </c>
      <c r="C39" s="40" t="s">
        <v>145</v>
      </c>
      <c r="D39" s="89">
        <v>45313</v>
      </c>
      <c r="E39" s="38" t="s">
        <v>74</v>
      </c>
      <c r="F39" s="9" t="s">
        <v>148</v>
      </c>
      <c r="G39" s="159">
        <v>1250</v>
      </c>
      <c r="H39" s="159"/>
      <c r="I39" s="160">
        <f t="shared" si="12"/>
        <v>1250</v>
      </c>
      <c r="J39" s="160">
        <f t="shared" si="13"/>
        <v>62.5</v>
      </c>
      <c r="K39" s="160">
        <f t="shared" si="14"/>
        <v>1312.5</v>
      </c>
      <c r="L39" s="13" t="s">
        <v>9</v>
      </c>
    </row>
    <row r="40" spans="2:12" ht="17.25" customHeight="1" x14ac:dyDescent="0.25">
      <c r="B40" s="9" t="s">
        <v>122</v>
      </c>
      <c r="C40" s="40" t="s">
        <v>146</v>
      </c>
      <c r="D40" s="89">
        <v>45311</v>
      </c>
      <c r="E40" s="38" t="s">
        <v>74</v>
      </c>
      <c r="F40" s="9" t="s">
        <v>166</v>
      </c>
      <c r="G40" s="159">
        <v>4125</v>
      </c>
      <c r="H40" s="159"/>
      <c r="I40" s="160">
        <f t="shared" si="12"/>
        <v>4125</v>
      </c>
      <c r="J40" s="160">
        <f t="shared" si="13"/>
        <v>206.25</v>
      </c>
      <c r="K40" s="160">
        <f t="shared" si="14"/>
        <v>4331.25</v>
      </c>
      <c r="L40" s="13" t="s">
        <v>9</v>
      </c>
    </row>
    <row r="41" spans="2:12" ht="17.25" customHeight="1" x14ac:dyDescent="0.25">
      <c r="B41" s="9" t="s">
        <v>161</v>
      </c>
      <c r="C41" s="40" t="s">
        <v>149</v>
      </c>
      <c r="D41" s="89">
        <v>45313</v>
      </c>
      <c r="E41" s="38" t="s">
        <v>74</v>
      </c>
      <c r="F41" s="9" t="s">
        <v>162</v>
      </c>
      <c r="G41" s="159">
        <v>995</v>
      </c>
      <c r="H41" s="159"/>
      <c r="I41" s="160">
        <f t="shared" si="12"/>
        <v>995</v>
      </c>
      <c r="J41" s="160">
        <f t="shared" si="13"/>
        <v>49.75</v>
      </c>
      <c r="K41" s="160">
        <f t="shared" si="14"/>
        <v>1044.75</v>
      </c>
      <c r="L41" s="13" t="s">
        <v>78</v>
      </c>
    </row>
    <row r="42" spans="2:12" ht="17.25" customHeight="1" x14ac:dyDescent="0.25">
      <c r="B42" s="9" t="s">
        <v>163</v>
      </c>
      <c r="C42" s="40" t="s">
        <v>150</v>
      </c>
      <c r="D42" s="89">
        <v>45313</v>
      </c>
      <c r="E42" s="38" t="s">
        <v>74</v>
      </c>
      <c r="F42" s="9" t="s">
        <v>164</v>
      </c>
      <c r="G42" s="159">
        <v>95</v>
      </c>
      <c r="H42" s="159"/>
      <c r="I42" s="160">
        <f t="shared" si="12"/>
        <v>95</v>
      </c>
      <c r="J42" s="160">
        <f t="shared" si="13"/>
        <v>4.75</v>
      </c>
      <c r="K42" s="160">
        <f t="shared" si="14"/>
        <v>99.75</v>
      </c>
      <c r="L42" s="13" t="s">
        <v>78</v>
      </c>
    </row>
    <row r="43" spans="2:12" ht="17.25" customHeight="1" x14ac:dyDescent="0.25">
      <c r="B43" s="9" t="s">
        <v>10</v>
      </c>
      <c r="C43" s="40" t="s">
        <v>151</v>
      </c>
      <c r="D43" s="89">
        <v>45315</v>
      </c>
      <c r="E43" s="38" t="s">
        <v>16</v>
      </c>
      <c r="F43" s="9" t="s">
        <v>165</v>
      </c>
      <c r="G43" s="159">
        <v>210</v>
      </c>
      <c r="H43" s="159"/>
      <c r="I43" s="160">
        <f t="shared" ref="I43:I51" si="15">G43-H43</f>
        <v>210</v>
      </c>
      <c r="J43" s="160">
        <f t="shared" ref="J43:J51" si="16">G43*5%</f>
        <v>10.5</v>
      </c>
      <c r="K43" s="160">
        <f t="shared" ref="K43:K51" si="17">G43+J43</f>
        <v>220.5</v>
      </c>
      <c r="L43" s="13" t="s">
        <v>9</v>
      </c>
    </row>
    <row r="44" spans="2:12" ht="17.25" customHeight="1" x14ac:dyDescent="0.25">
      <c r="B44" s="9" t="s">
        <v>167</v>
      </c>
      <c r="C44" s="40" t="s">
        <v>152</v>
      </c>
      <c r="D44" s="89">
        <v>45315</v>
      </c>
      <c r="E44" s="38" t="s">
        <v>168</v>
      </c>
      <c r="F44" s="9" t="s">
        <v>73</v>
      </c>
      <c r="G44" s="159">
        <v>1106</v>
      </c>
      <c r="H44" s="159"/>
      <c r="I44" s="160">
        <f t="shared" si="15"/>
        <v>1106</v>
      </c>
      <c r="J44" s="160">
        <f t="shared" si="16"/>
        <v>55.300000000000004</v>
      </c>
      <c r="K44" s="160">
        <f t="shared" si="17"/>
        <v>1161.3</v>
      </c>
      <c r="L44" s="13" t="s">
        <v>169</v>
      </c>
    </row>
    <row r="45" spans="2:12" ht="17.25" customHeight="1" x14ac:dyDescent="0.25">
      <c r="B45" s="9" t="s">
        <v>10</v>
      </c>
      <c r="C45" s="40" t="s">
        <v>153</v>
      </c>
      <c r="D45" s="89">
        <v>45315</v>
      </c>
      <c r="E45" s="38" t="s">
        <v>16</v>
      </c>
      <c r="F45" s="9" t="s">
        <v>170</v>
      </c>
      <c r="G45" s="159">
        <v>435</v>
      </c>
      <c r="H45" s="159"/>
      <c r="I45" s="160">
        <f t="shared" si="15"/>
        <v>435</v>
      </c>
      <c r="J45" s="160">
        <f t="shared" si="16"/>
        <v>21.75</v>
      </c>
      <c r="K45" s="160">
        <f t="shared" si="17"/>
        <v>456.75</v>
      </c>
      <c r="L45" s="13" t="s">
        <v>9</v>
      </c>
    </row>
    <row r="46" spans="2:12" ht="17.25" customHeight="1" x14ac:dyDescent="0.25">
      <c r="B46" s="9" t="s">
        <v>10</v>
      </c>
      <c r="C46" s="40" t="s">
        <v>154</v>
      </c>
      <c r="D46" s="89">
        <v>45315</v>
      </c>
      <c r="E46" s="38" t="s">
        <v>16</v>
      </c>
      <c r="F46" s="9" t="s">
        <v>171</v>
      </c>
      <c r="G46" s="159">
        <v>5580</v>
      </c>
      <c r="H46" s="159"/>
      <c r="I46" s="160">
        <f t="shared" si="15"/>
        <v>5580</v>
      </c>
      <c r="J46" s="160">
        <f t="shared" si="16"/>
        <v>279</v>
      </c>
      <c r="K46" s="160">
        <f t="shared" si="17"/>
        <v>5859</v>
      </c>
      <c r="L46" s="13" t="s">
        <v>9</v>
      </c>
    </row>
    <row r="47" spans="2:12" ht="17.25" customHeight="1" x14ac:dyDescent="0.25">
      <c r="B47" s="9" t="s">
        <v>172</v>
      </c>
      <c r="C47" s="40" t="s">
        <v>155</v>
      </c>
      <c r="D47" s="89">
        <v>45316</v>
      </c>
      <c r="E47" s="38" t="s">
        <v>74</v>
      </c>
      <c r="F47" s="9" t="s">
        <v>173</v>
      </c>
      <c r="G47" s="159">
        <v>400</v>
      </c>
      <c r="H47" s="159"/>
      <c r="I47" s="160">
        <f t="shared" si="15"/>
        <v>400</v>
      </c>
      <c r="J47" s="160">
        <f t="shared" si="16"/>
        <v>20</v>
      </c>
      <c r="K47" s="160">
        <f t="shared" si="17"/>
        <v>420</v>
      </c>
      <c r="L47" s="13" t="s">
        <v>78</v>
      </c>
    </row>
    <row r="48" spans="2:12" ht="17.25" customHeight="1" x14ac:dyDescent="0.25">
      <c r="B48" s="9" t="s">
        <v>174</v>
      </c>
      <c r="C48" s="40" t="s">
        <v>156</v>
      </c>
      <c r="D48" s="89">
        <v>45320</v>
      </c>
      <c r="E48" s="38" t="s">
        <v>175</v>
      </c>
      <c r="F48" s="9" t="s">
        <v>176</v>
      </c>
      <c r="G48" s="159">
        <v>745</v>
      </c>
      <c r="H48" s="159"/>
      <c r="I48" s="160">
        <f t="shared" si="15"/>
        <v>745</v>
      </c>
      <c r="J48" s="160">
        <f t="shared" si="16"/>
        <v>37.25</v>
      </c>
      <c r="K48" s="160">
        <f t="shared" si="17"/>
        <v>782.25</v>
      </c>
      <c r="L48" s="13" t="s">
        <v>78</v>
      </c>
    </row>
    <row r="49" spans="2:12" ht="17.25" customHeight="1" x14ac:dyDescent="0.25">
      <c r="B49" s="9" t="s">
        <v>177</v>
      </c>
      <c r="C49" s="40" t="s">
        <v>157</v>
      </c>
      <c r="D49" s="89">
        <v>45320</v>
      </c>
      <c r="E49" s="38" t="s">
        <v>178</v>
      </c>
      <c r="F49" s="9" t="s">
        <v>179</v>
      </c>
      <c r="G49" s="159">
        <v>250</v>
      </c>
      <c r="H49" s="159"/>
      <c r="I49" s="160">
        <f t="shared" si="15"/>
        <v>250</v>
      </c>
      <c r="J49" s="160">
        <f t="shared" si="16"/>
        <v>12.5</v>
      </c>
      <c r="K49" s="160">
        <f t="shared" si="17"/>
        <v>262.5</v>
      </c>
      <c r="L49" s="13" t="s">
        <v>78</v>
      </c>
    </row>
    <row r="50" spans="2:12" ht="17.25" customHeight="1" x14ac:dyDescent="0.25">
      <c r="B50" s="9" t="s">
        <v>180</v>
      </c>
      <c r="C50" s="40" t="s">
        <v>158</v>
      </c>
      <c r="D50" s="89">
        <v>45320</v>
      </c>
      <c r="E50" s="38" t="s">
        <v>181</v>
      </c>
      <c r="F50" s="9" t="s">
        <v>179</v>
      </c>
      <c r="G50" s="159">
        <v>250</v>
      </c>
      <c r="H50" s="159"/>
      <c r="I50" s="160">
        <f t="shared" si="15"/>
        <v>250</v>
      </c>
      <c r="J50" s="160">
        <f t="shared" si="16"/>
        <v>12.5</v>
      </c>
      <c r="K50" s="160">
        <f t="shared" si="17"/>
        <v>262.5</v>
      </c>
      <c r="L50" s="13" t="s">
        <v>78</v>
      </c>
    </row>
    <row r="51" spans="2:12" ht="17.25" customHeight="1" x14ac:dyDescent="0.25">
      <c r="B51" s="9" t="s">
        <v>182</v>
      </c>
      <c r="C51" s="40" t="s">
        <v>159</v>
      </c>
      <c r="D51" s="89">
        <v>45320</v>
      </c>
      <c r="E51" s="38" t="s">
        <v>183</v>
      </c>
      <c r="F51" s="9" t="s">
        <v>179</v>
      </c>
      <c r="G51" s="159">
        <v>200</v>
      </c>
      <c r="H51" s="159"/>
      <c r="I51" s="160">
        <f t="shared" si="15"/>
        <v>200</v>
      </c>
      <c r="J51" s="160">
        <f t="shared" si="16"/>
        <v>10</v>
      </c>
      <c r="K51" s="160">
        <f t="shared" si="17"/>
        <v>210</v>
      </c>
      <c r="L51" s="13" t="s">
        <v>78</v>
      </c>
    </row>
    <row r="52" spans="2:12" ht="17.25" customHeight="1" x14ac:dyDescent="0.25">
      <c r="B52" s="9" t="s">
        <v>184</v>
      </c>
      <c r="C52" s="60" t="s">
        <v>160</v>
      </c>
      <c r="D52" s="89">
        <v>45317</v>
      </c>
      <c r="E52" s="38" t="s">
        <v>185</v>
      </c>
      <c r="F52" s="9" t="s">
        <v>186</v>
      </c>
      <c r="G52" s="159">
        <v>3950</v>
      </c>
      <c r="H52" s="159"/>
      <c r="I52" s="160">
        <f t="shared" si="12"/>
        <v>3950</v>
      </c>
      <c r="J52" s="160">
        <f t="shared" si="13"/>
        <v>197.5</v>
      </c>
      <c r="K52" s="160">
        <f t="shared" si="14"/>
        <v>4147.5</v>
      </c>
      <c r="L52" s="13" t="s">
        <v>1046</v>
      </c>
    </row>
    <row r="53" spans="2:12" ht="17.25" customHeight="1" x14ac:dyDescent="0.25">
      <c r="B53" s="9" t="s">
        <v>102</v>
      </c>
      <c r="C53" s="60" t="s">
        <v>187</v>
      </c>
      <c r="D53" s="89">
        <v>45317</v>
      </c>
      <c r="E53" s="38" t="s">
        <v>104</v>
      </c>
      <c r="F53" s="9" t="s">
        <v>193</v>
      </c>
      <c r="G53" s="159">
        <v>28</v>
      </c>
      <c r="H53" s="159"/>
      <c r="I53" s="160">
        <f t="shared" si="12"/>
        <v>28</v>
      </c>
      <c r="J53" s="160">
        <f t="shared" si="13"/>
        <v>1.4000000000000001</v>
      </c>
      <c r="K53" s="160">
        <f t="shared" si="14"/>
        <v>29.4</v>
      </c>
      <c r="L53" s="13" t="s">
        <v>9</v>
      </c>
    </row>
    <row r="54" spans="2:12" ht="17.25" customHeight="1" x14ac:dyDescent="0.25">
      <c r="B54" s="9" t="s">
        <v>262</v>
      </c>
      <c r="C54" s="40" t="s">
        <v>188</v>
      </c>
      <c r="D54" s="89">
        <v>45321</v>
      </c>
      <c r="E54" s="38" t="s">
        <v>30</v>
      </c>
      <c r="F54" s="9" t="s">
        <v>194</v>
      </c>
      <c r="G54" s="159">
        <v>1780</v>
      </c>
      <c r="H54" s="159"/>
      <c r="I54" s="160">
        <f t="shared" ref="I54:I58" si="18">G54-H54</f>
        <v>1780</v>
      </c>
      <c r="J54" s="160">
        <f t="shared" ref="J54:J58" si="19">G54*5%</f>
        <v>89</v>
      </c>
      <c r="K54" s="160">
        <f t="shared" ref="K54:K58" si="20">G54+J54</f>
        <v>1869</v>
      </c>
      <c r="L54" s="13" t="s">
        <v>9</v>
      </c>
    </row>
    <row r="55" spans="2:12" ht="17.25" customHeight="1" x14ac:dyDescent="0.25">
      <c r="B55" s="9" t="s">
        <v>195</v>
      </c>
      <c r="C55" s="40" t="s">
        <v>189</v>
      </c>
      <c r="D55" s="89">
        <v>45317</v>
      </c>
      <c r="E55" s="38" t="s">
        <v>74</v>
      </c>
      <c r="F55" s="9" t="s">
        <v>138</v>
      </c>
      <c r="G55" s="159">
        <v>4687.5</v>
      </c>
      <c r="H55" s="159"/>
      <c r="I55" s="160">
        <f t="shared" si="18"/>
        <v>4687.5</v>
      </c>
      <c r="J55" s="160">
        <f t="shared" si="19"/>
        <v>234.375</v>
      </c>
      <c r="K55" s="160">
        <f t="shared" si="20"/>
        <v>4921.875</v>
      </c>
      <c r="L55" s="13" t="s">
        <v>78</v>
      </c>
    </row>
    <row r="56" spans="2:12" ht="17.25" customHeight="1" x14ac:dyDescent="0.25">
      <c r="B56" s="9" t="s">
        <v>114</v>
      </c>
      <c r="C56" s="40" t="s">
        <v>190</v>
      </c>
      <c r="D56" s="89">
        <v>45317</v>
      </c>
      <c r="E56" s="38" t="s">
        <v>115</v>
      </c>
      <c r="F56" s="9" t="s">
        <v>196</v>
      </c>
      <c r="G56" s="159">
        <v>405</v>
      </c>
      <c r="H56" s="159"/>
      <c r="I56" s="160">
        <f t="shared" si="18"/>
        <v>405</v>
      </c>
      <c r="J56" s="160">
        <f t="shared" si="19"/>
        <v>20.25</v>
      </c>
      <c r="K56" s="160">
        <f t="shared" si="20"/>
        <v>425.25</v>
      </c>
      <c r="L56" s="13" t="s">
        <v>9</v>
      </c>
    </row>
    <row r="57" spans="2:12" ht="17.25" customHeight="1" x14ac:dyDescent="0.25">
      <c r="B57" s="9" t="s">
        <v>114</v>
      </c>
      <c r="C57" s="40" t="s">
        <v>191</v>
      </c>
      <c r="D57" s="89">
        <v>45317</v>
      </c>
      <c r="E57" s="38" t="s">
        <v>115</v>
      </c>
      <c r="F57" s="9" t="s">
        <v>197</v>
      </c>
      <c r="G57" s="159">
        <v>405</v>
      </c>
      <c r="H57" s="159"/>
      <c r="I57" s="160">
        <f t="shared" si="18"/>
        <v>405</v>
      </c>
      <c r="J57" s="160">
        <f t="shared" si="19"/>
        <v>20.25</v>
      </c>
      <c r="K57" s="160">
        <f t="shared" si="20"/>
        <v>425.25</v>
      </c>
      <c r="L57" s="13" t="s">
        <v>9</v>
      </c>
    </row>
    <row r="58" spans="2:12" ht="17.25" customHeight="1" x14ac:dyDescent="0.25">
      <c r="B58" s="9" t="s">
        <v>114</v>
      </c>
      <c r="C58" s="40" t="s">
        <v>192</v>
      </c>
      <c r="D58" s="89">
        <v>45317</v>
      </c>
      <c r="E58" s="38" t="s">
        <v>115</v>
      </c>
      <c r="F58" s="9" t="s">
        <v>198</v>
      </c>
      <c r="G58" s="159">
        <v>405</v>
      </c>
      <c r="H58" s="159"/>
      <c r="I58" s="160">
        <f t="shared" si="18"/>
        <v>405</v>
      </c>
      <c r="J58" s="160">
        <f t="shared" si="19"/>
        <v>20.25</v>
      </c>
      <c r="K58" s="160">
        <f t="shared" si="20"/>
        <v>425.25</v>
      </c>
      <c r="L58" s="13" t="s">
        <v>9</v>
      </c>
    </row>
    <row r="59" spans="2:12" ht="17.25" customHeight="1" x14ac:dyDescent="0.25">
      <c r="B59" s="9" t="s">
        <v>199</v>
      </c>
      <c r="C59" s="40" t="s">
        <v>200</v>
      </c>
      <c r="D59" s="89">
        <v>45321</v>
      </c>
      <c r="E59" s="38" t="s">
        <v>201</v>
      </c>
      <c r="F59" s="9" t="s">
        <v>202</v>
      </c>
      <c r="G59" s="159">
        <v>1125</v>
      </c>
      <c r="H59" s="159"/>
      <c r="I59" s="160">
        <f t="shared" si="12"/>
        <v>1125</v>
      </c>
      <c r="J59" s="160">
        <f t="shared" si="13"/>
        <v>56.25</v>
      </c>
      <c r="K59" s="160">
        <f t="shared" si="14"/>
        <v>1181.25</v>
      </c>
      <c r="L59" s="13" t="s">
        <v>78</v>
      </c>
    </row>
    <row r="60" spans="2:12" ht="17.25" customHeight="1" x14ac:dyDescent="0.25">
      <c r="B60" s="50" t="s">
        <v>203</v>
      </c>
      <c r="C60" s="69" t="s">
        <v>204</v>
      </c>
      <c r="D60" s="91">
        <v>45320</v>
      </c>
      <c r="E60" s="65" t="s">
        <v>205</v>
      </c>
      <c r="F60" s="53" t="s">
        <v>270</v>
      </c>
      <c r="G60" s="162">
        <v>19067.5</v>
      </c>
      <c r="H60" s="162"/>
      <c r="I60" s="163">
        <f t="shared" si="12"/>
        <v>19067.5</v>
      </c>
      <c r="J60" s="163">
        <f t="shared" si="13"/>
        <v>953.375</v>
      </c>
      <c r="K60" s="163">
        <f t="shared" si="14"/>
        <v>20020.875</v>
      </c>
      <c r="L60" s="68" t="s">
        <v>78</v>
      </c>
    </row>
    <row r="61" spans="2:12" ht="17.25" customHeight="1" x14ac:dyDescent="0.25">
      <c r="B61" s="9" t="s">
        <v>221</v>
      </c>
      <c r="C61" s="40" t="s">
        <v>206</v>
      </c>
      <c r="D61" s="89">
        <v>45321</v>
      </c>
      <c r="E61" s="38" t="s">
        <v>222</v>
      </c>
      <c r="F61" s="9" t="s">
        <v>73</v>
      </c>
      <c r="G61" s="159">
        <v>1140</v>
      </c>
      <c r="H61" s="159"/>
      <c r="I61" s="160">
        <f t="shared" ref="I61:I87" si="21">G61-H61</f>
        <v>1140</v>
      </c>
      <c r="J61" s="160">
        <f t="shared" ref="J61:J87" si="22">G61*5%</f>
        <v>57</v>
      </c>
      <c r="K61" s="160">
        <f t="shared" ref="K61:K87" si="23">G61+J61</f>
        <v>1197</v>
      </c>
      <c r="L61" s="13" t="s">
        <v>78</v>
      </c>
    </row>
    <row r="62" spans="2:12" ht="17.25" customHeight="1" x14ac:dyDescent="0.25">
      <c r="B62" s="50" t="s">
        <v>119</v>
      </c>
      <c r="C62" s="51" t="s">
        <v>207</v>
      </c>
      <c r="D62" s="91">
        <v>45320</v>
      </c>
      <c r="E62" s="65" t="s">
        <v>74</v>
      </c>
      <c r="F62" s="53" t="s">
        <v>223</v>
      </c>
      <c r="G62" s="162">
        <v>7082.5</v>
      </c>
      <c r="H62" s="162"/>
      <c r="I62" s="163">
        <f t="shared" si="21"/>
        <v>7082.5</v>
      </c>
      <c r="J62" s="163">
        <f t="shared" si="22"/>
        <v>354.125</v>
      </c>
      <c r="K62" s="163">
        <f t="shared" si="23"/>
        <v>7436.625</v>
      </c>
      <c r="L62" s="68" t="s">
        <v>78</v>
      </c>
    </row>
    <row r="63" spans="2:12" ht="17.25" customHeight="1" x14ac:dyDescent="0.25">
      <c r="B63" s="9" t="s">
        <v>167</v>
      </c>
      <c r="C63" s="40" t="s">
        <v>208</v>
      </c>
      <c r="D63" s="91">
        <v>45321</v>
      </c>
      <c r="E63" s="38" t="s">
        <v>168</v>
      </c>
      <c r="F63" s="9" t="s">
        <v>224</v>
      </c>
      <c r="G63" s="159">
        <v>4675</v>
      </c>
      <c r="H63" s="159"/>
      <c r="I63" s="160">
        <f t="shared" si="21"/>
        <v>4675</v>
      </c>
      <c r="J63" s="160">
        <f t="shared" si="22"/>
        <v>233.75</v>
      </c>
      <c r="K63" s="160">
        <f t="shared" si="23"/>
        <v>4908.75</v>
      </c>
      <c r="L63" s="13" t="s">
        <v>169</v>
      </c>
    </row>
    <row r="64" spans="2:12" ht="17.25" customHeight="1" x14ac:dyDescent="0.25">
      <c r="B64" s="9" t="s">
        <v>29</v>
      </c>
      <c r="C64" s="40" t="s">
        <v>209</v>
      </c>
      <c r="D64" s="91">
        <v>45320</v>
      </c>
      <c r="E64" s="38" t="s">
        <v>128</v>
      </c>
      <c r="F64" s="9" t="s">
        <v>225</v>
      </c>
      <c r="G64" s="159">
        <v>440</v>
      </c>
      <c r="H64" s="159"/>
      <c r="I64" s="160">
        <f t="shared" si="21"/>
        <v>440</v>
      </c>
      <c r="J64" s="160">
        <f t="shared" si="22"/>
        <v>22</v>
      </c>
      <c r="K64" s="160">
        <f t="shared" si="23"/>
        <v>462</v>
      </c>
      <c r="L64" s="13" t="s">
        <v>9</v>
      </c>
    </row>
    <row r="65" spans="2:12" ht="17.25" customHeight="1" x14ac:dyDescent="0.25">
      <c r="B65" s="9" t="s">
        <v>10</v>
      </c>
      <c r="C65" s="40" t="s">
        <v>210</v>
      </c>
      <c r="D65" s="91">
        <v>45321</v>
      </c>
      <c r="E65" s="38" t="s">
        <v>16</v>
      </c>
      <c r="F65" s="9" t="s">
        <v>226</v>
      </c>
      <c r="G65" s="159">
        <v>475</v>
      </c>
      <c r="H65" s="159"/>
      <c r="I65" s="160">
        <f t="shared" si="21"/>
        <v>475</v>
      </c>
      <c r="J65" s="160">
        <f t="shared" si="22"/>
        <v>23.75</v>
      </c>
      <c r="K65" s="160">
        <f t="shared" si="23"/>
        <v>498.75</v>
      </c>
      <c r="L65" s="13" t="s">
        <v>9</v>
      </c>
    </row>
    <row r="66" spans="2:12" ht="17.25" customHeight="1" x14ac:dyDescent="0.25">
      <c r="B66" s="9" t="s">
        <v>10</v>
      </c>
      <c r="C66" s="40" t="s">
        <v>211</v>
      </c>
      <c r="D66" s="91">
        <v>45321</v>
      </c>
      <c r="E66" s="38" t="s">
        <v>16</v>
      </c>
      <c r="F66" s="9" t="s">
        <v>227</v>
      </c>
      <c r="G66" s="159">
        <v>280</v>
      </c>
      <c r="H66" s="159"/>
      <c r="I66" s="160">
        <f t="shared" si="21"/>
        <v>280</v>
      </c>
      <c r="J66" s="160">
        <f t="shared" si="22"/>
        <v>14</v>
      </c>
      <c r="K66" s="160">
        <f t="shared" si="23"/>
        <v>294</v>
      </c>
      <c r="L66" s="13" t="s">
        <v>9</v>
      </c>
    </row>
    <row r="67" spans="2:12" ht="17.25" customHeight="1" x14ac:dyDescent="0.25">
      <c r="B67" s="9" t="s">
        <v>49</v>
      </c>
      <c r="C67" s="40" t="s">
        <v>212</v>
      </c>
      <c r="D67" s="91">
        <v>45321</v>
      </c>
      <c r="E67" s="38" t="s">
        <v>50</v>
      </c>
      <c r="F67" s="9" t="s">
        <v>228</v>
      </c>
      <c r="G67" s="159">
        <v>4525</v>
      </c>
      <c r="H67" s="159"/>
      <c r="I67" s="160">
        <f t="shared" si="21"/>
        <v>4525</v>
      </c>
      <c r="J67" s="160">
        <f t="shared" si="22"/>
        <v>226.25</v>
      </c>
      <c r="K67" s="160">
        <f t="shared" si="23"/>
        <v>4751.25</v>
      </c>
      <c r="L67" s="13" t="s">
        <v>9</v>
      </c>
    </row>
    <row r="68" spans="2:12" ht="17.25" customHeight="1" x14ac:dyDescent="0.25">
      <c r="B68" s="9" t="s">
        <v>229</v>
      </c>
      <c r="C68" s="40" t="s">
        <v>213</v>
      </c>
      <c r="D68" s="91">
        <v>45321</v>
      </c>
      <c r="E68" s="38" t="s">
        <v>74</v>
      </c>
      <c r="F68" s="9" t="s">
        <v>230</v>
      </c>
      <c r="G68" s="159">
        <v>525</v>
      </c>
      <c r="H68" s="159"/>
      <c r="I68" s="160">
        <f t="shared" si="21"/>
        <v>525</v>
      </c>
      <c r="J68" s="160">
        <f t="shared" si="22"/>
        <v>26.25</v>
      </c>
      <c r="K68" s="160">
        <f t="shared" si="23"/>
        <v>551.25</v>
      </c>
      <c r="L68" s="13" t="s">
        <v>9</v>
      </c>
    </row>
    <row r="69" spans="2:12" ht="17.25" customHeight="1" x14ac:dyDescent="0.25">
      <c r="B69" s="9" t="s">
        <v>231</v>
      </c>
      <c r="C69" s="40" t="s">
        <v>214</v>
      </c>
      <c r="D69" s="91">
        <v>45322</v>
      </c>
      <c r="E69" s="38" t="s">
        <v>232</v>
      </c>
      <c r="F69" s="9" t="s">
        <v>233</v>
      </c>
      <c r="G69" s="159">
        <v>300</v>
      </c>
      <c r="H69" s="159"/>
      <c r="I69" s="160">
        <f t="shared" si="21"/>
        <v>300</v>
      </c>
      <c r="J69" s="160">
        <f t="shared" si="22"/>
        <v>15</v>
      </c>
      <c r="K69" s="160">
        <f t="shared" si="23"/>
        <v>315</v>
      </c>
      <c r="L69" s="13" t="s">
        <v>169</v>
      </c>
    </row>
    <row r="70" spans="2:12" ht="17.25" customHeight="1" x14ac:dyDescent="0.25">
      <c r="B70" s="9" t="s">
        <v>29</v>
      </c>
      <c r="C70" s="40" t="s">
        <v>215</v>
      </c>
      <c r="D70" s="91">
        <v>45322</v>
      </c>
      <c r="E70" s="38" t="s">
        <v>28</v>
      </c>
      <c r="F70" s="9" t="s">
        <v>234</v>
      </c>
      <c r="G70" s="159">
        <v>9558.4</v>
      </c>
      <c r="H70" s="159"/>
      <c r="I70" s="160">
        <f t="shared" si="21"/>
        <v>9558.4</v>
      </c>
      <c r="J70" s="160">
        <f t="shared" si="22"/>
        <v>477.92</v>
      </c>
      <c r="K70" s="160">
        <f t="shared" si="23"/>
        <v>10036.32</v>
      </c>
      <c r="L70" s="13" t="s">
        <v>9</v>
      </c>
    </row>
    <row r="71" spans="2:12" ht="17.25" customHeight="1" x14ac:dyDescent="0.25">
      <c r="B71" s="9" t="s">
        <v>236</v>
      </c>
      <c r="C71" s="40" t="s">
        <v>216</v>
      </c>
      <c r="D71" s="91">
        <v>45322</v>
      </c>
      <c r="E71" s="38" t="s">
        <v>237</v>
      </c>
      <c r="F71" s="9" t="s">
        <v>235</v>
      </c>
      <c r="G71" s="159">
        <v>165</v>
      </c>
      <c r="H71" s="159"/>
      <c r="I71" s="160">
        <f t="shared" si="21"/>
        <v>165</v>
      </c>
      <c r="J71" s="160">
        <f t="shared" si="22"/>
        <v>8.25</v>
      </c>
      <c r="K71" s="160">
        <f t="shared" si="23"/>
        <v>173.25</v>
      </c>
      <c r="L71" s="13" t="s">
        <v>9</v>
      </c>
    </row>
    <row r="72" spans="2:12" ht="17.25" customHeight="1" x14ac:dyDescent="0.25">
      <c r="B72" s="9" t="s">
        <v>236</v>
      </c>
      <c r="C72" s="40" t="s">
        <v>217</v>
      </c>
      <c r="D72" s="91">
        <v>45322</v>
      </c>
      <c r="E72" s="38" t="s">
        <v>237</v>
      </c>
      <c r="F72" s="9" t="s">
        <v>235</v>
      </c>
      <c r="G72" s="159">
        <v>210</v>
      </c>
      <c r="H72" s="159"/>
      <c r="I72" s="160">
        <f t="shared" si="21"/>
        <v>210</v>
      </c>
      <c r="J72" s="160">
        <f t="shared" si="22"/>
        <v>10.5</v>
      </c>
      <c r="K72" s="160">
        <f t="shared" si="23"/>
        <v>220.5</v>
      </c>
      <c r="L72" s="13" t="s">
        <v>9</v>
      </c>
    </row>
    <row r="73" spans="2:12" ht="17.25" customHeight="1" x14ac:dyDescent="0.25">
      <c r="B73" s="9" t="s">
        <v>238</v>
      </c>
      <c r="C73" s="40" t="s">
        <v>218</v>
      </c>
      <c r="D73" s="91">
        <v>45322</v>
      </c>
      <c r="E73" s="38" t="s">
        <v>239</v>
      </c>
      <c r="F73" s="9" t="s">
        <v>240</v>
      </c>
      <c r="G73" s="159">
        <v>150</v>
      </c>
      <c r="H73" s="159"/>
      <c r="I73" s="160">
        <f t="shared" si="21"/>
        <v>150</v>
      </c>
      <c r="J73" s="160">
        <f t="shared" si="22"/>
        <v>7.5</v>
      </c>
      <c r="K73" s="160">
        <f t="shared" si="23"/>
        <v>157.5</v>
      </c>
      <c r="L73" s="13" t="s">
        <v>78</v>
      </c>
    </row>
    <row r="74" spans="2:12" ht="17.25" customHeight="1" x14ac:dyDescent="0.25">
      <c r="B74" s="61" t="s">
        <v>241</v>
      </c>
      <c r="C74" s="62" t="s">
        <v>219</v>
      </c>
      <c r="D74" s="92">
        <v>45322</v>
      </c>
      <c r="E74" s="63" t="s">
        <v>242</v>
      </c>
      <c r="F74" s="61" t="s">
        <v>243</v>
      </c>
      <c r="G74" s="161">
        <v>0</v>
      </c>
      <c r="H74" s="161"/>
      <c r="I74" s="161">
        <f t="shared" si="21"/>
        <v>0</v>
      </c>
      <c r="J74" s="161">
        <f t="shared" si="22"/>
        <v>0</v>
      </c>
      <c r="K74" s="161">
        <f t="shared" si="23"/>
        <v>0</v>
      </c>
      <c r="L74" s="64" t="s">
        <v>78</v>
      </c>
    </row>
    <row r="75" spans="2:12" ht="17.25" customHeight="1" x14ac:dyDescent="0.25">
      <c r="B75" s="9" t="s">
        <v>244</v>
      </c>
      <c r="C75" s="40" t="s">
        <v>220</v>
      </c>
      <c r="D75" s="91">
        <v>45322</v>
      </c>
      <c r="E75" s="38" t="s">
        <v>246</v>
      </c>
      <c r="F75" s="9" t="s">
        <v>245</v>
      </c>
      <c r="G75" s="159">
        <v>1250</v>
      </c>
      <c r="H75" s="159"/>
      <c r="I75" s="160">
        <f t="shared" si="21"/>
        <v>1250</v>
      </c>
      <c r="J75" s="160">
        <f t="shared" si="22"/>
        <v>62.5</v>
      </c>
      <c r="K75" s="160">
        <f t="shared" si="23"/>
        <v>1312.5</v>
      </c>
      <c r="L75" s="13" t="s">
        <v>9</v>
      </c>
    </row>
    <row r="76" spans="2:12" ht="17.25" customHeight="1" x14ac:dyDescent="0.25">
      <c r="B76" s="9" t="s">
        <v>203</v>
      </c>
      <c r="C76" s="40" t="s">
        <v>247</v>
      </c>
      <c r="D76" s="91">
        <v>45322</v>
      </c>
      <c r="E76" s="38" t="s">
        <v>251</v>
      </c>
      <c r="F76" s="9" t="s">
        <v>252</v>
      </c>
      <c r="G76" s="159">
        <v>126</v>
      </c>
      <c r="H76" s="159"/>
      <c r="I76" s="160">
        <f t="shared" si="21"/>
        <v>126</v>
      </c>
      <c r="J76" s="160">
        <f t="shared" si="22"/>
        <v>6.3000000000000007</v>
      </c>
      <c r="K76" s="160">
        <f t="shared" si="23"/>
        <v>132.30000000000001</v>
      </c>
      <c r="L76" s="13" t="s">
        <v>78</v>
      </c>
    </row>
    <row r="77" spans="2:12" ht="17.25" customHeight="1" x14ac:dyDescent="0.25">
      <c r="B77" s="50" t="s">
        <v>253</v>
      </c>
      <c r="C77" s="51" t="s">
        <v>248</v>
      </c>
      <c r="D77" s="91">
        <v>45322</v>
      </c>
      <c r="E77" s="65" t="s">
        <v>254</v>
      </c>
      <c r="F77" s="53" t="s">
        <v>255</v>
      </c>
      <c r="G77" s="162">
        <v>1060</v>
      </c>
      <c r="H77" s="162"/>
      <c r="I77" s="163">
        <f t="shared" si="21"/>
        <v>1060</v>
      </c>
      <c r="J77" s="163">
        <f t="shared" si="22"/>
        <v>53</v>
      </c>
      <c r="K77" s="163">
        <f t="shared" si="23"/>
        <v>1113</v>
      </c>
      <c r="L77" s="68" t="s">
        <v>78</v>
      </c>
    </row>
    <row r="78" spans="2:12" ht="17.25" customHeight="1" x14ac:dyDescent="0.25">
      <c r="B78" s="9" t="s">
        <v>102</v>
      </c>
      <c r="C78" s="60" t="s">
        <v>249</v>
      </c>
      <c r="D78" s="91">
        <v>45322</v>
      </c>
      <c r="E78" s="38" t="s">
        <v>104</v>
      </c>
      <c r="F78" s="9" t="s">
        <v>256</v>
      </c>
      <c r="G78" s="159">
        <v>4785</v>
      </c>
      <c r="H78" s="159"/>
      <c r="I78" s="160">
        <f t="shared" si="21"/>
        <v>4785</v>
      </c>
      <c r="J78" s="160">
        <f t="shared" si="22"/>
        <v>239.25</v>
      </c>
      <c r="K78" s="160">
        <f t="shared" si="23"/>
        <v>5024.25</v>
      </c>
      <c r="L78" s="13" t="s">
        <v>9</v>
      </c>
    </row>
    <row r="79" spans="2:12" ht="17.25" customHeight="1" x14ac:dyDescent="0.25">
      <c r="B79" s="9" t="s">
        <v>257</v>
      </c>
      <c r="C79" s="60" t="s">
        <v>250</v>
      </c>
      <c r="D79" s="91">
        <v>45322</v>
      </c>
      <c r="E79" s="38" t="s">
        <v>258</v>
      </c>
      <c r="F79" s="9" t="s">
        <v>259</v>
      </c>
      <c r="G79" s="159">
        <v>14375</v>
      </c>
      <c r="H79" s="159"/>
      <c r="I79" s="160">
        <f t="shared" si="21"/>
        <v>14375</v>
      </c>
      <c r="J79" s="160">
        <f t="shared" si="22"/>
        <v>718.75</v>
      </c>
      <c r="K79" s="160">
        <f t="shared" si="23"/>
        <v>15093.75</v>
      </c>
      <c r="L79" s="13" t="s">
        <v>9</v>
      </c>
    </row>
    <row r="80" spans="2:12" ht="17.25" customHeight="1" x14ac:dyDescent="0.25">
      <c r="B80" s="9" t="s">
        <v>263</v>
      </c>
      <c r="C80" s="40" t="s">
        <v>260</v>
      </c>
      <c r="D80" s="91">
        <v>45324</v>
      </c>
      <c r="E80" s="38" t="s">
        <v>264</v>
      </c>
      <c r="F80" s="9" t="s">
        <v>265</v>
      </c>
      <c r="G80" s="159">
        <v>1575</v>
      </c>
      <c r="H80" s="159"/>
      <c r="I80" s="160">
        <f t="shared" si="21"/>
        <v>1575</v>
      </c>
      <c r="J80" s="160">
        <f t="shared" si="22"/>
        <v>78.75</v>
      </c>
      <c r="K80" s="160">
        <f t="shared" si="23"/>
        <v>1653.75</v>
      </c>
      <c r="L80" s="13" t="s">
        <v>78</v>
      </c>
    </row>
    <row r="81" spans="2:12" ht="17.25" customHeight="1" x14ac:dyDescent="0.25">
      <c r="B81" s="9" t="s">
        <v>266</v>
      </c>
      <c r="C81" s="40" t="s">
        <v>261</v>
      </c>
      <c r="D81" s="91">
        <v>45327</v>
      </c>
      <c r="E81" s="38" t="s">
        <v>267</v>
      </c>
      <c r="F81" s="9" t="s">
        <v>268</v>
      </c>
      <c r="G81" s="159">
        <v>1400</v>
      </c>
      <c r="H81" s="159"/>
      <c r="I81" s="160">
        <f t="shared" si="21"/>
        <v>1400</v>
      </c>
      <c r="J81" s="160">
        <f t="shared" si="22"/>
        <v>70</v>
      </c>
      <c r="K81" s="160">
        <f t="shared" si="23"/>
        <v>1470</v>
      </c>
      <c r="L81" s="13" t="s">
        <v>78</v>
      </c>
    </row>
    <row r="82" spans="2:12" ht="17.25" customHeight="1" x14ac:dyDescent="0.25">
      <c r="B82" s="9" t="s">
        <v>263</v>
      </c>
      <c r="C82" s="40" t="s">
        <v>271</v>
      </c>
      <c r="D82" s="91">
        <v>45327</v>
      </c>
      <c r="E82" s="38" t="s">
        <v>279</v>
      </c>
      <c r="F82" s="9" t="s">
        <v>280</v>
      </c>
      <c r="G82" s="159">
        <v>1575</v>
      </c>
      <c r="H82" s="159"/>
      <c r="I82" s="160">
        <f t="shared" si="21"/>
        <v>1575</v>
      </c>
      <c r="J82" s="160">
        <f t="shared" si="22"/>
        <v>78.75</v>
      </c>
      <c r="K82" s="160">
        <f t="shared" si="23"/>
        <v>1653.75</v>
      </c>
      <c r="L82" s="13" t="s">
        <v>78</v>
      </c>
    </row>
    <row r="83" spans="2:12" ht="17.25" customHeight="1" x14ac:dyDescent="0.25">
      <c r="B83" s="9" t="s">
        <v>276</v>
      </c>
      <c r="C83" s="40" t="s">
        <v>272</v>
      </c>
      <c r="D83" s="91">
        <v>45327</v>
      </c>
      <c r="E83" s="38" t="s">
        <v>277</v>
      </c>
      <c r="F83" s="9" t="s">
        <v>278</v>
      </c>
      <c r="G83" s="159">
        <v>275</v>
      </c>
      <c r="H83" s="159"/>
      <c r="I83" s="160">
        <f t="shared" si="21"/>
        <v>275</v>
      </c>
      <c r="J83" s="160">
        <f t="shared" si="22"/>
        <v>13.75</v>
      </c>
      <c r="K83" s="160">
        <f t="shared" si="23"/>
        <v>288.75</v>
      </c>
      <c r="L83" s="13" t="s">
        <v>9</v>
      </c>
    </row>
    <row r="84" spans="2:12" ht="17.25" customHeight="1" x14ac:dyDescent="0.25">
      <c r="B84" s="9" t="s">
        <v>281</v>
      </c>
      <c r="C84" s="40" t="s">
        <v>273</v>
      </c>
      <c r="D84" s="91">
        <v>45329</v>
      </c>
      <c r="E84" s="38" t="s">
        <v>282</v>
      </c>
      <c r="F84" s="9" t="s">
        <v>283</v>
      </c>
      <c r="G84" s="159">
        <v>10965</v>
      </c>
      <c r="H84" s="159"/>
      <c r="I84" s="160">
        <f t="shared" si="21"/>
        <v>10965</v>
      </c>
      <c r="J84" s="160">
        <f t="shared" si="22"/>
        <v>548.25</v>
      </c>
      <c r="K84" s="160">
        <f t="shared" si="23"/>
        <v>11513.25</v>
      </c>
      <c r="L84" s="13" t="s">
        <v>78</v>
      </c>
    </row>
    <row r="85" spans="2:12" ht="17.25" customHeight="1" x14ac:dyDescent="0.25">
      <c r="B85" s="9" t="s">
        <v>142</v>
      </c>
      <c r="C85" s="40" t="s">
        <v>274</v>
      </c>
      <c r="D85" s="91">
        <v>45328</v>
      </c>
      <c r="E85" s="38" t="s">
        <v>285</v>
      </c>
      <c r="F85" s="9" t="s">
        <v>284</v>
      </c>
      <c r="G85" s="159">
        <v>685</v>
      </c>
      <c r="H85" s="159"/>
      <c r="I85" s="160">
        <f t="shared" si="21"/>
        <v>685</v>
      </c>
      <c r="J85" s="160">
        <f t="shared" si="22"/>
        <v>34.25</v>
      </c>
      <c r="K85" s="160">
        <f t="shared" si="23"/>
        <v>719.25</v>
      </c>
      <c r="L85" s="13" t="s">
        <v>9</v>
      </c>
    </row>
    <row r="86" spans="2:12" ht="17.25" customHeight="1" x14ac:dyDescent="0.25">
      <c r="B86" s="9" t="s">
        <v>114</v>
      </c>
      <c r="C86" s="40" t="s">
        <v>275</v>
      </c>
      <c r="D86" s="91">
        <v>45328</v>
      </c>
      <c r="E86" s="38" t="s">
        <v>115</v>
      </c>
      <c r="F86" s="9" t="s">
        <v>286</v>
      </c>
      <c r="G86" s="159">
        <v>405</v>
      </c>
      <c r="H86" s="159"/>
      <c r="I86" s="160">
        <f t="shared" si="21"/>
        <v>405</v>
      </c>
      <c r="J86" s="160">
        <f t="shared" si="22"/>
        <v>20.25</v>
      </c>
      <c r="K86" s="160">
        <f t="shared" si="23"/>
        <v>425.25</v>
      </c>
      <c r="L86" s="13" t="s">
        <v>9</v>
      </c>
    </row>
    <row r="87" spans="2:12" ht="17.25" customHeight="1" x14ac:dyDescent="0.25">
      <c r="B87" s="9" t="s">
        <v>290</v>
      </c>
      <c r="C87" s="40" t="s">
        <v>287</v>
      </c>
      <c r="D87" s="91">
        <v>45331</v>
      </c>
      <c r="E87" s="38" t="s">
        <v>74</v>
      </c>
      <c r="F87" s="9" t="s">
        <v>291</v>
      </c>
      <c r="G87" s="159">
        <v>779</v>
      </c>
      <c r="H87" s="159"/>
      <c r="I87" s="160">
        <f t="shared" si="21"/>
        <v>779</v>
      </c>
      <c r="J87" s="160">
        <f t="shared" si="22"/>
        <v>38.950000000000003</v>
      </c>
      <c r="K87" s="160">
        <f t="shared" si="23"/>
        <v>817.95</v>
      </c>
      <c r="L87" s="13" t="s">
        <v>78</v>
      </c>
    </row>
    <row r="88" spans="2:12" ht="17.25" customHeight="1" x14ac:dyDescent="0.25">
      <c r="B88" s="9" t="s">
        <v>292</v>
      </c>
      <c r="C88" s="40" t="s">
        <v>288</v>
      </c>
      <c r="D88" s="91">
        <v>45330</v>
      </c>
      <c r="E88" s="38" t="s">
        <v>74</v>
      </c>
      <c r="F88" s="9" t="s">
        <v>293</v>
      </c>
      <c r="G88" s="159">
        <v>140</v>
      </c>
      <c r="H88" s="159"/>
      <c r="I88" s="160">
        <f t="shared" si="12"/>
        <v>140</v>
      </c>
      <c r="J88" s="160">
        <f t="shared" si="13"/>
        <v>7</v>
      </c>
      <c r="K88" s="160">
        <f t="shared" si="14"/>
        <v>147</v>
      </c>
      <c r="L88" s="13" t="s">
        <v>9</v>
      </c>
    </row>
    <row r="89" spans="2:12" ht="17.25" customHeight="1" x14ac:dyDescent="0.25">
      <c r="B89" s="9" t="s">
        <v>276</v>
      </c>
      <c r="C89" s="40" t="s">
        <v>289</v>
      </c>
      <c r="D89" s="91">
        <v>45334</v>
      </c>
      <c r="E89" s="38" t="s">
        <v>277</v>
      </c>
      <c r="F89" s="9" t="s">
        <v>294</v>
      </c>
      <c r="G89" s="159">
        <v>350</v>
      </c>
      <c r="H89" s="159"/>
      <c r="I89" s="160">
        <f t="shared" si="9"/>
        <v>350</v>
      </c>
      <c r="J89" s="160">
        <f t="shared" si="10"/>
        <v>17.5</v>
      </c>
      <c r="K89" s="160">
        <f t="shared" si="11"/>
        <v>367.5</v>
      </c>
      <c r="L89" s="13" t="s">
        <v>9</v>
      </c>
    </row>
    <row r="90" spans="2:12" ht="17.25" customHeight="1" x14ac:dyDescent="0.25">
      <c r="B90" s="9" t="s">
        <v>297</v>
      </c>
      <c r="C90" s="40" t="s">
        <v>295</v>
      </c>
      <c r="D90" s="91">
        <v>45334</v>
      </c>
      <c r="E90" s="71" t="s">
        <v>301</v>
      </c>
      <c r="F90" s="9" t="s">
        <v>298</v>
      </c>
      <c r="G90" s="159">
        <v>989</v>
      </c>
      <c r="H90" s="159"/>
      <c r="I90" s="160">
        <f t="shared" ref="I90:I141" si="24">G90-H90</f>
        <v>989</v>
      </c>
      <c r="J90" s="160">
        <f t="shared" ref="J90:J141" si="25">G90*5%</f>
        <v>49.45</v>
      </c>
      <c r="K90" s="160">
        <f t="shared" ref="K90:K141" si="26">G90+J90</f>
        <v>1038.45</v>
      </c>
      <c r="L90" s="13" t="s">
        <v>78</v>
      </c>
    </row>
    <row r="91" spans="2:12" ht="17.25" customHeight="1" x14ac:dyDescent="0.25">
      <c r="B91" s="9" t="s">
        <v>299</v>
      </c>
      <c r="C91" s="40" t="s">
        <v>296</v>
      </c>
      <c r="D91" s="91">
        <v>45334</v>
      </c>
      <c r="E91" s="71" t="s">
        <v>302</v>
      </c>
      <c r="F91" s="9" t="s">
        <v>300</v>
      </c>
      <c r="G91" s="159">
        <v>1580</v>
      </c>
      <c r="H91" s="159"/>
      <c r="I91" s="160">
        <f t="shared" si="24"/>
        <v>1580</v>
      </c>
      <c r="J91" s="160">
        <f t="shared" si="25"/>
        <v>79</v>
      </c>
      <c r="K91" s="160">
        <f t="shared" si="26"/>
        <v>1659</v>
      </c>
      <c r="L91" s="13" t="s">
        <v>78</v>
      </c>
    </row>
    <row r="92" spans="2:12" ht="17.25" customHeight="1" x14ac:dyDescent="0.25">
      <c r="B92" s="9" t="s">
        <v>10</v>
      </c>
      <c r="C92" s="40" t="s">
        <v>303</v>
      </c>
      <c r="D92" s="91">
        <v>45335</v>
      </c>
      <c r="E92" s="71" t="s">
        <v>16</v>
      </c>
      <c r="F92" s="9" t="s">
        <v>305</v>
      </c>
      <c r="G92" s="159">
        <v>1125</v>
      </c>
      <c r="H92" s="159"/>
      <c r="I92" s="160">
        <f t="shared" si="24"/>
        <v>1125</v>
      </c>
      <c r="J92" s="160">
        <f t="shared" si="25"/>
        <v>56.25</v>
      </c>
      <c r="K92" s="160">
        <f t="shared" si="26"/>
        <v>1181.25</v>
      </c>
      <c r="L92" s="13" t="s">
        <v>9</v>
      </c>
    </row>
    <row r="93" spans="2:12" ht="17.25" customHeight="1" x14ac:dyDescent="0.25">
      <c r="B93" s="9" t="s">
        <v>100</v>
      </c>
      <c r="C93" s="40" t="s">
        <v>304</v>
      </c>
      <c r="D93" s="91">
        <v>45334</v>
      </c>
      <c r="E93" s="70" t="s">
        <v>74</v>
      </c>
      <c r="F93" s="9" t="s">
        <v>306</v>
      </c>
      <c r="G93" s="159">
        <v>190</v>
      </c>
      <c r="H93" s="159"/>
      <c r="I93" s="160">
        <f t="shared" si="24"/>
        <v>190</v>
      </c>
      <c r="J93" s="160">
        <f t="shared" si="25"/>
        <v>9.5</v>
      </c>
      <c r="K93" s="160">
        <f t="shared" si="26"/>
        <v>199.5</v>
      </c>
      <c r="L93" s="13" t="s">
        <v>9</v>
      </c>
    </row>
    <row r="94" spans="2:12" ht="17.25" customHeight="1" x14ac:dyDescent="0.25">
      <c r="B94" s="9" t="s">
        <v>114</v>
      </c>
      <c r="C94" s="40" t="s">
        <v>307</v>
      </c>
      <c r="D94" s="91">
        <v>45335</v>
      </c>
      <c r="E94" s="71" t="s">
        <v>115</v>
      </c>
      <c r="F94" s="9" t="s">
        <v>309</v>
      </c>
      <c r="G94" s="159">
        <v>390</v>
      </c>
      <c r="H94" s="159"/>
      <c r="I94" s="160">
        <f t="shared" si="24"/>
        <v>390</v>
      </c>
      <c r="J94" s="160">
        <f t="shared" si="25"/>
        <v>19.5</v>
      </c>
      <c r="K94" s="160">
        <f t="shared" si="26"/>
        <v>409.5</v>
      </c>
      <c r="L94" s="13" t="s">
        <v>9</v>
      </c>
    </row>
    <row r="95" spans="2:12" ht="17.25" customHeight="1" x14ac:dyDescent="0.25">
      <c r="B95" s="9" t="s">
        <v>114</v>
      </c>
      <c r="C95" s="40" t="s">
        <v>308</v>
      </c>
      <c r="D95" s="91">
        <v>45335</v>
      </c>
      <c r="E95" s="71" t="s">
        <v>115</v>
      </c>
      <c r="F95" s="9" t="s">
        <v>134</v>
      </c>
      <c r="G95" s="159">
        <v>1800</v>
      </c>
      <c r="H95" s="159"/>
      <c r="I95" s="160">
        <f t="shared" si="24"/>
        <v>1800</v>
      </c>
      <c r="J95" s="160">
        <f t="shared" si="25"/>
        <v>90</v>
      </c>
      <c r="K95" s="160">
        <f t="shared" si="26"/>
        <v>1890</v>
      </c>
      <c r="L95" s="13" t="s">
        <v>9</v>
      </c>
    </row>
    <row r="96" spans="2:12" ht="17.25" customHeight="1" x14ac:dyDescent="0.25">
      <c r="B96" s="9" t="s">
        <v>319</v>
      </c>
      <c r="C96" s="60" t="s">
        <v>310</v>
      </c>
      <c r="D96" s="91">
        <v>45332</v>
      </c>
      <c r="E96" s="72">
        <v>100060213400003</v>
      </c>
      <c r="F96" s="9" t="s">
        <v>320</v>
      </c>
      <c r="G96" s="159">
        <v>13000</v>
      </c>
      <c r="H96" s="159"/>
      <c r="I96" s="160">
        <f t="shared" si="24"/>
        <v>13000</v>
      </c>
      <c r="J96" s="160">
        <f t="shared" si="25"/>
        <v>650</v>
      </c>
      <c r="K96" s="160">
        <f t="shared" si="26"/>
        <v>13650</v>
      </c>
      <c r="L96" s="13" t="s">
        <v>9</v>
      </c>
    </row>
    <row r="97" spans="2:12" ht="17.25" customHeight="1" x14ac:dyDescent="0.25">
      <c r="B97" s="9" t="s">
        <v>321</v>
      </c>
      <c r="C97" s="40" t="s">
        <v>311</v>
      </c>
      <c r="D97" s="91">
        <v>45338</v>
      </c>
      <c r="E97" s="72" t="s">
        <v>74</v>
      </c>
      <c r="F97" s="9" t="s">
        <v>322</v>
      </c>
      <c r="G97" s="159">
        <v>525</v>
      </c>
      <c r="H97" s="159"/>
      <c r="I97" s="160">
        <f t="shared" si="24"/>
        <v>525</v>
      </c>
      <c r="J97" s="160">
        <f t="shared" si="25"/>
        <v>26.25</v>
      </c>
      <c r="K97" s="160">
        <f t="shared" si="26"/>
        <v>551.25</v>
      </c>
      <c r="L97" s="13" t="s">
        <v>1046</v>
      </c>
    </row>
    <row r="98" spans="2:12" ht="17.25" customHeight="1" x14ac:dyDescent="0.25">
      <c r="B98" s="9" t="s">
        <v>10</v>
      </c>
      <c r="C98" s="60" t="s">
        <v>312</v>
      </c>
      <c r="D98" s="91">
        <v>45337</v>
      </c>
      <c r="E98" s="72">
        <v>100542487200003</v>
      </c>
      <c r="F98" s="9" t="s">
        <v>323</v>
      </c>
      <c r="G98" s="159">
        <v>595</v>
      </c>
      <c r="H98" s="159"/>
      <c r="I98" s="160">
        <f t="shared" ref="I98:I107" si="27">G98-H98</f>
        <v>595</v>
      </c>
      <c r="J98" s="160">
        <f t="shared" ref="J98:J107" si="28">G98*5%</f>
        <v>29.75</v>
      </c>
      <c r="K98" s="160">
        <f t="shared" ref="K98:K107" si="29">G98+J98</f>
        <v>624.75</v>
      </c>
      <c r="L98" s="13" t="s">
        <v>9</v>
      </c>
    </row>
    <row r="99" spans="2:12" ht="17.25" customHeight="1" x14ac:dyDescent="0.25">
      <c r="B99" s="9" t="s">
        <v>10</v>
      </c>
      <c r="C99" s="40" t="s">
        <v>313</v>
      </c>
      <c r="D99" s="91">
        <v>45338</v>
      </c>
      <c r="E99" s="72">
        <v>100542487200003</v>
      </c>
      <c r="F99" s="9" t="s">
        <v>326</v>
      </c>
      <c r="G99" s="159">
        <v>145</v>
      </c>
      <c r="H99" s="159"/>
      <c r="I99" s="160">
        <f t="shared" si="27"/>
        <v>145</v>
      </c>
      <c r="J99" s="160">
        <f t="shared" si="28"/>
        <v>7.25</v>
      </c>
      <c r="K99" s="160">
        <f t="shared" si="29"/>
        <v>152.25</v>
      </c>
      <c r="L99" s="13" t="s">
        <v>9</v>
      </c>
    </row>
    <row r="100" spans="2:12" ht="17.25" customHeight="1" x14ac:dyDescent="0.25">
      <c r="B100" s="9" t="s">
        <v>75</v>
      </c>
      <c r="C100" s="40" t="s">
        <v>314</v>
      </c>
      <c r="D100" s="91">
        <v>45341</v>
      </c>
      <c r="E100" s="72">
        <v>100540543400003</v>
      </c>
      <c r="F100" s="9" t="s">
        <v>327</v>
      </c>
      <c r="G100" s="159">
        <v>860</v>
      </c>
      <c r="H100" s="159"/>
      <c r="I100" s="160">
        <f t="shared" si="27"/>
        <v>860</v>
      </c>
      <c r="J100" s="160">
        <f t="shared" si="28"/>
        <v>43</v>
      </c>
      <c r="K100" s="160">
        <f t="shared" si="29"/>
        <v>903</v>
      </c>
      <c r="L100" s="13" t="s">
        <v>78</v>
      </c>
    </row>
    <row r="101" spans="2:12" ht="17.25" customHeight="1" x14ac:dyDescent="0.25">
      <c r="B101" s="9" t="s">
        <v>10</v>
      </c>
      <c r="C101" s="40" t="s">
        <v>315</v>
      </c>
      <c r="D101" s="91">
        <v>45342</v>
      </c>
      <c r="E101" s="72">
        <v>100542487200003</v>
      </c>
      <c r="F101" s="9" t="s">
        <v>328</v>
      </c>
      <c r="G101" s="159">
        <v>625</v>
      </c>
      <c r="H101" s="159"/>
      <c r="I101" s="160">
        <f t="shared" si="27"/>
        <v>625</v>
      </c>
      <c r="J101" s="160">
        <f t="shared" si="28"/>
        <v>31.25</v>
      </c>
      <c r="K101" s="160">
        <f t="shared" si="29"/>
        <v>656.25</v>
      </c>
      <c r="L101" s="13" t="s">
        <v>9</v>
      </c>
    </row>
    <row r="102" spans="2:12" ht="17.25" customHeight="1" x14ac:dyDescent="0.25">
      <c r="B102" s="9" t="s">
        <v>345</v>
      </c>
      <c r="C102" s="40" t="s">
        <v>316</v>
      </c>
      <c r="D102" s="91">
        <v>45338</v>
      </c>
      <c r="E102" s="72">
        <v>100470289800003</v>
      </c>
      <c r="F102" s="9" t="s">
        <v>329</v>
      </c>
      <c r="G102" s="159">
        <v>8850</v>
      </c>
      <c r="H102" s="159"/>
      <c r="I102" s="160">
        <f t="shared" si="27"/>
        <v>8850</v>
      </c>
      <c r="J102" s="160">
        <f t="shared" si="28"/>
        <v>442.5</v>
      </c>
      <c r="K102" s="160">
        <f t="shared" si="29"/>
        <v>9292.5</v>
      </c>
      <c r="L102" s="13" t="s">
        <v>9</v>
      </c>
    </row>
    <row r="103" spans="2:12" ht="17.25" customHeight="1" x14ac:dyDescent="0.25">
      <c r="B103" s="9" t="s">
        <v>330</v>
      </c>
      <c r="C103" s="40" t="s">
        <v>317</v>
      </c>
      <c r="D103" s="91">
        <v>45338</v>
      </c>
      <c r="E103" s="72" t="s">
        <v>331</v>
      </c>
      <c r="F103" s="9" t="s">
        <v>332</v>
      </c>
      <c r="G103" s="159">
        <v>3335</v>
      </c>
      <c r="H103" s="159"/>
      <c r="I103" s="160">
        <f t="shared" si="27"/>
        <v>3335</v>
      </c>
      <c r="J103" s="160">
        <f t="shared" si="28"/>
        <v>166.75</v>
      </c>
      <c r="K103" s="160">
        <f t="shared" si="29"/>
        <v>3501.75</v>
      </c>
      <c r="L103" s="13" t="s">
        <v>78</v>
      </c>
    </row>
    <row r="104" spans="2:12" ht="17.25" customHeight="1" x14ac:dyDescent="0.25">
      <c r="B104" s="9" t="s">
        <v>324</v>
      </c>
      <c r="C104" s="40" t="s">
        <v>318</v>
      </c>
      <c r="D104" s="91">
        <v>45338</v>
      </c>
      <c r="E104" s="72" t="s">
        <v>74</v>
      </c>
      <c r="F104" s="9" t="s">
        <v>325</v>
      </c>
      <c r="G104" s="159">
        <v>1225</v>
      </c>
      <c r="H104" s="159"/>
      <c r="I104" s="160">
        <f t="shared" si="27"/>
        <v>1225</v>
      </c>
      <c r="J104" s="160">
        <f t="shared" si="28"/>
        <v>61.25</v>
      </c>
      <c r="K104" s="160">
        <f t="shared" si="29"/>
        <v>1286.25</v>
      </c>
      <c r="L104" s="13" t="s">
        <v>9</v>
      </c>
    </row>
    <row r="105" spans="2:12" ht="17.25" customHeight="1" x14ac:dyDescent="0.25">
      <c r="B105" s="9" t="s">
        <v>102</v>
      </c>
      <c r="C105" s="40" t="s">
        <v>333</v>
      </c>
      <c r="D105" s="91">
        <v>45341</v>
      </c>
      <c r="E105" s="72">
        <v>100593105800003</v>
      </c>
      <c r="F105" s="9" t="s">
        <v>340</v>
      </c>
      <c r="G105" s="159">
        <v>103245.5</v>
      </c>
      <c r="H105" s="159"/>
      <c r="I105" s="160">
        <f t="shared" si="27"/>
        <v>103245.5</v>
      </c>
      <c r="J105" s="160">
        <f t="shared" si="28"/>
        <v>5162.2750000000005</v>
      </c>
      <c r="K105" s="160">
        <f t="shared" si="29"/>
        <v>108407.77499999999</v>
      </c>
      <c r="L105" s="13" t="s">
        <v>9</v>
      </c>
    </row>
    <row r="106" spans="2:12" ht="17.25" customHeight="1" x14ac:dyDescent="0.25">
      <c r="B106" s="9" t="s">
        <v>102</v>
      </c>
      <c r="C106" s="40" t="s">
        <v>334</v>
      </c>
      <c r="D106" s="91">
        <v>45341</v>
      </c>
      <c r="E106" s="72">
        <v>100593105800003</v>
      </c>
      <c r="F106" s="9" t="s">
        <v>341</v>
      </c>
      <c r="G106" s="159">
        <v>51717.75</v>
      </c>
      <c r="H106" s="159"/>
      <c r="I106" s="160">
        <f t="shared" si="27"/>
        <v>51717.75</v>
      </c>
      <c r="J106" s="160">
        <f t="shared" si="28"/>
        <v>2585.8875000000003</v>
      </c>
      <c r="K106" s="160">
        <f t="shared" si="29"/>
        <v>54303.637499999997</v>
      </c>
      <c r="L106" s="13" t="s">
        <v>9</v>
      </c>
    </row>
    <row r="107" spans="2:12" ht="17.25" customHeight="1" x14ac:dyDescent="0.25">
      <c r="B107" s="9" t="s">
        <v>337</v>
      </c>
      <c r="C107" s="40" t="s">
        <v>335</v>
      </c>
      <c r="D107" s="91">
        <v>45343</v>
      </c>
      <c r="E107" s="72">
        <v>100323347300003</v>
      </c>
      <c r="F107" s="9" t="s">
        <v>338</v>
      </c>
      <c r="G107" s="159">
        <v>892.5</v>
      </c>
      <c r="H107" s="159"/>
      <c r="I107" s="160">
        <f t="shared" si="27"/>
        <v>892.5</v>
      </c>
      <c r="J107" s="160">
        <f t="shared" si="28"/>
        <v>44.625</v>
      </c>
      <c r="K107" s="160">
        <f t="shared" si="29"/>
        <v>937.125</v>
      </c>
      <c r="L107" s="13" t="s">
        <v>78</v>
      </c>
    </row>
    <row r="108" spans="2:12" ht="17.25" customHeight="1" x14ac:dyDescent="0.25">
      <c r="B108" s="9" t="s">
        <v>10</v>
      </c>
      <c r="C108" s="40" t="s">
        <v>336</v>
      </c>
      <c r="D108" s="91">
        <v>45343</v>
      </c>
      <c r="E108" s="72">
        <v>100542487200003</v>
      </c>
      <c r="F108" s="9" t="s">
        <v>339</v>
      </c>
      <c r="G108" s="159">
        <v>190</v>
      </c>
      <c r="H108" s="159"/>
      <c r="I108" s="160">
        <f t="shared" si="24"/>
        <v>190</v>
      </c>
      <c r="J108" s="160">
        <f t="shared" si="25"/>
        <v>9.5</v>
      </c>
      <c r="K108" s="160">
        <f t="shared" si="26"/>
        <v>199.5</v>
      </c>
      <c r="L108" s="13" t="s">
        <v>9</v>
      </c>
    </row>
    <row r="109" spans="2:12" ht="17.25" customHeight="1" x14ac:dyDescent="0.25">
      <c r="B109" s="9" t="s">
        <v>10</v>
      </c>
      <c r="C109" s="40" t="s">
        <v>342</v>
      </c>
      <c r="D109" s="91">
        <v>45342</v>
      </c>
      <c r="E109" s="72">
        <v>100542487200003</v>
      </c>
      <c r="F109" s="9" t="s">
        <v>344</v>
      </c>
      <c r="G109" s="159">
        <v>585</v>
      </c>
      <c r="H109" s="159"/>
      <c r="I109" s="160">
        <f t="shared" si="24"/>
        <v>585</v>
      </c>
      <c r="J109" s="160">
        <f t="shared" si="25"/>
        <v>29.25</v>
      </c>
      <c r="K109" s="160">
        <f t="shared" si="26"/>
        <v>614.25</v>
      </c>
      <c r="L109" s="13" t="s">
        <v>9</v>
      </c>
    </row>
    <row r="110" spans="2:12" ht="17.25" customHeight="1" x14ac:dyDescent="0.25">
      <c r="B110" s="9" t="s">
        <v>346</v>
      </c>
      <c r="C110" s="60" t="s">
        <v>343</v>
      </c>
      <c r="D110" s="91">
        <v>45343</v>
      </c>
      <c r="E110" s="72">
        <v>100359923800003</v>
      </c>
      <c r="F110" s="9" t="s">
        <v>91</v>
      </c>
      <c r="G110" s="159">
        <v>1920</v>
      </c>
      <c r="H110" s="159"/>
      <c r="I110" s="160">
        <f t="shared" si="24"/>
        <v>1920</v>
      </c>
      <c r="J110" s="160">
        <f t="shared" si="25"/>
        <v>96</v>
      </c>
      <c r="K110" s="160">
        <f t="shared" si="26"/>
        <v>2016</v>
      </c>
      <c r="L110" s="13" t="s">
        <v>78</v>
      </c>
    </row>
    <row r="111" spans="2:12" ht="17.25" customHeight="1" x14ac:dyDescent="0.25">
      <c r="B111" s="9" t="s">
        <v>357</v>
      </c>
      <c r="C111" s="40" t="s">
        <v>347</v>
      </c>
      <c r="D111" s="91">
        <v>45344</v>
      </c>
      <c r="E111" s="72">
        <v>100484375900003</v>
      </c>
      <c r="F111" s="9" t="s">
        <v>358</v>
      </c>
      <c r="G111" s="159">
        <v>420</v>
      </c>
      <c r="H111" s="159"/>
      <c r="I111" s="160">
        <f t="shared" ref="I111:I126" si="30">G111-H111</f>
        <v>420</v>
      </c>
      <c r="J111" s="160">
        <f t="shared" ref="J111:J126" si="31">G111*5%</f>
        <v>21</v>
      </c>
      <c r="K111" s="160">
        <f t="shared" ref="K111:K126" si="32">G111+J111</f>
        <v>441</v>
      </c>
      <c r="L111" s="13" t="s">
        <v>9</v>
      </c>
    </row>
    <row r="112" spans="2:12" ht="17.25" customHeight="1" x14ac:dyDescent="0.25">
      <c r="B112" s="9" t="s">
        <v>10</v>
      </c>
      <c r="C112" s="40" t="s">
        <v>348</v>
      </c>
      <c r="D112" s="91">
        <v>45344</v>
      </c>
      <c r="E112" s="72">
        <v>100542487200003</v>
      </c>
      <c r="F112" s="9" t="s">
        <v>359</v>
      </c>
      <c r="G112" s="159">
        <v>6250</v>
      </c>
      <c r="H112" s="159"/>
      <c r="I112" s="160">
        <f t="shared" si="30"/>
        <v>6250</v>
      </c>
      <c r="J112" s="160">
        <f t="shared" si="31"/>
        <v>312.5</v>
      </c>
      <c r="K112" s="160">
        <f t="shared" si="32"/>
        <v>6562.5</v>
      </c>
      <c r="L112" s="13" t="s">
        <v>9</v>
      </c>
    </row>
    <row r="113" spans="2:12" ht="17.25" customHeight="1" x14ac:dyDescent="0.25">
      <c r="B113" s="9" t="s">
        <v>10</v>
      </c>
      <c r="C113" s="40" t="s">
        <v>349</v>
      </c>
      <c r="D113" s="91">
        <v>45345</v>
      </c>
      <c r="E113" s="72">
        <v>100542487200003</v>
      </c>
      <c r="F113" s="9" t="s">
        <v>361</v>
      </c>
      <c r="G113" s="159">
        <v>390</v>
      </c>
      <c r="H113" s="159"/>
      <c r="I113" s="160">
        <f t="shared" si="30"/>
        <v>390</v>
      </c>
      <c r="J113" s="160">
        <f t="shared" si="31"/>
        <v>19.5</v>
      </c>
      <c r="K113" s="160">
        <f t="shared" si="32"/>
        <v>409.5</v>
      </c>
      <c r="L113" s="13" t="s">
        <v>9</v>
      </c>
    </row>
    <row r="114" spans="2:12" ht="17.25" customHeight="1" x14ac:dyDescent="0.25">
      <c r="B114" s="9" t="s">
        <v>10</v>
      </c>
      <c r="C114" s="40" t="s">
        <v>350</v>
      </c>
      <c r="D114" s="91">
        <v>45345</v>
      </c>
      <c r="E114" s="72">
        <v>100542487200003</v>
      </c>
      <c r="F114" s="9" t="s">
        <v>362</v>
      </c>
      <c r="G114" s="159">
        <v>4220.5</v>
      </c>
      <c r="H114" s="159"/>
      <c r="I114" s="160">
        <f t="shared" si="30"/>
        <v>4220.5</v>
      </c>
      <c r="J114" s="160">
        <f t="shared" si="31"/>
        <v>211.02500000000001</v>
      </c>
      <c r="K114" s="160">
        <f t="shared" si="32"/>
        <v>4431.5249999999996</v>
      </c>
      <c r="L114" s="13" t="s">
        <v>9</v>
      </c>
    </row>
    <row r="115" spans="2:12" ht="17.25" customHeight="1" x14ac:dyDescent="0.25">
      <c r="B115" s="9" t="s">
        <v>114</v>
      </c>
      <c r="C115" s="60" t="s">
        <v>351</v>
      </c>
      <c r="D115" s="91">
        <v>45345</v>
      </c>
      <c r="E115" s="72">
        <v>100235699400003</v>
      </c>
      <c r="F115" s="9" t="s">
        <v>363</v>
      </c>
      <c r="G115" s="159">
        <v>405</v>
      </c>
      <c r="H115" s="159"/>
      <c r="I115" s="160">
        <f t="shared" si="30"/>
        <v>405</v>
      </c>
      <c r="J115" s="160">
        <f t="shared" si="31"/>
        <v>20.25</v>
      </c>
      <c r="K115" s="160">
        <f t="shared" si="32"/>
        <v>425.25</v>
      </c>
      <c r="L115" s="13" t="s">
        <v>9</v>
      </c>
    </row>
    <row r="116" spans="2:12" ht="17.25" customHeight="1" x14ac:dyDescent="0.25">
      <c r="B116" s="9" t="s">
        <v>199</v>
      </c>
      <c r="C116" s="40" t="s">
        <v>352</v>
      </c>
      <c r="D116" s="91">
        <v>45348</v>
      </c>
      <c r="E116" s="72">
        <v>100349055200003</v>
      </c>
      <c r="F116" s="9" t="s">
        <v>364</v>
      </c>
      <c r="G116" s="159">
        <v>225</v>
      </c>
      <c r="H116" s="159"/>
      <c r="I116" s="160">
        <f t="shared" si="30"/>
        <v>225</v>
      </c>
      <c r="J116" s="160">
        <f t="shared" si="31"/>
        <v>11.25</v>
      </c>
      <c r="K116" s="160">
        <f t="shared" si="32"/>
        <v>236.25</v>
      </c>
      <c r="L116" s="13" t="s">
        <v>78</v>
      </c>
    </row>
    <row r="117" spans="2:12" ht="17.25" customHeight="1" x14ac:dyDescent="0.25">
      <c r="B117" s="50" t="s">
        <v>365</v>
      </c>
      <c r="C117" s="51" t="s">
        <v>353</v>
      </c>
      <c r="D117" s="91">
        <v>45345</v>
      </c>
      <c r="E117" s="74">
        <v>103215109200003</v>
      </c>
      <c r="F117" s="53" t="s">
        <v>366</v>
      </c>
      <c r="G117" s="162">
        <v>2715</v>
      </c>
      <c r="H117" s="162"/>
      <c r="I117" s="163">
        <f t="shared" si="30"/>
        <v>2715</v>
      </c>
      <c r="J117" s="163">
        <f t="shared" si="31"/>
        <v>135.75</v>
      </c>
      <c r="K117" s="163">
        <f t="shared" si="32"/>
        <v>2850.75</v>
      </c>
      <c r="L117" s="68" t="s">
        <v>9</v>
      </c>
    </row>
    <row r="118" spans="2:12" ht="17.25" customHeight="1" x14ac:dyDescent="0.25">
      <c r="B118" s="9" t="s">
        <v>142</v>
      </c>
      <c r="C118" s="40" t="s">
        <v>354</v>
      </c>
      <c r="D118" s="91">
        <v>45350</v>
      </c>
      <c r="E118" s="72">
        <v>100377505100003</v>
      </c>
      <c r="F118" s="9" t="s">
        <v>283</v>
      </c>
      <c r="G118" s="159">
        <v>3150</v>
      </c>
      <c r="H118" s="159"/>
      <c r="I118" s="160">
        <f t="shared" si="30"/>
        <v>3150</v>
      </c>
      <c r="J118" s="160">
        <f t="shared" si="31"/>
        <v>157.5</v>
      </c>
      <c r="K118" s="160">
        <f t="shared" si="32"/>
        <v>3307.5</v>
      </c>
      <c r="L118" s="13" t="s">
        <v>9</v>
      </c>
    </row>
    <row r="119" spans="2:12" ht="17.25" customHeight="1" x14ac:dyDescent="0.25">
      <c r="B119" s="61" t="s">
        <v>102</v>
      </c>
      <c r="C119" s="62" t="s">
        <v>355</v>
      </c>
      <c r="D119" s="92">
        <v>45345</v>
      </c>
      <c r="E119" s="151" t="s">
        <v>104</v>
      </c>
      <c r="F119" s="61" t="s">
        <v>367</v>
      </c>
      <c r="G119" s="161">
        <v>0</v>
      </c>
      <c r="H119" s="161"/>
      <c r="I119" s="161">
        <f t="shared" si="30"/>
        <v>0</v>
      </c>
      <c r="J119" s="161">
        <f t="shared" si="31"/>
        <v>0</v>
      </c>
      <c r="K119" s="161">
        <f t="shared" si="32"/>
        <v>0</v>
      </c>
      <c r="L119" s="64" t="s">
        <v>9</v>
      </c>
    </row>
    <row r="120" spans="2:12" ht="17.25" customHeight="1" x14ac:dyDescent="0.25">
      <c r="B120" s="9" t="s">
        <v>102</v>
      </c>
      <c r="C120" s="73" t="s">
        <v>356</v>
      </c>
      <c r="D120" s="91">
        <v>45345</v>
      </c>
      <c r="E120" s="72">
        <v>100593105800003</v>
      </c>
      <c r="F120" s="9" t="s">
        <v>368</v>
      </c>
      <c r="G120" s="159">
        <v>7142.1</v>
      </c>
      <c r="H120" s="159"/>
      <c r="I120" s="160">
        <f t="shared" si="30"/>
        <v>7142.1</v>
      </c>
      <c r="J120" s="160">
        <f t="shared" si="31"/>
        <v>357.10500000000002</v>
      </c>
      <c r="K120" s="160">
        <f t="shared" si="32"/>
        <v>7499.2049999999999</v>
      </c>
      <c r="L120" s="13" t="s">
        <v>9</v>
      </c>
    </row>
    <row r="121" spans="2:12" ht="17.25" customHeight="1" x14ac:dyDescent="0.25">
      <c r="B121" s="9" t="s">
        <v>102</v>
      </c>
      <c r="C121" s="73" t="s">
        <v>360</v>
      </c>
      <c r="D121" s="91">
        <v>45345</v>
      </c>
      <c r="E121" s="72">
        <v>100593105800003</v>
      </c>
      <c r="F121" s="9" t="s">
        <v>117</v>
      </c>
      <c r="G121" s="159">
        <v>1419</v>
      </c>
      <c r="H121" s="159"/>
      <c r="I121" s="160">
        <f t="shared" si="30"/>
        <v>1419</v>
      </c>
      <c r="J121" s="160">
        <f t="shared" si="31"/>
        <v>70.95</v>
      </c>
      <c r="K121" s="160">
        <f t="shared" si="32"/>
        <v>1489.95</v>
      </c>
      <c r="L121" s="13" t="s">
        <v>9</v>
      </c>
    </row>
    <row r="122" spans="2:12" ht="17.25" customHeight="1" x14ac:dyDescent="0.25">
      <c r="B122" s="9" t="s">
        <v>102</v>
      </c>
      <c r="C122" s="60" t="s">
        <v>369</v>
      </c>
      <c r="D122" s="91">
        <v>45345</v>
      </c>
      <c r="E122" s="72">
        <v>100593105800003</v>
      </c>
      <c r="F122" s="9" t="s">
        <v>371</v>
      </c>
      <c r="G122" s="159">
        <v>960</v>
      </c>
      <c r="H122" s="159"/>
      <c r="I122" s="160">
        <f t="shared" si="30"/>
        <v>960</v>
      </c>
      <c r="J122" s="160">
        <f t="shared" si="31"/>
        <v>48</v>
      </c>
      <c r="K122" s="160">
        <f t="shared" si="32"/>
        <v>1008</v>
      </c>
      <c r="L122" s="13" t="s">
        <v>9</v>
      </c>
    </row>
    <row r="123" spans="2:12" ht="17.25" customHeight="1" x14ac:dyDescent="0.25">
      <c r="B123" s="61" t="s">
        <v>102</v>
      </c>
      <c r="C123" s="62" t="s">
        <v>370</v>
      </c>
      <c r="D123" s="92">
        <v>45345</v>
      </c>
      <c r="E123" s="75">
        <v>100593105800003</v>
      </c>
      <c r="F123" s="61" t="s">
        <v>372</v>
      </c>
      <c r="G123" s="161">
        <v>0</v>
      </c>
      <c r="H123" s="161"/>
      <c r="I123" s="161">
        <f t="shared" si="30"/>
        <v>0</v>
      </c>
      <c r="J123" s="161">
        <f t="shared" si="31"/>
        <v>0</v>
      </c>
      <c r="K123" s="161">
        <f t="shared" si="32"/>
        <v>0</v>
      </c>
      <c r="L123" s="64" t="s">
        <v>9</v>
      </c>
    </row>
    <row r="124" spans="2:12" ht="17.25" customHeight="1" x14ac:dyDescent="0.25">
      <c r="B124" s="9" t="s">
        <v>386</v>
      </c>
      <c r="C124" s="40" t="s">
        <v>374</v>
      </c>
      <c r="D124" s="91">
        <v>45351</v>
      </c>
      <c r="E124" s="72">
        <v>100246622300003</v>
      </c>
      <c r="F124" s="9" t="s">
        <v>387</v>
      </c>
      <c r="G124" s="159">
        <v>3490</v>
      </c>
      <c r="H124" s="159"/>
      <c r="I124" s="160">
        <f t="shared" si="30"/>
        <v>3490</v>
      </c>
      <c r="J124" s="160">
        <v>174</v>
      </c>
      <c r="K124" s="160">
        <f t="shared" si="32"/>
        <v>3664</v>
      </c>
      <c r="L124" s="13" t="s">
        <v>9</v>
      </c>
    </row>
    <row r="125" spans="2:12" ht="17.25" customHeight="1" x14ac:dyDescent="0.25">
      <c r="B125" s="61" t="s">
        <v>379</v>
      </c>
      <c r="C125" s="62" t="s">
        <v>375</v>
      </c>
      <c r="D125" s="92">
        <v>45348</v>
      </c>
      <c r="E125" s="75">
        <v>100247605700003</v>
      </c>
      <c r="F125" s="61" t="s">
        <v>380</v>
      </c>
      <c r="G125" s="161">
        <v>0</v>
      </c>
      <c r="H125" s="161"/>
      <c r="I125" s="161">
        <f t="shared" si="30"/>
        <v>0</v>
      </c>
      <c r="J125" s="161">
        <f t="shared" si="31"/>
        <v>0</v>
      </c>
      <c r="K125" s="161">
        <f t="shared" si="32"/>
        <v>0</v>
      </c>
      <c r="L125" s="64" t="s">
        <v>9</v>
      </c>
    </row>
    <row r="126" spans="2:12" ht="17.25" customHeight="1" x14ac:dyDescent="0.25">
      <c r="B126" s="9" t="s">
        <v>86</v>
      </c>
      <c r="C126" s="40" t="s">
        <v>376</v>
      </c>
      <c r="D126" s="91">
        <v>45351</v>
      </c>
      <c r="E126" s="72">
        <v>100482284500003</v>
      </c>
      <c r="F126" s="9" t="s">
        <v>95</v>
      </c>
      <c r="G126" s="159">
        <v>310</v>
      </c>
      <c r="H126" s="159"/>
      <c r="I126" s="160">
        <f t="shared" si="30"/>
        <v>310</v>
      </c>
      <c r="J126" s="160">
        <f t="shared" si="31"/>
        <v>15.5</v>
      </c>
      <c r="K126" s="160">
        <f t="shared" si="32"/>
        <v>325.5</v>
      </c>
      <c r="L126" s="13" t="s">
        <v>9</v>
      </c>
    </row>
    <row r="127" spans="2:12" ht="17.25" customHeight="1" x14ac:dyDescent="0.25">
      <c r="B127" s="9" t="s">
        <v>379</v>
      </c>
      <c r="C127" s="60" t="s">
        <v>377</v>
      </c>
      <c r="D127" s="91">
        <v>45349</v>
      </c>
      <c r="E127" s="72">
        <v>100247605700003</v>
      </c>
      <c r="F127" s="9" t="s">
        <v>385</v>
      </c>
      <c r="G127" s="159">
        <v>6775</v>
      </c>
      <c r="H127" s="159"/>
      <c r="I127" s="160">
        <f t="shared" ref="I127:I138" si="33">G127-H127</f>
        <v>6775</v>
      </c>
      <c r="J127" s="160">
        <f t="shared" ref="J127:J138" si="34">G127*5%</f>
        <v>338.75</v>
      </c>
      <c r="K127" s="160">
        <f t="shared" ref="K127:K138" si="35">G127+J127</f>
        <v>7113.75</v>
      </c>
      <c r="L127" s="13" t="s">
        <v>9</v>
      </c>
    </row>
    <row r="128" spans="2:12" ht="17.25" customHeight="1" x14ac:dyDescent="0.25">
      <c r="B128" s="9" t="s">
        <v>238</v>
      </c>
      <c r="C128" s="60" t="s">
        <v>378</v>
      </c>
      <c r="D128" s="91">
        <v>45349</v>
      </c>
      <c r="E128" s="72">
        <v>100435244700003</v>
      </c>
      <c r="F128" s="9" t="s">
        <v>388</v>
      </c>
      <c r="G128" s="159">
        <v>915</v>
      </c>
      <c r="H128" s="159"/>
      <c r="I128" s="160">
        <f t="shared" si="33"/>
        <v>915</v>
      </c>
      <c r="J128" s="160">
        <f t="shared" si="34"/>
        <v>45.75</v>
      </c>
      <c r="K128" s="160">
        <f t="shared" si="35"/>
        <v>960.75</v>
      </c>
      <c r="L128" s="13" t="s">
        <v>78</v>
      </c>
    </row>
    <row r="129" spans="2:16" ht="17.25" customHeight="1" x14ac:dyDescent="0.25">
      <c r="B129" s="9" t="s">
        <v>450</v>
      </c>
      <c r="C129" s="60" t="s">
        <v>381</v>
      </c>
      <c r="D129" s="91">
        <v>45349</v>
      </c>
      <c r="E129" s="72" t="s">
        <v>74</v>
      </c>
      <c r="F129" s="9" t="s">
        <v>389</v>
      </c>
      <c r="G129" s="159">
        <v>1925</v>
      </c>
      <c r="H129" s="159"/>
      <c r="I129" s="160">
        <f t="shared" si="33"/>
        <v>1925</v>
      </c>
      <c r="J129" s="160">
        <f t="shared" si="34"/>
        <v>96.25</v>
      </c>
      <c r="K129" s="160">
        <f t="shared" si="35"/>
        <v>2021.25</v>
      </c>
      <c r="L129" s="13" t="s">
        <v>9</v>
      </c>
    </row>
    <row r="130" spans="2:16" ht="17.25" customHeight="1" x14ac:dyDescent="0.25">
      <c r="B130" s="9" t="s">
        <v>177</v>
      </c>
      <c r="C130" s="60" t="s">
        <v>382</v>
      </c>
      <c r="D130" s="91">
        <v>45350</v>
      </c>
      <c r="E130" s="72">
        <v>104020641700003</v>
      </c>
      <c r="F130" s="9" t="s">
        <v>408</v>
      </c>
      <c r="G130" s="159">
        <v>2362.38</v>
      </c>
      <c r="H130" s="159"/>
      <c r="I130" s="160">
        <f t="shared" si="33"/>
        <v>2362.38</v>
      </c>
      <c r="J130" s="160">
        <f t="shared" si="34"/>
        <v>118.11900000000001</v>
      </c>
      <c r="K130" s="160">
        <f t="shared" si="35"/>
        <v>2480.4990000000003</v>
      </c>
      <c r="L130" s="13" t="s">
        <v>78</v>
      </c>
    </row>
    <row r="131" spans="2:16" ht="17.25" customHeight="1" x14ac:dyDescent="0.25">
      <c r="B131" s="9" t="s">
        <v>409</v>
      </c>
      <c r="C131" s="60" t="s">
        <v>383</v>
      </c>
      <c r="D131" s="91">
        <v>45350</v>
      </c>
      <c r="E131" s="72">
        <v>100566746200003</v>
      </c>
      <c r="F131" s="9" t="s">
        <v>408</v>
      </c>
      <c r="G131" s="159">
        <v>2362.38</v>
      </c>
      <c r="H131" s="159"/>
      <c r="I131" s="160">
        <f t="shared" si="33"/>
        <v>2362.38</v>
      </c>
      <c r="J131" s="160">
        <f t="shared" si="34"/>
        <v>118.11900000000001</v>
      </c>
      <c r="K131" s="160">
        <f t="shared" si="35"/>
        <v>2480.4990000000003</v>
      </c>
      <c r="L131" s="13" t="s">
        <v>78</v>
      </c>
    </row>
    <row r="132" spans="2:16" ht="17.25" customHeight="1" x14ac:dyDescent="0.25">
      <c r="B132" s="9" t="s">
        <v>174</v>
      </c>
      <c r="C132" s="60" t="s">
        <v>384</v>
      </c>
      <c r="D132" s="91">
        <v>45350</v>
      </c>
      <c r="E132" s="72">
        <v>100494671900003</v>
      </c>
      <c r="F132" s="9" t="s">
        <v>408</v>
      </c>
      <c r="G132" s="159">
        <v>2362.38</v>
      </c>
      <c r="H132" s="159"/>
      <c r="I132" s="160">
        <f t="shared" si="33"/>
        <v>2362.38</v>
      </c>
      <c r="J132" s="160">
        <f t="shared" si="34"/>
        <v>118.11900000000001</v>
      </c>
      <c r="K132" s="160">
        <f t="shared" si="35"/>
        <v>2480.4990000000003</v>
      </c>
      <c r="L132" s="13" t="s">
        <v>78</v>
      </c>
    </row>
    <row r="133" spans="2:16" ht="17.25" customHeight="1" x14ac:dyDescent="0.25">
      <c r="B133" s="9" t="s">
        <v>394</v>
      </c>
      <c r="C133" s="40" t="s">
        <v>390</v>
      </c>
      <c r="D133" s="91">
        <v>45350</v>
      </c>
      <c r="E133" s="72">
        <v>104061117800003</v>
      </c>
      <c r="F133" s="9" t="s">
        <v>395</v>
      </c>
      <c r="G133" s="159">
        <v>47.62</v>
      </c>
      <c r="H133" s="159"/>
      <c r="I133" s="160">
        <f t="shared" si="33"/>
        <v>47.62</v>
      </c>
      <c r="J133" s="160">
        <f t="shared" si="34"/>
        <v>2.3809999999999998</v>
      </c>
      <c r="K133" s="160">
        <f t="shared" si="35"/>
        <v>50.000999999999998</v>
      </c>
      <c r="L133" s="13" t="s">
        <v>9</v>
      </c>
    </row>
    <row r="134" spans="2:16" ht="17.25" customHeight="1" x14ac:dyDescent="0.25">
      <c r="B134" s="9" t="s">
        <v>43</v>
      </c>
      <c r="C134" s="40" t="s">
        <v>391</v>
      </c>
      <c r="D134" s="91">
        <v>45351</v>
      </c>
      <c r="E134" s="72">
        <v>104166051300003</v>
      </c>
      <c r="F134" s="9" t="s">
        <v>396</v>
      </c>
      <c r="G134" s="159">
        <v>1248</v>
      </c>
      <c r="H134" s="159"/>
      <c r="I134" s="160">
        <f t="shared" si="33"/>
        <v>1248</v>
      </c>
      <c r="J134" s="160">
        <f t="shared" si="34"/>
        <v>62.400000000000006</v>
      </c>
      <c r="K134" s="160">
        <f t="shared" si="35"/>
        <v>1310.4000000000001</v>
      </c>
      <c r="L134" s="13" t="s">
        <v>9</v>
      </c>
    </row>
    <row r="135" spans="2:16" ht="17.25" customHeight="1" x14ac:dyDescent="0.25">
      <c r="B135" s="9" t="s">
        <v>236</v>
      </c>
      <c r="C135" s="40" t="s">
        <v>392</v>
      </c>
      <c r="D135" s="91">
        <v>45351</v>
      </c>
      <c r="E135" s="72">
        <v>100048520900003</v>
      </c>
      <c r="F135" s="9" t="s">
        <v>400</v>
      </c>
      <c r="G135" s="159">
        <v>90</v>
      </c>
      <c r="H135" s="159"/>
      <c r="I135" s="160">
        <f t="shared" si="33"/>
        <v>90</v>
      </c>
      <c r="J135" s="160">
        <f t="shared" si="34"/>
        <v>4.5</v>
      </c>
      <c r="K135" s="160">
        <f t="shared" si="35"/>
        <v>94.5</v>
      </c>
      <c r="L135" s="13" t="s">
        <v>9</v>
      </c>
    </row>
    <row r="136" spans="2:16" ht="17.25" customHeight="1" x14ac:dyDescent="0.25">
      <c r="B136" s="9" t="s">
        <v>236</v>
      </c>
      <c r="C136" s="40" t="s">
        <v>393</v>
      </c>
      <c r="D136" s="91">
        <v>45351</v>
      </c>
      <c r="E136" s="72">
        <v>100048520900003</v>
      </c>
      <c r="F136" s="9" t="s">
        <v>400</v>
      </c>
      <c r="G136" s="159">
        <v>105</v>
      </c>
      <c r="H136" s="159"/>
      <c r="I136" s="160">
        <f t="shared" si="33"/>
        <v>105</v>
      </c>
      <c r="J136" s="160">
        <f t="shared" si="34"/>
        <v>5.25</v>
      </c>
      <c r="K136" s="160">
        <f t="shared" si="35"/>
        <v>110.25</v>
      </c>
      <c r="L136" s="13" t="s">
        <v>9</v>
      </c>
    </row>
    <row r="137" spans="2:16" ht="17.25" customHeight="1" x14ac:dyDescent="0.25">
      <c r="B137" s="9" t="s">
        <v>398</v>
      </c>
      <c r="C137" s="40" t="s">
        <v>397</v>
      </c>
      <c r="D137" s="91">
        <v>45352</v>
      </c>
      <c r="E137" s="72">
        <v>100282822400003</v>
      </c>
      <c r="F137" s="9" t="s">
        <v>399</v>
      </c>
      <c r="G137" s="164">
        <v>485</v>
      </c>
      <c r="H137" s="159"/>
      <c r="I137" s="160">
        <f t="shared" si="33"/>
        <v>485</v>
      </c>
      <c r="J137" s="160">
        <f t="shared" si="34"/>
        <v>24.25</v>
      </c>
      <c r="K137" s="160">
        <f t="shared" si="35"/>
        <v>509.25</v>
      </c>
      <c r="L137" s="13" t="s">
        <v>9</v>
      </c>
    </row>
    <row r="138" spans="2:16" ht="17.25" customHeight="1" x14ac:dyDescent="0.25">
      <c r="B138" s="9" t="s">
        <v>10</v>
      </c>
      <c r="C138" s="40" t="s">
        <v>402</v>
      </c>
      <c r="D138" s="91">
        <v>45351</v>
      </c>
      <c r="E138" s="72">
        <v>100542487200003</v>
      </c>
      <c r="F138" s="9" t="s">
        <v>405</v>
      </c>
      <c r="G138" s="159">
        <v>1890</v>
      </c>
      <c r="H138" s="159"/>
      <c r="I138" s="160">
        <f t="shared" si="33"/>
        <v>1890</v>
      </c>
      <c r="J138" s="160">
        <f t="shared" si="34"/>
        <v>94.5</v>
      </c>
      <c r="K138" s="160">
        <f t="shared" si="35"/>
        <v>1984.5</v>
      </c>
      <c r="L138" s="13" t="s">
        <v>9</v>
      </c>
    </row>
    <row r="139" spans="2:16" ht="17.25" customHeight="1" x14ac:dyDescent="0.25">
      <c r="B139" s="9" t="s">
        <v>75</v>
      </c>
      <c r="C139" s="40" t="s">
        <v>403</v>
      </c>
      <c r="D139" s="91">
        <v>45351</v>
      </c>
      <c r="E139" s="72">
        <v>100540543400003</v>
      </c>
      <c r="F139" s="9" t="s">
        <v>406</v>
      </c>
      <c r="G139" s="159">
        <v>487.5</v>
      </c>
      <c r="H139" s="159"/>
      <c r="I139" s="160">
        <f t="shared" si="24"/>
        <v>487.5</v>
      </c>
      <c r="J139" s="160">
        <f t="shared" si="25"/>
        <v>24.375</v>
      </c>
      <c r="K139" s="160">
        <f t="shared" si="26"/>
        <v>511.875</v>
      </c>
      <c r="L139" s="13" t="s">
        <v>78</v>
      </c>
    </row>
    <row r="140" spans="2:16" ht="17.25" customHeight="1" x14ac:dyDescent="0.25">
      <c r="B140" s="9" t="s">
        <v>43</v>
      </c>
      <c r="C140" s="40" t="s">
        <v>404</v>
      </c>
      <c r="D140" s="91">
        <v>45351</v>
      </c>
      <c r="E140" s="72">
        <v>104166051300003</v>
      </c>
      <c r="F140" s="9" t="s">
        <v>407</v>
      </c>
      <c r="G140" s="159">
        <v>1162.5</v>
      </c>
      <c r="H140" s="159"/>
      <c r="I140" s="160">
        <f t="shared" si="24"/>
        <v>1162.5</v>
      </c>
      <c r="J140" s="160">
        <f t="shared" si="25"/>
        <v>58.125</v>
      </c>
      <c r="K140" s="160">
        <f t="shared" si="26"/>
        <v>1220.625</v>
      </c>
      <c r="L140" s="13" t="s">
        <v>9</v>
      </c>
    </row>
    <row r="141" spans="2:16" ht="17.25" customHeight="1" x14ac:dyDescent="0.25">
      <c r="B141" s="9" t="s">
        <v>177</v>
      </c>
      <c r="C141" s="40" t="s">
        <v>410</v>
      </c>
      <c r="D141" s="91">
        <v>45350</v>
      </c>
      <c r="E141" s="72">
        <v>104020641700003</v>
      </c>
      <c r="F141" s="9" t="s">
        <v>413</v>
      </c>
      <c r="G141" s="159">
        <v>787.62</v>
      </c>
      <c r="H141" s="159"/>
      <c r="I141" s="160">
        <f t="shared" si="24"/>
        <v>787.62</v>
      </c>
      <c r="J141" s="160">
        <f t="shared" si="25"/>
        <v>39.381</v>
      </c>
      <c r="K141" s="160">
        <f t="shared" si="26"/>
        <v>827.00099999999998</v>
      </c>
      <c r="L141" s="13" t="s">
        <v>78</v>
      </c>
      <c r="P141" t="s">
        <v>977</v>
      </c>
    </row>
    <row r="142" spans="2:16" ht="17.25" customHeight="1" x14ac:dyDescent="0.25">
      <c r="B142" s="9" t="s">
        <v>409</v>
      </c>
      <c r="C142" s="40" t="s">
        <v>411</v>
      </c>
      <c r="D142" s="91">
        <v>45350</v>
      </c>
      <c r="E142" s="72">
        <v>100566746200003</v>
      </c>
      <c r="F142" s="9" t="s">
        <v>413</v>
      </c>
      <c r="G142" s="159">
        <v>787.62</v>
      </c>
      <c r="H142" s="159"/>
      <c r="I142" s="160">
        <f t="shared" ref="I142:I161" si="36">G142-H142</f>
        <v>787.62</v>
      </c>
      <c r="J142" s="160">
        <f t="shared" ref="J142:J161" si="37">G142*5%</f>
        <v>39.381</v>
      </c>
      <c r="K142" s="160">
        <f t="shared" ref="K142:K161" si="38">G142+J142</f>
        <v>827.00099999999998</v>
      </c>
      <c r="L142" s="13" t="s">
        <v>78</v>
      </c>
      <c r="P142" t="s">
        <v>977</v>
      </c>
    </row>
    <row r="143" spans="2:16" ht="17.25" customHeight="1" x14ac:dyDescent="0.25">
      <c r="B143" s="9" t="s">
        <v>174</v>
      </c>
      <c r="C143" s="40" t="s">
        <v>412</v>
      </c>
      <c r="D143" s="91">
        <v>45350</v>
      </c>
      <c r="E143" s="72">
        <v>100494671900003</v>
      </c>
      <c r="F143" s="9" t="s">
        <v>413</v>
      </c>
      <c r="G143" s="159">
        <v>787.62</v>
      </c>
      <c r="H143" s="159"/>
      <c r="I143" s="160">
        <f t="shared" si="36"/>
        <v>787.62</v>
      </c>
      <c r="J143" s="160">
        <f t="shared" si="37"/>
        <v>39.381</v>
      </c>
      <c r="K143" s="160">
        <f t="shared" si="38"/>
        <v>827.00099999999998</v>
      </c>
      <c r="L143" s="13" t="s">
        <v>78</v>
      </c>
      <c r="P143" t="s">
        <v>977</v>
      </c>
    </row>
    <row r="144" spans="2:16" ht="17.25" customHeight="1" x14ac:dyDescent="0.25">
      <c r="B144" s="9" t="s">
        <v>10</v>
      </c>
      <c r="C144" s="40" t="s">
        <v>414</v>
      </c>
      <c r="D144" s="91">
        <v>45352</v>
      </c>
      <c r="E144" s="71" t="s">
        <v>16</v>
      </c>
      <c r="F144" s="9" t="s">
        <v>417</v>
      </c>
      <c r="G144" s="164">
        <v>450</v>
      </c>
      <c r="H144" s="159"/>
      <c r="I144" s="160">
        <f t="shared" si="36"/>
        <v>450</v>
      </c>
      <c r="J144" s="160">
        <f t="shared" si="37"/>
        <v>22.5</v>
      </c>
      <c r="K144" s="160">
        <f t="shared" si="38"/>
        <v>472.5</v>
      </c>
      <c r="L144" s="13" t="s">
        <v>9</v>
      </c>
    </row>
    <row r="145" spans="2:12" ht="17.25" customHeight="1" x14ac:dyDescent="0.25">
      <c r="B145" s="9" t="s">
        <v>29</v>
      </c>
      <c r="C145" s="40" t="s">
        <v>415</v>
      </c>
      <c r="D145" s="91">
        <v>45355</v>
      </c>
      <c r="E145" s="71" t="s">
        <v>128</v>
      </c>
      <c r="F145" s="9" t="s">
        <v>225</v>
      </c>
      <c r="G145" s="164">
        <v>275</v>
      </c>
      <c r="H145" s="159"/>
      <c r="I145" s="160">
        <f t="shared" si="36"/>
        <v>275</v>
      </c>
      <c r="J145" s="160">
        <f t="shared" si="37"/>
        <v>13.75</v>
      </c>
      <c r="K145" s="160">
        <f t="shared" si="38"/>
        <v>288.75</v>
      </c>
      <c r="L145" s="13" t="s">
        <v>9</v>
      </c>
    </row>
    <row r="146" spans="2:12" ht="17.25" customHeight="1" x14ac:dyDescent="0.25">
      <c r="B146" s="9" t="s">
        <v>398</v>
      </c>
      <c r="C146" s="40" t="s">
        <v>416</v>
      </c>
      <c r="D146" s="91">
        <v>45355</v>
      </c>
      <c r="E146" s="71" t="s">
        <v>418</v>
      </c>
      <c r="F146" s="9" t="s">
        <v>419</v>
      </c>
      <c r="G146" s="164">
        <v>505</v>
      </c>
      <c r="H146" s="159"/>
      <c r="I146" s="160">
        <f t="shared" si="36"/>
        <v>505</v>
      </c>
      <c r="J146" s="160">
        <f t="shared" si="37"/>
        <v>25.25</v>
      </c>
      <c r="K146" s="160">
        <f t="shared" si="38"/>
        <v>530.25</v>
      </c>
      <c r="L146" s="13" t="s">
        <v>9</v>
      </c>
    </row>
    <row r="147" spans="2:12" ht="17.25" customHeight="1" x14ac:dyDescent="0.25">
      <c r="B147" s="9" t="s">
        <v>10</v>
      </c>
      <c r="C147" s="40" t="s">
        <v>420</v>
      </c>
      <c r="D147" s="91">
        <v>45355</v>
      </c>
      <c r="E147" s="71" t="s">
        <v>16</v>
      </c>
      <c r="F147" s="9" t="s">
        <v>423</v>
      </c>
      <c r="G147" s="164">
        <v>220</v>
      </c>
      <c r="H147" s="159"/>
      <c r="I147" s="160">
        <f t="shared" si="36"/>
        <v>220</v>
      </c>
      <c r="J147" s="160">
        <f t="shared" si="37"/>
        <v>11</v>
      </c>
      <c r="K147" s="160">
        <f t="shared" si="38"/>
        <v>231</v>
      </c>
      <c r="L147" s="13" t="s">
        <v>9</v>
      </c>
    </row>
    <row r="148" spans="2:12" ht="17.25" customHeight="1" x14ac:dyDescent="0.25">
      <c r="B148" s="9" t="s">
        <v>114</v>
      </c>
      <c r="C148" s="40" t="s">
        <v>421</v>
      </c>
      <c r="D148" s="91">
        <v>45356</v>
      </c>
      <c r="E148" s="71" t="s">
        <v>115</v>
      </c>
      <c r="F148" s="9" t="s">
        <v>429</v>
      </c>
      <c r="G148" s="164">
        <v>405</v>
      </c>
      <c r="H148" s="159"/>
      <c r="I148" s="160">
        <f t="shared" si="36"/>
        <v>405</v>
      </c>
      <c r="J148" s="160">
        <f t="shared" si="37"/>
        <v>20.25</v>
      </c>
      <c r="K148" s="160">
        <f t="shared" si="38"/>
        <v>425.25</v>
      </c>
      <c r="L148" s="13" t="s">
        <v>9</v>
      </c>
    </row>
    <row r="149" spans="2:12" ht="17.25" customHeight="1" x14ac:dyDescent="0.25">
      <c r="B149" s="9" t="s">
        <v>122</v>
      </c>
      <c r="C149" s="40" t="s">
        <v>422</v>
      </c>
      <c r="D149" s="91">
        <v>45353</v>
      </c>
      <c r="E149" s="70" t="s">
        <v>74</v>
      </c>
      <c r="F149" s="9" t="s">
        <v>424</v>
      </c>
      <c r="G149" s="164">
        <v>18930</v>
      </c>
      <c r="H149" s="159"/>
      <c r="I149" s="160">
        <f t="shared" si="36"/>
        <v>18930</v>
      </c>
      <c r="J149" s="160">
        <f t="shared" si="37"/>
        <v>946.5</v>
      </c>
      <c r="K149" s="160">
        <f t="shared" si="38"/>
        <v>19876.5</v>
      </c>
      <c r="L149" s="13" t="s">
        <v>9</v>
      </c>
    </row>
    <row r="150" spans="2:12" ht="17.25" customHeight="1" x14ac:dyDescent="0.25">
      <c r="B150" s="9" t="s">
        <v>122</v>
      </c>
      <c r="C150" s="40" t="s">
        <v>425</v>
      </c>
      <c r="D150" s="91">
        <v>45355</v>
      </c>
      <c r="E150" s="70" t="s">
        <v>74</v>
      </c>
      <c r="F150" s="9" t="s">
        <v>426</v>
      </c>
      <c r="G150" s="164">
        <v>2585</v>
      </c>
      <c r="H150" s="159"/>
      <c r="I150" s="160">
        <f t="shared" si="36"/>
        <v>2585</v>
      </c>
      <c r="J150" s="160">
        <f t="shared" si="37"/>
        <v>129.25</v>
      </c>
      <c r="K150" s="160">
        <f t="shared" si="38"/>
        <v>2714.25</v>
      </c>
      <c r="L150" s="13" t="s">
        <v>9</v>
      </c>
    </row>
    <row r="151" spans="2:12" ht="17.25" customHeight="1" x14ac:dyDescent="0.25">
      <c r="B151" s="9" t="s">
        <v>299</v>
      </c>
      <c r="C151" s="40" t="s">
        <v>427</v>
      </c>
      <c r="D151" s="91">
        <v>45358</v>
      </c>
      <c r="E151" s="71" t="s">
        <v>302</v>
      </c>
      <c r="F151" s="9" t="s">
        <v>428</v>
      </c>
      <c r="G151" s="164">
        <v>1130</v>
      </c>
      <c r="H151" s="159"/>
      <c r="I151" s="160">
        <f t="shared" si="36"/>
        <v>1130</v>
      </c>
      <c r="J151" s="160">
        <f t="shared" si="37"/>
        <v>56.5</v>
      </c>
      <c r="K151" s="160">
        <f t="shared" si="38"/>
        <v>1186.5</v>
      </c>
      <c r="L151" s="13" t="s">
        <v>78</v>
      </c>
    </row>
    <row r="152" spans="2:12" ht="17.25" customHeight="1" x14ac:dyDescent="0.25">
      <c r="B152" s="9" t="s">
        <v>114</v>
      </c>
      <c r="C152" s="40" t="s">
        <v>430</v>
      </c>
      <c r="D152" s="91">
        <v>45356</v>
      </c>
      <c r="E152" s="71" t="s">
        <v>115</v>
      </c>
      <c r="F152" s="9" t="s">
        <v>431</v>
      </c>
      <c r="G152" s="164">
        <v>405</v>
      </c>
      <c r="H152" s="159"/>
      <c r="I152" s="160">
        <f t="shared" si="36"/>
        <v>405</v>
      </c>
      <c r="J152" s="160">
        <f t="shared" si="37"/>
        <v>20.25</v>
      </c>
      <c r="K152" s="160">
        <f t="shared" si="38"/>
        <v>425.25</v>
      </c>
      <c r="L152" s="13" t="s">
        <v>9</v>
      </c>
    </row>
    <row r="153" spans="2:12" ht="17.25" customHeight="1" x14ac:dyDescent="0.25">
      <c r="B153" s="9" t="s">
        <v>10</v>
      </c>
      <c r="C153" s="40" t="s">
        <v>432</v>
      </c>
      <c r="D153" s="91">
        <v>45357</v>
      </c>
      <c r="E153" s="71" t="s">
        <v>16</v>
      </c>
      <c r="F153" s="9" t="s">
        <v>433</v>
      </c>
      <c r="G153" s="164">
        <v>840</v>
      </c>
      <c r="H153" s="159"/>
      <c r="I153" s="160">
        <f t="shared" si="36"/>
        <v>840</v>
      </c>
      <c r="J153" s="160">
        <f t="shared" si="37"/>
        <v>42</v>
      </c>
      <c r="K153" s="160">
        <f t="shared" si="38"/>
        <v>882</v>
      </c>
      <c r="L153" s="13" t="s">
        <v>9</v>
      </c>
    </row>
    <row r="154" spans="2:12" ht="17.25" customHeight="1" x14ac:dyDescent="0.25">
      <c r="B154" s="9" t="s">
        <v>22</v>
      </c>
      <c r="C154" s="40" t="s">
        <v>434</v>
      </c>
      <c r="D154" s="91">
        <v>45360</v>
      </c>
      <c r="E154" s="71" t="s">
        <v>23</v>
      </c>
      <c r="F154" s="9" t="s">
        <v>435</v>
      </c>
      <c r="G154" s="164">
        <v>540</v>
      </c>
      <c r="H154" s="159"/>
      <c r="I154" s="160">
        <f t="shared" si="36"/>
        <v>540</v>
      </c>
      <c r="J154" s="160">
        <f t="shared" si="37"/>
        <v>27</v>
      </c>
      <c r="K154" s="160">
        <f t="shared" si="38"/>
        <v>567</v>
      </c>
      <c r="L154" s="13" t="s">
        <v>9</v>
      </c>
    </row>
    <row r="155" spans="2:12" ht="17.25" customHeight="1" x14ac:dyDescent="0.25">
      <c r="B155" s="9" t="s">
        <v>436</v>
      </c>
      <c r="C155" s="40" t="s">
        <v>437</v>
      </c>
      <c r="D155" s="91">
        <v>45360</v>
      </c>
      <c r="E155" s="71" t="s">
        <v>440</v>
      </c>
      <c r="F155" s="9" t="s">
        <v>441</v>
      </c>
      <c r="G155" s="164">
        <v>925</v>
      </c>
      <c r="H155" s="159"/>
      <c r="I155" s="160">
        <f t="shared" si="36"/>
        <v>925</v>
      </c>
      <c r="J155" s="160">
        <f t="shared" si="37"/>
        <v>46.25</v>
      </c>
      <c r="K155" s="160">
        <f t="shared" si="38"/>
        <v>971.25</v>
      </c>
      <c r="L155" s="13" t="s">
        <v>9</v>
      </c>
    </row>
    <row r="156" spans="2:12" ht="17.25" customHeight="1" x14ac:dyDescent="0.25">
      <c r="B156" s="9" t="s">
        <v>10</v>
      </c>
      <c r="C156" s="40" t="s">
        <v>438</v>
      </c>
      <c r="D156" s="91">
        <v>45360</v>
      </c>
      <c r="E156" s="71" t="s">
        <v>16</v>
      </c>
      <c r="F156" s="9" t="s">
        <v>442</v>
      </c>
      <c r="G156" s="164">
        <v>450</v>
      </c>
      <c r="H156" s="159"/>
      <c r="I156" s="160">
        <f t="shared" si="36"/>
        <v>450</v>
      </c>
      <c r="J156" s="160">
        <f t="shared" si="37"/>
        <v>22.5</v>
      </c>
      <c r="K156" s="160">
        <f t="shared" si="38"/>
        <v>472.5</v>
      </c>
      <c r="L156" s="13" t="s">
        <v>9</v>
      </c>
    </row>
    <row r="157" spans="2:12" ht="17.25" customHeight="1" x14ac:dyDescent="0.25">
      <c r="B157" s="9" t="s">
        <v>443</v>
      </c>
      <c r="C157" s="40" t="s">
        <v>439</v>
      </c>
      <c r="D157" s="91">
        <v>45362</v>
      </c>
      <c r="E157" s="70" t="s">
        <v>74</v>
      </c>
      <c r="F157" s="9" t="s">
        <v>135</v>
      </c>
      <c r="G157" s="164">
        <v>210</v>
      </c>
      <c r="H157" s="159"/>
      <c r="I157" s="160">
        <f t="shared" si="36"/>
        <v>210</v>
      </c>
      <c r="J157" s="160">
        <f t="shared" si="37"/>
        <v>10.5</v>
      </c>
      <c r="K157" s="160">
        <f t="shared" si="38"/>
        <v>220.5</v>
      </c>
      <c r="L157" s="13" t="s">
        <v>9</v>
      </c>
    </row>
    <row r="158" spans="2:12" ht="17.25" customHeight="1" x14ac:dyDescent="0.25">
      <c r="B158" s="9" t="s">
        <v>321</v>
      </c>
      <c r="C158" s="40" t="s">
        <v>444</v>
      </c>
      <c r="D158" s="91">
        <v>45359</v>
      </c>
      <c r="E158" s="70" t="s">
        <v>74</v>
      </c>
      <c r="F158" s="9" t="s">
        <v>225</v>
      </c>
      <c r="G158" s="164">
        <v>550</v>
      </c>
      <c r="H158" s="159"/>
      <c r="I158" s="160">
        <f t="shared" si="36"/>
        <v>550</v>
      </c>
      <c r="J158" s="160">
        <f t="shared" si="37"/>
        <v>27.5</v>
      </c>
      <c r="K158" s="160">
        <f t="shared" si="38"/>
        <v>577.5</v>
      </c>
      <c r="L158" s="13" t="s">
        <v>1046</v>
      </c>
    </row>
    <row r="159" spans="2:12" ht="17.25" customHeight="1" x14ac:dyDescent="0.25">
      <c r="B159" s="9" t="s">
        <v>122</v>
      </c>
      <c r="C159" s="40" t="s">
        <v>445</v>
      </c>
      <c r="D159" s="91">
        <v>45362</v>
      </c>
      <c r="E159" s="70" t="s">
        <v>74</v>
      </c>
      <c r="F159" s="9" t="s">
        <v>449</v>
      </c>
      <c r="G159" s="164">
        <v>662.5</v>
      </c>
      <c r="H159" s="159"/>
      <c r="I159" s="160">
        <f t="shared" si="36"/>
        <v>662.5</v>
      </c>
      <c r="J159" s="160">
        <f t="shared" si="37"/>
        <v>33.125</v>
      </c>
      <c r="K159" s="160">
        <f t="shared" si="38"/>
        <v>695.625</v>
      </c>
      <c r="L159" s="13" t="s">
        <v>9</v>
      </c>
    </row>
    <row r="160" spans="2:12" ht="17.25" customHeight="1" x14ac:dyDescent="0.25">
      <c r="B160" s="9" t="s">
        <v>357</v>
      </c>
      <c r="C160" s="40" t="s">
        <v>446</v>
      </c>
      <c r="D160" s="91">
        <v>45360</v>
      </c>
      <c r="E160" s="71" t="s">
        <v>447</v>
      </c>
      <c r="F160" s="9" t="s">
        <v>448</v>
      </c>
      <c r="G160" s="164">
        <v>185</v>
      </c>
      <c r="H160" s="159"/>
      <c r="I160" s="160">
        <f t="shared" si="36"/>
        <v>185</v>
      </c>
      <c r="J160" s="160">
        <f t="shared" si="37"/>
        <v>9.25</v>
      </c>
      <c r="K160" s="160">
        <f t="shared" si="38"/>
        <v>194.25</v>
      </c>
      <c r="L160" s="13" t="s">
        <v>9</v>
      </c>
    </row>
    <row r="161" spans="2:12" ht="17.25" customHeight="1" x14ac:dyDescent="0.25">
      <c r="B161" s="9" t="s">
        <v>398</v>
      </c>
      <c r="C161" s="73" t="s">
        <v>451</v>
      </c>
      <c r="D161" s="91">
        <v>45362</v>
      </c>
      <c r="E161" s="71" t="s">
        <v>418</v>
      </c>
      <c r="F161" s="9" t="s">
        <v>452</v>
      </c>
      <c r="G161" s="164">
        <v>135</v>
      </c>
      <c r="H161" s="159"/>
      <c r="I161" s="160">
        <f t="shared" si="36"/>
        <v>135</v>
      </c>
      <c r="J161" s="160">
        <f t="shared" si="37"/>
        <v>6.75</v>
      </c>
      <c r="K161" s="160">
        <f t="shared" si="38"/>
        <v>141.75</v>
      </c>
      <c r="L161" s="13" t="s">
        <v>9</v>
      </c>
    </row>
    <row r="162" spans="2:12" ht="17.25" customHeight="1" x14ac:dyDescent="0.25">
      <c r="B162" s="9" t="s">
        <v>10</v>
      </c>
      <c r="C162" s="10" t="s">
        <v>453</v>
      </c>
      <c r="D162" s="89">
        <v>45364</v>
      </c>
      <c r="E162" s="70"/>
      <c r="F162" s="9" t="s">
        <v>455</v>
      </c>
      <c r="G162" s="164">
        <v>3703.5</v>
      </c>
      <c r="H162" s="159"/>
      <c r="I162" s="160">
        <f t="shared" ref="I162:I300" si="39">G162-H162</f>
        <v>3703.5</v>
      </c>
      <c r="J162" s="160">
        <f t="shared" ref="J162:J300" si="40">G162*5%</f>
        <v>185.17500000000001</v>
      </c>
      <c r="K162" s="160">
        <f t="shared" ref="K162:K300" si="41">G162+J162</f>
        <v>3888.6750000000002</v>
      </c>
      <c r="L162" s="13" t="s">
        <v>9</v>
      </c>
    </row>
    <row r="163" spans="2:12" ht="17.25" customHeight="1" x14ac:dyDescent="0.25">
      <c r="B163" s="9" t="s">
        <v>10</v>
      </c>
      <c r="C163" s="10" t="s">
        <v>456</v>
      </c>
      <c r="D163" s="89">
        <v>45364</v>
      </c>
      <c r="E163" s="70"/>
      <c r="F163" s="9" t="s">
        <v>457</v>
      </c>
      <c r="G163" s="164">
        <v>3360</v>
      </c>
      <c r="H163" s="159"/>
      <c r="I163" s="160">
        <f t="shared" si="39"/>
        <v>3360</v>
      </c>
      <c r="J163" s="160">
        <f t="shared" si="40"/>
        <v>168</v>
      </c>
      <c r="K163" s="160">
        <f t="shared" si="41"/>
        <v>3528</v>
      </c>
      <c r="L163" s="13" t="s">
        <v>9</v>
      </c>
    </row>
    <row r="164" spans="2:12" ht="17.25" customHeight="1" x14ac:dyDescent="0.25">
      <c r="B164" s="9" t="s">
        <v>10</v>
      </c>
      <c r="C164" s="10" t="s">
        <v>458</v>
      </c>
      <c r="D164" s="89">
        <v>45364</v>
      </c>
      <c r="E164" s="70"/>
      <c r="F164" s="9" t="s">
        <v>459</v>
      </c>
      <c r="G164" s="164">
        <v>475</v>
      </c>
      <c r="H164" s="159"/>
      <c r="I164" s="160">
        <f t="shared" si="39"/>
        <v>475</v>
      </c>
      <c r="J164" s="160">
        <f t="shared" si="40"/>
        <v>23.75</v>
      </c>
      <c r="K164" s="160">
        <f t="shared" si="41"/>
        <v>498.75</v>
      </c>
      <c r="L164" s="13" t="s">
        <v>9</v>
      </c>
    </row>
    <row r="165" spans="2:12" ht="17.25" customHeight="1" x14ac:dyDescent="0.25">
      <c r="B165" s="9" t="s">
        <v>460</v>
      </c>
      <c r="C165" s="10" t="s">
        <v>461</v>
      </c>
      <c r="D165" s="89">
        <v>45364</v>
      </c>
      <c r="E165" s="70"/>
      <c r="F165" s="9" t="s">
        <v>462</v>
      </c>
      <c r="G165" s="164">
        <v>750</v>
      </c>
      <c r="H165" s="159"/>
      <c r="I165" s="160">
        <f t="shared" si="39"/>
        <v>750</v>
      </c>
      <c r="J165" s="160">
        <f t="shared" si="40"/>
        <v>37.5</v>
      </c>
      <c r="K165" s="160">
        <f t="shared" si="41"/>
        <v>787.5</v>
      </c>
      <c r="L165" s="13" t="s">
        <v>78</v>
      </c>
    </row>
    <row r="166" spans="2:12" ht="17.25" customHeight="1" x14ac:dyDescent="0.25">
      <c r="B166" s="9" t="s">
        <v>114</v>
      </c>
      <c r="C166" s="10" t="s">
        <v>463</v>
      </c>
      <c r="D166" s="89">
        <v>45365</v>
      </c>
      <c r="E166" s="70"/>
      <c r="F166" s="9" t="s">
        <v>467</v>
      </c>
      <c r="G166" s="164">
        <v>405</v>
      </c>
      <c r="H166" s="159"/>
      <c r="I166" s="160">
        <f t="shared" si="39"/>
        <v>405</v>
      </c>
      <c r="J166" s="160">
        <f t="shared" si="40"/>
        <v>20.25</v>
      </c>
      <c r="K166" s="160">
        <f t="shared" si="41"/>
        <v>425.25</v>
      </c>
      <c r="L166" s="13" t="s">
        <v>9</v>
      </c>
    </row>
    <row r="167" spans="2:12" ht="17.25" customHeight="1" x14ac:dyDescent="0.25">
      <c r="B167" s="9" t="s">
        <v>10</v>
      </c>
      <c r="C167" s="10" t="s">
        <v>464</v>
      </c>
      <c r="D167" s="89">
        <v>45366</v>
      </c>
      <c r="E167" s="70"/>
      <c r="F167" s="9" t="s">
        <v>470</v>
      </c>
      <c r="G167" s="164">
        <v>3600</v>
      </c>
      <c r="H167" s="159"/>
      <c r="I167" s="160">
        <f t="shared" si="39"/>
        <v>3600</v>
      </c>
      <c r="J167" s="160">
        <f t="shared" si="40"/>
        <v>180</v>
      </c>
      <c r="K167" s="160">
        <f t="shared" si="41"/>
        <v>3780</v>
      </c>
      <c r="L167" s="13" t="s">
        <v>9</v>
      </c>
    </row>
    <row r="168" spans="2:12" ht="17.25" customHeight="1" x14ac:dyDescent="0.25">
      <c r="B168" s="9" t="s">
        <v>10</v>
      </c>
      <c r="C168" s="10" t="s">
        <v>465</v>
      </c>
      <c r="D168" s="89">
        <v>45366</v>
      </c>
      <c r="E168" s="70"/>
      <c r="F168" s="9" t="s">
        <v>469</v>
      </c>
      <c r="G168" s="164">
        <v>2242.5</v>
      </c>
      <c r="H168" s="159"/>
      <c r="I168" s="160">
        <f t="shared" si="39"/>
        <v>2242.5</v>
      </c>
      <c r="J168" s="160">
        <f t="shared" si="40"/>
        <v>112.125</v>
      </c>
      <c r="K168" s="160">
        <f t="shared" si="41"/>
        <v>2354.625</v>
      </c>
      <c r="L168" s="13" t="s">
        <v>9</v>
      </c>
    </row>
    <row r="169" spans="2:12" ht="17.25" customHeight="1" x14ac:dyDescent="0.25">
      <c r="B169" s="9" t="s">
        <v>29</v>
      </c>
      <c r="C169" s="10" t="s">
        <v>466</v>
      </c>
      <c r="D169" s="89">
        <v>45366</v>
      </c>
      <c r="E169" s="70"/>
      <c r="F169" s="9" t="s">
        <v>468</v>
      </c>
      <c r="G169" s="164">
        <v>275</v>
      </c>
      <c r="H169" s="159"/>
      <c r="I169" s="160">
        <f t="shared" si="39"/>
        <v>275</v>
      </c>
      <c r="J169" s="160">
        <f t="shared" si="40"/>
        <v>13.75</v>
      </c>
      <c r="K169" s="160">
        <f t="shared" si="41"/>
        <v>288.75</v>
      </c>
      <c r="L169" s="13" t="s">
        <v>9</v>
      </c>
    </row>
    <row r="170" spans="2:12" ht="17.25" customHeight="1" x14ac:dyDescent="0.25">
      <c r="B170" s="9" t="s">
        <v>482</v>
      </c>
      <c r="C170" s="10" t="s">
        <v>471</v>
      </c>
      <c r="D170" s="89">
        <v>45369</v>
      </c>
      <c r="E170" s="70"/>
      <c r="F170" s="9" t="s">
        <v>483</v>
      </c>
      <c r="G170" s="164">
        <v>5350</v>
      </c>
      <c r="H170" s="159"/>
      <c r="I170" s="160">
        <f t="shared" si="39"/>
        <v>5350</v>
      </c>
      <c r="J170" s="160">
        <f t="shared" si="40"/>
        <v>267.5</v>
      </c>
      <c r="K170" s="160">
        <f t="shared" si="41"/>
        <v>5617.5</v>
      </c>
      <c r="L170" s="13" t="s">
        <v>9</v>
      </c>
    </row>
    <row r="171" spans="2:12" ht="17.25" customHeight="1" x14ac:dyDescent="0.25">
      <c r="B171" s="9" t="s">
        <v>10</v>
      </c>
      <c r="C171" s="10" t="s">
        <v>472</v>
      </c>
      <c r="D171" s="89">
        <v>45370</v>
      </c>
      <c r="E171" s="70"/>
      <c r="F171" s="9" t="s">
        <v>484</v>
      </c>
      <c r="G171" s="164">
        <v>290</v>
      </c>
      <c r="H171" s="159"/>
      <c r="I171" s="160">
        <f t="shared" si="39"/>
        <v>290</v>
      </c>
      <c r="J171" s="160">
        <f t="shared" si="40"/>
        <v>14.5</v>
      </c>
      <c r="K171" s="160">
        <f t="shared" si="41"/>
        <v>304.5</v>
      </c>
      <c r="L171" s="13" t="s">
        <v>9</v>
      </c>
    </row>
    <row r="172" spans="2:12" ht="17.25" customHeight="1" x14ac:dyDescent="0.25">
      <c r="B172" s="9" t="s">
        <v>443</v>
      </c>
      <c r="C172" s="10" t="s">
        <v>473</v>
      </c>
      <c r="D172" s="89">
        <v>45371</v>
      </c>
      <c r="E172" s="70"/>
      <c r="F172" s="9" t="s">
        <v>485</v>
      </c>
      <c r="G172" s="164">
        <v>195</v>
      </c>
      <c r="H172" s="159"/>
      <c r="I172" s="160">
        <f t="shared" si="39"/>
        <v>195</v>
      </c>
      <c r="J172" s="160">
        <f t="shared" si="40"/>
        <v>9.75</v>
      </c>
      <c r="K172" s="160">
        <f t="shared" si="41"/>
        <v>204.75</v>
      </c>
      <c r="L172" s="13" t="s">
        <v>9</v>
      </c>
    </row>
    <row r="173" spans="2:12" ht="17.25" customHeight="1" x14ac:dyDescent="0.25">
      <c r="B173" s="9" t="s">
        <v>486</v>
      </c>
      <c r="C173" s="10" t="s">
        <v>474</v>
      </c>
      <c r="D173" s="89">
        <v>45377</v>
      </c>
      <c r="E173" s="70"/>
      <c r="F173" s="9" t="s">
        <v>487</v>
      </c>
      <c r="G173" s="164">
        <v>1725</v>
      </c>
      <c r="H173" s="159"/>
      <c r="I173" s="160">
        <f t="shared" si="39"/>
        <v>1725</v>
      </c>
      <c r="J173" s="160">
        <f t="shared" si="40"/>
        <v>86.25</v>
      </c>
      <c r="K173" s="160">
        <f t="shared" si="41"/>
        <v>1811.25</v>
      </c>
      <c r="L173" s="13" t="s">
        <v>78</v>
      </c>
    </row>
    <row r="174" spans="2:12" ht="17.25" customHeight="1" x14ac:dyDescent="0.25">
      <c r="B174" s="9" t="s">
        <v>524</v>
      </c>
      <c r="C174" s="10" t="s">
        <v>475</v>
      </c>
      <c r="D174" s="89">
        <v>45371</v>
      </c>
      <c r="E174" s="70"/>
      <c r="F174" s="9" t="s">
        <v>489</v>
      </c>
      <c r="G174" s="164">
        <v>1925</v>
      </c>
      <c r="H174" s="159"/>
      <c r="I174" s="160">
        <f t="shared" si="39"/>
        <v>1925</v>
      </c>
      <c r="J174" s="160">
        <f t="shared" si="40"/>
        <v>96.25</v>
      </c>
      <c r="K174" s="160">
        <f t="shared" si="41"/>
        <v>2021.25</v>
      </c>
      <c r="L174" s="13" t="s">
        <v>9</v>
      </c>
    </row>
    <row r="175" spans="2:12" ht="17.25" customHeight="1" x14ac:dyDescent="0.25">
      <c r="B175" s="9" t="s">
        <v>492</v>
      </c>
      <c r="C175" s="10" t="s">
        <v>476</v>
      </c>
      <c r="D175" s="89">
        <v>45372</v>
      </c>
      <c r="E175" s="70"/>
      <c r="F175" s="9" t="s">
        <v>491</v>
      </c>
      <c r="G175" s="164">
        <v>275</v>
      </c>
      <c r="H175" s="159"/>
      <c r="I175" s="160">
        <f t="shared" si="39"/>
        <v>275</v>
      </c>
      <c r="J175" s="160">
        <f t="shared" si="40"/>
        <v>13.75</v>
      </c>
      <c r="K175" s="160">
        <f t="shared" si="41"/>
        <v>288.75</v>
      </c>
      <c r="L175" s="13" t="s">
        <v>9</v>
      </c>
    </row>
    <row r="176" spans="2:12" ht="17.25" customHeight="1" x14ac:dyDescent="0.25">
      <c r="B176" s="9" t="s">
        <v>492</v>
      </c>
      <c r="C176" s="10" t="s">
        <v>477</v>
      </c>
      <c r="D176" s="89">
        <v>45372</v>
      </c>
      <c r="E176" s="70"/>
      <c r="F176" s="9" t="s">
        <v>493</v>
      </c>
      <c r="G176" s="164">
        <v>10260</v>
      </c>
      <c r="H176" s="159"/>
      <c r="I176" s="160">
        <f t="shared" si="39"/>
        <v>10260</v>
      </c>
      <c r="J176" s="160">
        <f t="shared" si="40"/>
        <v>513</v>
      </c>
      <c r="K176" s="160">
        <f t="shared" si="41"/>
        <v>10773</v>
      </c>
      <c r="L176" s="13" t="s">
        <v>9</v>
      </c>
    </row>
    <row r="177" spans="2:12" ht="17.25" customHeight="1" x14ac:dyDescent="0.25">
      <c r="B177" s="9" t="s">
        <v>494</v>
      </c>
      <c r="C177" s="10" t="s">
        <v>478</v>
      </c>
      <c r="D177" s="89">
        <v>45374</v>
      </c>
      <c r="E177" s="70"/>
      <c r="F177" s="9" t="s">
        <v>77</v>
      </c>
      <c r="G177" s="164">
        <v>285</v>
      </c>
      <c r="H177" s="159"/>
      <c r="I177" s="160">
        <f t="shared" si="39"/>
        <v>285</v>
      </c>
      <c r="J177" s="160">
        <f t="shared" si="40"/>
        <v>14.25</v>
      </c>
      <c r="K177" s="160">
        <f t="shared" si="41"/>
        <v>299.25</v>
      </c>
      <c r="L177" s="13" t="s">
        <v>9</v>
      </c>
    </row>
    <row r="178" spans="2:12" ht="17.25" customHeight="1" x14ac:dyDescent="0.25">
      <c r="B178" s="9" t="s">
        <v>81</v>
      </c>
      <c r="C178" s="10" t="s">
        <v>479</v>
      </c>
      <c r="D178" s="89">
        <v>45376</v>
      </c>
      <c r="E178" s="70" t="s">
        <v>82</v>
      </c>
      <c r="F178" s="9" t="s">
        <v>495</v>
      </c>
      <c r="G178" s="164">
        <v>1250</v>
      </c>
      <c r="H178" s="159"/>
      <c r="I178" s="160">
        <f t="shared" si="39"/>
        <v>1250</v>
      </c>
      <c r="J178" s="160">
        <f t="shared" si="40"/>
        <v>62.5</v>
      </c>
      <c r="K178" s="160">
        <f t="shared" si="41"/>
        <v>1312.5</v>
      </c>
      <c r="L178" s="13" t="s">
        <v>78</v>
      </c>
    </row>
    <row r="179" spans="2:12" ht="17.25" customHeight="1" x14ac:dyDescent="0.25">
      <c r="B179" s="9" t="s">
        <v>482</v>
      </c>
      <c r="C179" s="10" t="s">
        <v>480</v>
      </c>
      <c r="D179" s="89">
        <v>45374</v>
      </c>
      <c r="E179" s="70" t="s">
        <v>82</v>
      </c>
      <c r="F179" s="9" t="s">
        <v>483</v>
      </c>
      <c r="G179" s="164">
        <v>1275</v>
      </c>
      <c r="H179" s="159"/>
      <c r="I179" s="160">
        <f t="shared" si="39"/>
        <v>1275</v>
      </c>
      <c r="J179" s="160">
        <f t="shared" si="40"/>
        <v>63.75</v>
      </c>
      <c r="K179" s="160">
        <f t="shared" si="41"/>
        <v>1338.75</v>
      </c>
      <c r="L179" s="13" t="s">
        <v>9</v>
      </c>
    </row>
    <row r="180" spans="2:12" ht="17.25" customHeight="1" x14ac:dyDescent="0.25">
      <c r="B180" s="9" t="s">
        <v>492</v>
      </c>
      <c r="C180" s="10" t="s">
        <v>481</v>
      </c>
      <c r="D180" s="89">
        <v>45377</v>
      </c>
      <c r="E180" s="70" t="s">
        <v>82</v>
      </c>
      <c r="F180" s="9" t="s">
        <v>496</v>
      </c>
      <c r="G180" s="164">
        <v>185</v>
      </c>
      <c r="H180" s="159"/>
      <c r="I180" s="160">
        <f t="shared" si="39"/>
        <v>185</v>
      </c>
      <c r="J180" s="160">
        <f t="shared" si="40"/>
        <v>9.25</v>
      </c>
      <c r="K180" s="160">
        <f t="shared" si="41"/>
        <v>194.25</v>
      </c>
      <c r="L180" s="13" t="s">
        <v>9</v>
      </c>
    </row>
    <row r="181" spans="2:12" ht="17.25" customHeight="1" x14ac:dyDescent="0.25">
      <c r="B181" s="9" t="s">
        <v>10</v>
      </c>
      <c r="C181" s="10" t="s">
        <v>500</v>
      </c>
      <c r="D181" s="89">
        <v>45378</v>
      </c>
      <c r="E181" s="70" t="s">
        <v>82</v>
      </c>
      <c r="F181" s="9" t="s">
        <v>508</v>
      </c>
      <c r="G181" s="159">
        <v>145</v>
      </c>
      <c r="H181" s="159"/>
      <c r="I181" s="160">
        <f t="shared" si="39"/>
        <v>145</v>
      </c>
      <c r="J181" s="160">
        <f t="shared" si="40"/>
        <v>7.25</v>
      </c>
      <c r="K181" s="160">
        <f t="shared" si="41"/>
        <v>152.25</v>
      </c>
      <c r="L181" s="13" t="s">
        <v>9</v>
      </c>
    </row>
    <row r="182" spans="2:12" ht="17.25" customHeight="1" x14ac:dyDescent="0.25">
      <c r="B182" s="9" t="s">
        <v>10</v>
      </c>
      <c r="C182" s="10" t="s">
        <v>501</v>
      </c>
      <c r="D182" s="89">
        <v>45378</v>
      </c>
      <c r="E182" s="70" t="s">
        <v>82</v>
      </c>
      <c r="F182" s="9" t="s">
        <v>509</v>
      </c>
      <c r="G182" s="159">
        <v>450</v>
      </c>
      <c r="H182" s="159"/>
      <c r="I182" s="160">
        <f t="shared" si="39"/>
        <v>450</v>
      </c>
      <c r="J182" s="160">
        <f t="shared" si="40"/>
        <v>22.5</v>
      </c>
      <c r="K182" s="160">
        <f t="shared" si="41"/>
        <v>472.5</v>
      </c>
      <c r="L182" s="13" t="s">
        <v>9</v>
      </c>
    </row>
    <row r="183" spans="2:12" ht="17.25" customHeight="1" x14ac:dyDescent="0.25">
      <c r="B183" s="9" t="s">
        <v>10</v>
      </c>
      <c r="C183" s="10" t="s">
        <v>502</v>
      </c>
      <c r="D183" s="89">
        <v>45378</v>
      </c>
      <c r="E183" s="70" t="s">
        <v>82</v>
      </c>
      <c r="F183" s="9" t="s">
        <v>510</v>
      </c>
      <c r="G183" s="159">
        <f>210*3</f>
        <v>630</v>
      </c>
      <c r="H183" s="159"/>
      <c r="I183" s="160">
        <f t="shared" si="39"/>
        <v>630</v>
      </c>
      <c r="J183" s="160">
        <f t="shared" si="40"/>
        <v>31.5</v>
      </c>
      <c r="K183" s="160">
        <f t="shared" si="41"/>
        <v>661.5</v>
      </c>
      <c r="L183" s="13" t="s">
        <v>9</v>
      </c>
    </row>
    <row r="184" spans="2:12" ht="17.25" customHeight="1" x14ac:dyDescent="0.25">
      <c r="B184" s="9" t="s">
        <v>512</v>
      </c>
      <c r="C184" s="10" t="s">
        <v>503</v>
      </c>
      <c r="D184" s="89">
        <v>45377</v>
      </c>
      <c r="E184" s="70" t="s">
        <v>82</v>
      </c>
      <c r="F184" s="9" t="s">
        <v>511</v>
      </c>
      <c r="G184" s="159">
        <v>435</v>
      </c>
      <c r="H184" s="159"/>
      <c r="I184" s="160">
        <f t="shared" si="39"/>
        <v>435</v>
      </c>
      <c r="J184" s="160">
        <f t="shared" si="40"/>
        <v>21.75</v>
      </c>
      <c r="K184" s="160">
        <f t="shared" si="41"/>
        <v>456.75</v>
      </c>
      <c r="L184" s="13" t="s">
        <v>9</v>
      </c>
    </row>
    <row r="185" spans="2:12" ht="17.25" customHeight="1" x14ac:dyDescent="0.25">
      <c r="B185" s="9" t="s">
        <v>114</v>
      </c>
      <c r="C185" s="10" t="s">
        <v>504</v>
      </c>
      <c r="D185" s="89">
        <v>45378</v>
      </c>
      <c r="E185" s="70" t="s">
        <v>82</v>
      </c>
      <c r="F185" s="9" t="s">
        <v>514</v>
      </c>
      <c r="G185" s="159">
        <f>1190+425</f>
        <v>1615</v>
      </c>
      <c r="H185" s="159"/>
      <c r="I185" s="160">
        <f t="shared" si="39"/>
        <v>1615</v>
      </c>
      <c r="J185" s="160">
        <f t="shared" si="40"/>
        <v>80.75</v>
      </c>
      <c r="K185" s="160">
        <f t="shared" si="41"/>
        <v>1695.75</v>
      </c>
      <c r="L185" s="13" t="s">
        <v>9</v>
      </c>
    </row>
    <row r="186" spans="2:12" ht="17.25" customHeight="1" x14ac:dyDescent="0.25">
      <c r="B186" s="9" t="s">
        <v>515</v>
      </c>
      <c r="C186" s="10" t="s">
        <v>505</v>
      </c>
      <c r="D186" s="89">
        <v>45378</v>
      </c>
      <c r="E186" s="70" t="s">
        <v>82</v>
      </c>
      <c r="F186" s="9" t="s">
        <v>516</v>
      </c>
      <c r="G186" s="159">
        <f>3950+2970</f>
        <v>6920</v>
      </c>
      <c r="H186" s="159"/>
      <c r="I186" s="160">
        <f t="shared" si="39"/>
        <v>6920</v>
      </c>
      <c r="J186" s="160">
        <f t="shared" si="40"/>
        <v>346</v>
      </c>
      <c r="K186" s="160">
        <f t="shared" si="41"/>
        <v>7266</v>
      </c>
      <c r="L186" s="13" t="s">
        <v>78</v>
      </c>
    </row>
    <row r="187" spans="2:12" ht="17.25" customHeight="1" x14ac:dyDescent="0.25">
      <c r="B187" s="9" t="s">
        <v>81</v>
      </c>
      <c r="C187" s="10" t="s">
        <v>506</v>
      </c>
      <c r="D187" s="89">
        <v>45379</v>
      </c>
      <c r="E187" s="70" t="s">
        <v>82</v>
      </c>
      <c r="F187" s="9" t="s">
        <v>517</v>
      </c>
      <c r="G187" s="159">
        <v>350</v>
      </c>
      <c r="H187" s="159"/>
      <c r="I187" s="160">
        <f t="shared" si="39"/>
        <v>350</v>
      </c>
      <c r="J187" s="160">
        <f t="shared" si="40"/>
        <v>17.5</v>
      </c>
      <c r="K187" s="160">
        <f t="shared" si="41"/>
        <v>367.5</v>
      </c>
      <c r="L187" s="13" t="s">
        <v>78</v>
      </c>
    </row>
    <row r="188" spans="2:12" ht="17.25" customHeight="1" x14ac:dyDescent="0.25">
      <c r="B188" s="9" t="s">
        <v>513</v>
      </c>
      <c r="C188" s="10" t="s">
        <v>507</v>
      </c>
      <c r="D188" s="89">
        <v>45379</v>
      </c>
      <c r="E188" s="70" t="s">
        <v>82</v>
      </c>
      <c r="F188" s="9" t="s">
        <v>518</v>
      </c>
      <c r="G188" s="159">
        <f>1440</f>
        <v>1440</v>
      </c>
      <c r="H188" s="159"/>
      <c r="I188" s="160">
        <f t="shared" si="39"/>
        <v>1440</v>
      </c>
      <c r="J188" s="160">
        <f t="shared" si="40"/>
        <v>72</v>
      </c>
      <c r="K188" s="160">
        <f t="shared" si="41"/>
        <v>1512</v>
      </c>
      <c r="L188" s="13" t="s">
        <v>78</v>
      </c>
    </row>
    <row r="189" spans="2:12" ht="17.25" customHeight="1" x14ac:dyDescent="0.25">
      <c r="B189" s="9" t="s">
        <v>81</v>
      </c>
      <c r="C189" s="10" t="s">
        <v>519</v>
      </c>
      <c r="D189" s="89">
        <v>45379</v>
      </c>
      <c r="E189" s="70" t="s">
        <v>82</v>
      </c>
      <c r="F189" s="9" t="s">
        <v>523</v>
      </c>
      <c r="G189" s="159">
        <f>1100+6775</f>
        <v>7875</v>
      </c>
      <c r="H189" s="159"/>
      <c r="I189" s="160">
        <f t="shared" si="39"/>
        <v>7875</v>
      </c>
      <c r="J189" s="160">
        <f t="shared" si="40"/>
        <v>393.75</v>
      </c>
      <c r="K189" s="160">
        <f t="shared" si="41"/>
        <v>8268.75</v>
      </c>
      <c r="L189" s="13" t="s">
        <v>78</v>
      </c>
    </row>
    <row r="190" spans="2:12" ht="17.25" customHeight="1" x14ac:dyDescent="0.25">
      <c r="B190" s="9" t="s">
        <v>524</v>
      </c>
      <c r="C190" s="10" t="s">
        <v>520</v>
      </c>
      <c r="D190" s="89">
        <v>45381</v>
      </c>
      <c r="E190" s="70"/>
      <c r="F190" s="9" t="s">
        <v>525</v>
      </c>
      <c r="G190" s="159">
        <v>2300</v>
      </c>
      <c r="H190" s="159"/>
      <c r="I190" s="160">
        <f t="shared" si="39"/>
        <v>2300</v>
      </c>
      <c r="J190" s="160">
        <f t="shared" si="40"/>
        <v>115</v>
      </c>
      <c r="K190" s="160">
        <f t="shared" si="41"/>
        <v>2415</v>
      </c>
      <c r="L190" s="13" t="s">
        <v>9</v>
      </c>
    </row>
    <row r="191" spans="2:12" ht="17.25" customHeight="1" x14ac:dyDescent="0.25">
      <c r="B191" s="9" t="s">
        <v>43</v>
      </c>
      <c r="C191" s="10" t="s">
        <v>521</v>
      </c>
      <c r="D191" s="89">
        <v>45381</v>
      </c>
      <c r="E191" s="70"/>
      <c r="F191" s="9" t="s">
        <v>526</v>
      </c>
      <c r="G191" s="159">
        <v>792.5</v>
      </c>
      <c r="H191" s="159"/>
      <c r="I191" s="160">
        <f t="shared" si="39"/>
        <v>792.5</v>
      </c>
      <c r="J191" s="160">
        <f t="shared" si="40"/>
        <v>39.625</v>
      </c>
      <c r="K191" s="160">
        <f t="shared" si="41"/>
        <v>832.125</v>
      </c>
      <c r="L191" s="13" t="s">
        <v>9</v>
      </c>
    </row>
    <row r="192" spans="2:12" ht="17.25" customHeight="1" x14ac:dyDescent="0.25">
      <c r="B192" s="9" t="s">
        <v>10</v>
      </c>
      <c r="C192" s="10" t="s">
        <v>522</v>
      </c>
      <c r="D192" s="89">
        <v>45381</v>
      </c>
      <c r="E192" s="70"/>
      <c r="F192" s="9" t="s">
        <v>527</v>
      </c>
      <c r="G192" s="159">
        <f>1575</f>
        <v>1575</v>
      </c>
      <c r="H192" s="159"/>
      <c r="I192" s="160">
        <f t="shared" si="39"/>
        <v>1575</v>
      </c>
      <c r="J192" s="160">
        <f t="shared" si="40"/>
        <v>78.75</v>
      </c>
      <c r="K192" s="160">
        <f t="shared" si="41"/>
        <v>1653.75</v>
      </c>
      <c r="L192" s="13" t="s">
        <v>9</v>
      </c>
    </row>
    <row r="193" spans="1:12" ht="17.25" customHeight="1" x14ac:dyDescent="0.25">
      <c r="B193" s="9" t="s">
        <v>102</v>
      </c>
      <c r="C193" s="10" t="s">
        <v>528</v>
      </c>
      <c r="D193" s="89">
        <v>45381</v>
      </c>
      <c r="E193" s="70"/>
      <c r="F193" s="9" t="s">
        <v>532</v>
      </c>
      <c r="G193" s="159">
        <f>585</f>
        <v>585</v>
      </c>
      <c r="H193" s="159"/>
      <c r="I193" s="160">
        <f t="shared" si="39"/>
        <v>585</v>
      </c>
      <c r="J193" s="160">
        <f t="shared" si="40"/>
        <v>29.25</v>
      </c>
      <c r="K193" s="160">
        <f t="shared" si="41"/>
        <v>614.25</v>
      </c>
      <c r="L193" s="13" t="s">
        <v>9</v>
      </c>
    </row>
    <row r="194" spans="1:12" ht="17.25" customHeight="1" x14ac:dyDescent="0.25">
      <c r="B194" s="9" t="s">
        <v>236</v>
      </c>
      <c r="C194" s="10" t="s">
        <v>529</v>
      </c>
      <c r="D194" s="89">
        <v>45381</v>
      </c>
      <c r="E194" s="70"/>
      <c r="F194" s="9" t="s">
        <v>533</v>
      </c>
      <c r="G194" s="159">
        <v>60</v>
      </c>
      <c r="H194" s="159"/>
      <c r="I194" s="160">
        <f t="shared" si="39"/>
        <v>60</v>
      </c>
      <c r="J194" s="160">
        <f t="shared" si="40"/>
        <v>3</v>
      </c>
      <c r="K194" s="160">
        <f t="shared" si="41"/>
        <v>63</v>
      </c>
      <c r="L194" s="13" t="s">
        <v>9</v>
      </c>
    </row>
    <row r="195" spans="1:12" ht="17.25" customHeight="1" x14ac:dyDescent="0.25">
      <c r="B195" s="9" t="s">
        <v>236</v>
      </c>
      <c r="C195" s="10" t="s">
        <v>530</v>
      </c>
      <c r="D195" s="89">
        <v>45381</v>
      </c>
      <c r="E195" s="70"/>
      <c r="F195" s="9" t="s">
        <v>534</v>
      </c>
      <c r="G195" s="159">
        <v>90</v>
      </c>
      <c r="H195" s="159"/>
      <c r="I195" s="160">
        <f t="shared" si="39"/>
        <v>90</v>
      </c>
      <c r="J195" s="160">
        <f t="shared" si="40"/>
        <v>4.5</v>
      </c>
      <c r="K195" s="160">
        <f t="shared" si="41"/>
        <v>94.5</v>
      </c>
      <c r="L195" s="13" t="s">
        <v>9</v>
      </c>
    </row>
    <row r="196" spans="1:12" ht="17.25" customHeight="1" x14ac:dyDescent="0.25">
      <c r="A196" t="s">
        <v>1027</v>
      </c>
      <c r="B196" s="9" t="s">
        <v>535</v>
      </c>
      <c r="C196" s="10" t="s">
        <v>531</v>
      </c>
      <c r="D196" s="89">
        <v>45381</v>
      </c>
      <c r="E196" s="71" t="s">
        <v>561</v>
      </c>
      <c r="F196" s="9" t="s">
        <v>536</v>
      </c>
      <c r="G196" s="159">
        <v>2358.75</v>
      </c>
      <c r="H196" s="159"/>
      <c r="I196" s="160">
        <f t="shared" si="39"/>
        <v>2358.75</v>
      </c>
      <c r="J196" s="160">
        <f t="shared" si="40"/>
        <v>117.9375</v>
      </c>
      <c r="K196" s="160">
        <f t="shared" si="41"/>
        <v>2476.6875</v>
      </c>
      <c r="L196" s="13" t="s">
        <v>78</v>
      </c>
    </row>
    <row r="197" spans="1:12" ht="17.25" customHeight="1" x14ac:dyDescent="0.25">
      <c r="B197" s="9" t="s">
        <v>552</v>
      </c>
      <c r="C197" s="10" t="s">
        <v>541</v>
      </c>
      <c r="D197" s="89">
        <v>45384</v>
      </c>
      <c r="E197" s="71" t="s">
        <v>553</v>
      </c>
      <c r="F197" s="9" t="s">
        <v>554</v>
      </c>
      <c r="G197" s="160">
        <v>1750.5</v>
      </c>
      <c r="H197" s="160"/>
      <c r="I197" s="160">
        <f t="shared" si="39"/>
        <v>1750.5</v>
      </c>
      <c r="J197" s="160">
        <f t="shared" si="40"/>
        <v>87.525000000000006</v>
      </c>
      <c r="K197" s="160">
        <f t="shared" si="41"/>
        <v>1838.0250000000001</v>
      </c>
      <c r="L197" s="13" t="s">
        <v>78</v>
      </c>
    </row>
    <row r="198" spans="1:12" ht="17.25" customHeight="1" x14ac:dyDescent="0.25">
      <c r="B198" s="9" t="s">
        <v>10</v>
      </c>
      <c r="C198" s="10" t="s">
        <v>542</v>
      </c>
      <c r="D198" s="89">
        <v>45385</v>
      </c>
      <c r="E198" s="71" t="s">
        <v>16</v>
      </c>
      <c r="F198" s="9" t="s">
        <v>555</v>
      </c>
      <c r="G198" s="160">
        <v>1506</v>
      </c>
      <c r="H198" s="160"/>
      <c r="I198" s="160">
        <f t="shared" si="39"/>
        <v>1506</v>
      </c>
      <c r="J198" s="160">
        <f t="shared" si="40"/>
        <v>75.3</v>
      </c>
      <c r="K198" s="160">
        <f t="shared" si="41"/>
        <v>1581.3</v>
      </c>
      <c r="L198" s="13" t="s">
        <v>9</v>
      </c>
    </row>
    <row r="199" spans="1:12" ht="17.25" customHeight="1" x14ac:dyDescent="0.25">
      <c r="B199" s="9" t="s">
        <v>184</v>
      </c>
      <c r="C199" s="10" t="s">
        <v>543</v>
      </c>
      <c r="D199" s="89">
        <v>45386</v>
      </c>
      <c r="E199" s="71" t="s">
        <v>185</v>
      </c>
      <c r="F199" s="9" t="s">
        <v>556</v>
      </c>
      <c r="G199" s="160">
        <v>1050</v>
      </c>
      <c r="H199" s="160"/>
      <c r="I199" s="160">
        <f t="shared" si="39"/>
        <v>1050</v>
      </c>
      <c r="J199" s="160">
        <f t="shared" si="40"/>
        <v>52.5</v>
      </c>
      <c r="K199" s="160">
        <f t="shared" si="41"/>
        <v>1102.5</v>
      </c>
      <c r="L199" s="13" t="s">
        <v>1046</v>
      </c>
    </row>
    <row r="200" spans="1:12" ht="17.25" customHeight="1" x14ac:dyDescent="0.25">
      <c r="B200" s="9" t="s">
        <v>10</v>
      </c>
      <c r="C200" s="10" t="s">
        <v>544</v>
      </c>
      <c r="D200" s="89">
        <v>45385</v>
      </c>
      <c r="E200" s="71" t="s">
        <v>16</v>
      </c>
      <c r="F200" s="9" t="s">
        <v>557</v>
      </c>
      <c r="G200" s="160">
        <v>235</v>
      </c>
      <c r="H200" s="160"/>
      <c r="I200" s="160">
        <f t="shared" si="39"/>
        <v>235</v>
      </c>
      <c r="J200" s="160">
        <f t="shared" si="40"/>
        <v>11.75</v>
      </c>
      <c r="K200" s="160">
        <f t="shared" si="41"/>
        <v>246.75</v>
      </c>
      <c r="L200" s="13" t="s">
        <v>9</v>
      </c>
    </row>
    <row r="201" spans="1:12" ht="17.25" customHeight="1" x14ac:dyDescent="0.25">
      <c r="B201" s="9" t="s">
        <v>558</v>
      </c>
      <c r="C201" s="10" t="s">
        <v>545</v>
      </c>
      <c r="D201" s="89">
        <v>45387</v>
      </c>
      <c r="E201" s="71" t="s">
        <v>559</v>
      </c>
      <c r="F201" s="9" t="s">
        <v>560</v>
      </c>
      <c r="G201" s="160">
        <v>1167</v>
      </c>
      <c r="H201" s="160"/>
      <c r="I201" s="160">
        <f t="shared" si="39"/>
        <v>1167</v>
      </c>
      <c r="J201" s="160">
        <f t="shared" si="40"/>
        <v>58.35</v>
      </c>
      <c r="K201" s="160">
        <f t="shared" si="41"/>
        <v>1225.3499999999999</v>
      </c>
      <c r="L201" s="13" t="s">
        <v>78</v>
      </c>
    </row>
    <row r="202" spans="1:12" ht="17.25" customHeight="1" x14ac:dyDescent="0.25">
      <c r="B202" s="9" t="s">
        <v>535</v>
      </c>
      <c r="C202" s="10" t="s">
        <v>546</v>
      </c>
      <c r="D202" s="89">
        <v>45381</v>
      </c>
      <c r="E202" s="71" t="s">
        <v>561</v>
      </c>
      <c r="F202" s="9" t="s">
        <v>536</v>
      </c>
      <c r="G202" s="160">
        <v>5827.5</v>
      </c>
      <c r="H202" s="160"/>
      <c r="I202" s="160">
        <f t="shared" si="39"/>
        <v>5827.5</v>
      </c>
      <c r="J202" s="160">
        <f t="shared" si="40"/>
        <v>291.375</v>
      </c>
      <c r="K202" s="160">
        <f t="shared" si="41"/>
        <v>6118.875</v>
      </c>
      <c r="L202" s="13" t="s">
        <v>78</v>
      </c>
    </row>
    <row r="203" spans="1:12" ht="17.25" customHeight="1" x14ac:dyDescent="0.25">
      <c r="B203" s="9" t="s">
        <v>535</v>
      </c>
      <c r="C203" s="10" t="s">
        <v>547</v>
      </c>
      <c r="D203" s="89">
        <v>45381</v>
      </c>
      <c r="E203" s="71" t="s">
        <v>561</v>
      </c>
      <c r="F203" s="9" t="s">
        <v>536</v>
      </c>
      <c r="G203" s="160">
        <v>4440</v>
      </c>
      <c r="H203" s="160"/>
      <c r="I203" s="160">
        <f t="shared" si="39"/>
        <v>4440</v>
      </c>
      <c r="J203" s="160">
        <f t="shared" si="40"/>
        <v>222</v>
      </c>
      <c r="K203" s="160">
        <f t="shared" si="41"/>
        <v>4662</v>
      </c>
      <c r="L203" s="13" t="s">
        <v>78</v>
      </c>
    </row>
    <row r="204" spans="1:12" ht="17.25" customHeight="1" x14ac:dyDescent="0.25">
      <c r="B204" s="9" t="s">
        <v>562</v>
      </c>
      <c r="C204" s="10" t="s">
        <v>548</v>
      </c>
      <c r="D204" s="89">
        <v>45381</v>
      </c>
      <c r="E204" s="71" t="s">
        <v>561</v>
      </c>
      <c r="F204" s="9" t="s">
        <v>536</v>
      </c>
      <c r="G204" s="160">
        <v>8463.75</v>
      </c>
      <c r="H204" s="160"/>
      <c r="I204" s="160">
        <f t="shared" si="39"/>
        <v>8463.75</v>
      </c>
      <c r="J204" s="160">
        <f t="shared" si="40"/>
        <v>423.1875</v>
      </c>
      <c r="K204" s="160">
        <f t="shared" si="41"/>
        <v>8886.9375</v>
      </c>
      <c r="L204" s="13" t="s">
        <v>78</v>
      </c>
    </row>
    <row r="205" spans="1:12" ht="17.25" customHeight="1" x14ac:dyDescent="0.25">
      <c r="B205" s="9" t="s">
        <v>563</v>
      </c>
      <c r="C205" s="10" t="s">
        <v>549</v>
      </c>
      <c r="D205" s="89">
        <v>45381</v>
      </c>
      <c r="E205" s="70" t="s">
        <v>74</v>
      </c>
      <c r="F205" s="9" t="s">
        <v>536</v>
      </c>
      <c r="G205" s="160">
        <v>693.81</v>
      </c>
      <c r="H205" s="160"/>
      <c r="I205" s="160">
        <f t="shared" si="39"/>
        <v>693.81</v>
      </c>
      <c r="J205" s="160">
        <f t="shared" si="40"/>
        <v>34.6905</v>
      </c>
      <c r="K205" s="160">
        <f t="shared" si="41"/>
        <v>728.50049999999999</v>
      </c>
      <c r="L205" s="13" t="s">
        <v>78</v>
      </c>
    </row>
    <row r="206" spans="1:12" ht="17.25" customHeight="1" x14ac:dyDescent="0.25">
      <c r="B206" s="9" t="s">
        <v>564</v>
      </c>
      <c r="C206" s="10" t="s">
        <v>550</v>
      </c>
      <c r="D206" s="89">
        <v>45381</v>
      </c>
      <c r="E206" s="71" t="s">
        <v>565</v>
      </c>
      <c r="F206" s="9" t="s">
        <v>536</v>
      </c>
      <c r="G206" s="160">
        <v>2497.7199999999998</v>
      </c>
      <c r="H206" s="160"/>
      <c r="I206" s="160">
        <f t="shared" si="39"/>
        <v>2497.7199999999998</v>
      </c>
      <c r="J206" s="160">
        <f t="shared" si="40"/>
        <v>124.886</v>
      </c>
      <c r="K206" s="180">
        <f t="shared" si="41"/>
        <v>2622.6059999999998</v>
      </c>
      <c r="L206" s="13" t="s">
        <v>78</v>
      </c>
    </row>
    <row r="207" spans="1:12" ht="17.25" customHeight="1" x14ac:dyDescent="0.25">
      <c r="B207" s="9" t="s">
        <v>563</v>
      </c>
      <c r="C207" s="10" t="s">
        <v>551</v>
      </c>
      <c r="D207" s="89">
        <v>45381</v>
      </c>
      <c r="E207" s="70" t="s">
        <v>74</v>
      </c>
      <c r="F207" s="9" t="s">
        <v>536</v>
      </c>
      <c r="G207" s="160">
        <v>6799.34</v>
      </c>
      <c r="H207" s="160"/>
      <c r="I207" s="160">
        <f t="shared" si="39"/>
        <v>6799.34</v>
      </c>
      <c r="J207" s="160">
        <f t="shared" si="40"/>
        <v>339.96700000000004</v>
      </c>
      <c r="K207" s="180">
        <f t="shared" si="41"/>
        <v>7139.3069999999998</v>
      </c>
      <c r="L207" s="13" t="s">
        <v>78</v>
      </c>
    </row>
    <row r="208" spans="1:12" ht="17.25" customHeight="1" x14ac:dyDescent="0.25">
      <c r="B208" s="9" t="s">
        <v>566</v>
      </c>
      <c r="C208" s="10" t="s">
        <v>567</v>
      </c>
      <c r="D208" s="89">
        <v>45404</v>
      </c>
      <c r="E208" s="71" t="s">
        <v>571</v>
      </c>
      <c r="F208" s="9" t="s">
        <v>626</v>
      </c>
      <c r="G208" s="160">
        <v>11000</v>
      </c>
      <c r="H208" s="160"/>
      <c r="I208" s="160">
        <f t="shared" si="39"/>
        <v>11000</v>
      </c>
      <c r="J208" s="160">
        <f t="shared" si="40"/>
        <v>550</v>
      </c>
      <c r="K208" s="160">
        <f t="shared" si="41"/>
        <v>11550</v>
      </c>
      <c r="L208" s="13" t="s">
        <v>78</v>
      </c>
    </row>
    <row r="209" spans="2:12" ht="17.25" customHeight="1" x14ac:dyDescent="0.25">
      <c r="B209" s="9" t="s">
        <v>572</v>
      </c>
      <c r="C209" s="10" t="s">
        <v>568</v>
      </c>
      <c r="D209" s="89">
        <v>45397</v>
      </c>
      <c r="E209" s="71" t="s">
        <v>573</v>
      </c>
      <c r="F209" s="9" t="s">
        <v>574</v>
      </c>
      <c r="G209" s="160">
        <v>285.5</v>
      </c>
      <c r="H209" s="160"/>
      <c r="I209" s="160">
        <f t="shared" si="39"/>
        <v>285.5</v>
      </c>
      <c r="J209" s="160">
        <f t="shared" si="40"/>
        <v>14.275</v>
      </c>
      <c r="K209" s="160">
        <f t="shared" si="41"/>
        <v>299.77499999999998</v>
      </c>
      <c r="L209" s="13" t="s">
        <v>1046</v>
      </c>
    </row>
    <row r="210" spans="2:12" ht="17.25" customHeight="1" x14ac:dyDescent="0.25">
      <c r="B210" s="9" t="s">
        <v>10</v>
      </c>
      <c r="C210" s="10" t="s">
        <v>569</v>
      </c>
      <c r="D210" s="89">
        <v>45388</v>
      </c>
      <c r="E210" s="71" t="s">
        <v>16</v>
      </c>
      <c r="F210" s="9" t="s">
        <v>575</v>
      </c>
      <c r="G210" s="160">
        <v>175</v>
      </c>
      <c r="H210" s="160"/>
      <c r="I210" s="160">
        <f t="shared" si="39"/>
        <v>175</v>
      </c>
      <c r="J210" s="160">
        <f t="shared" si="40"/>
        <v>8.75</v>
      </c>
      <c r="K210" s="160">
        <f t="shared" si="41"/>
        <v>183.75</v>
      </c>
      <c r="L210" s="13" t="s">
        <v>9</v>
      </c>
    </row>
    <row r="211" spans="2:12" ht="17.25" customHeight="1" x14ac:dyDescent="0.25">
      <c r="B211" s="9" t="s">
        <v>576</v>
      </c>
      <c r="C211" s="10" t="s">
        <v>570</v>
      </c>
      <c r="D211" s="89">
        <v>45401</v>
      </c>
      <c r="E211" s="71" t="s">
        <v>577</v>
      </c>
      <c r="F211" s="9" t="s">
        <v>578</v>
      </c>
      <c r="G211" s="160">
        <v>27360</v>
      </c>
      <c r="H211" s="160"/>
      <c r="I211" s="160">
        <f t="shared" si="39"/>
        <v>27360</v>
      </c>
      <c r="J211" s="160">
        <f t="shared" si="40"/>
        <v>1368</v>
      </c>
      <c r="K211" s="160">
        <f t="shared" si="41"/>
        <v>28728</v>
      </c>
      <c r="L211" s="13" t="s">
        <v>78</v>
      </c>
    </row>
    <row r="212" spans="2:12" ht="17.25" customHeight="1" x14ac:dyDescent="0.25">
      <c r="B212" s="9" t="s">
        <v>199</v>
      </c>
      <c r="C212" s="10" t="s">
        <v>579</v>
      </c>
      <c r="D212" s="89">
        <v>45398</v>
      </c>
      <c r="E212" s="71" t="s">
        <v>201</v>
      </c>
      <c r="F212" s="9" t="s">
        <v>588</v>
      </c>
      <c r="G212" s="160">
        <v>375</v>
      </c>
      <c r="H212" s="160"/>
      <c r="I212" s="160">
        <f t="shared" si="39"/>
        <v>375</v>
      </c>
      <c r="J212" s="160">
        <f t="shared" si="40"/>
        <v>18.75</v>
      </c>
      <c r="K212" s="160">
        <f t="shared" si="41"/>
        <v>393.75</v>
      </c>
      <c r="L212" s="13" t="s">
        <v>78</v>
      </c>
    </row>
    <row r="213" spans="2:12" ht="17.25" customHeight="1" x14ac:dyDescent="0.25">
      <c r="B213" s="9" t="s">
        <v>886</v>
      </c>
      <c r="C213" s="10" t="s">
        <v>580</v>
      </c>
      <c r="D213" s="89">
        <v>45404</v>
      </c>
      <c r="E213" s="71" t="s">
        <v>887</v>
      </c>
      <c r="F213" s="9" t="s">
        <v>590</v>
      </c>
      <c r="G213" s="160">
        <v>1205</v>
      </c>
      <c r="H213" s="160"/>
      <c r="I213" s="160">
        <f t="shared" si="39"/>
        <v>1205</v>
      </c>
      <c r="J213" s="160">
        <f t="shared" si="40"/>
        <v>60.25</v>
      </c>
      <c r="K213" s="160">
        <f t="shared" si="41"/>
        <v>1265.25</v>
      </c>
      <c r="L213" s="13" t="s">
        <v>78</v>
      </c>
    </row>
    <row r="214" spans="2:12" ht="17.25" customHeight="1" x14ac:dyDescent="0.25">
      <c r="B214" s="9" t="s">
        <v>591</v>
      </c>
      <c r="C214" s="10" t="s">
        <v>581</v>
      </c>
      <c r="D214" s="89">
        <v>45400</v>
      </c>
      <c r="E214" s="71" t="s">
        <v>592</v>
      </c>
      <c r="F214" s="9" t="s">
        <v>593</v>
      </c>
      <c r="G214" s="160">
        <v>380</v>
      </c>
      <c r="H214" s="160"/>
      <c r="I214" s="160">
        <f t="shared" si="39"/>
        <v>380</v>
      </c>
      <c r="J214" s="160">
        <f t="shared" si="40"/>
        <v>19</v>
      </c>
      <c r="K214" s="160">
        <f t="shared" si="41"/>
        <v>399</v>
      </c>
      <c r="L214" s="13" t="s">
        <v>78</v>
      </c>
    </row>
    <row r="215" spans="2:12" ht="17.25" customHeight="1" x14ac:dyDescent="0.25">
      <c r="B215" s="9" t="s">
        <v>119</v>
      </c>
      <c r="C215" s="10" t="s">
        <v>582</v>
      </c>
      <c r="D215" s="89">
        <v>45400</v>
      </c>
      <c r="E215" s="70" t="s">
        <v>74</v>
      </c>
      <c r="F215" s="9" t="s">
        <v>532</v>
      </c>
      <c r="G215" s="160">
        <v>325</v>
      </c>
      <c r="H215" s="160"/>
      <c r="I215" s="160">
        <f t="shared" si="39"/>
        <v>325</v>
      </c>
      <c r="J215" s="160">
        <f t="shared" si="40"/>
        <v>16.25</v>
      </c>
      <c r="K215" s="160">
        <f t="shared" si="41"/>
        <v>341.25</v>
      </c>
      <c r="L215" s="13" t="s">
        <v>78</v>
      </c>
    </row>
    <row r="216" spans="2:12" ht="17.25" customHeight="1" x14ac:dyDescent="0.25">
      <c r="B216" s="9" t="s">
        <v>566</v>
      </c>
      <c r="C216" s="10" t="s">
        <v>583</v>
      </c>
      <c r="D216" s="89">
        <v>45404</v>
      </c>
      <c r="E216" s="71" t="s">
        <v>571</v>
      </c>
      <c r="F216" s="9" t="s">
        <v>594</v>
      </c>
      <c r="G216" s="160">
        <v>2100</v>
      </c>
      <c r="H216" s="160"/>
      <c r="I216" s="160">
        <f t="shared" si="39"/>
        <v>2100</v>
      </c>
      <c r="J216" s="160">
        <f t="shared" si="40"/>
        <v>105</v>
      </c>
      <c r="K216" s="160">
        <f t="shared" si="41"/>
        <v>2205</v>
      </c>
      <c r="L216" s="13" t="s">
        <v>78</v>
      </c>
    </row>
    <row r="217" spans="2:12" ht="17.25" customHeight="1" x14ac:dyDescent="0.25">
      <c r="B217" s="9" t="s">
        <v>81</v>
      </c>
      <c r="C217" s="10" t="s">
        <v>584</v>
      </c>
      <c r="D217" s="89">
        <v>45397</v>
      </c>
      <c r="E217" s="71" t="s">
        <v>82</v>
      </c>
      <c r="F217" s="9" t="s">
        <v>95</v>
      </c>
      <c r="G217" s="160">
        <v>1100</v>
      </c>
      <c r="H217" s="160"/>
      <c r="I217" s="160">
        <f t="shared" si="39"/>
        <v>1100</v>
      </c>
      <c r="J217" s="160">
        <f t="shared" si="40"/>
        <v>55</v>
      </c>
      <c r="K217" s="160">
        <f t="shared" si="41"/>
        <v>1155</v>
      </c>
      <c r="L217" s="13" t="s">
        <v>78</v>
      </c>
    </row>
    <row r="218" spans="2:12" ht="17.25" customHeight="1" x14ac:dyDescent="0.25">
      <c r="B218" s="9" t="s">
        <v>595</v>
      </c>
      <c r="C218" s="10" t="s">
        <v>585</v>
      </c>
      <c r="D218" s="89">
        <v>45400</v>
      </c>
      <c r="E218" s="70" t="s">
        <v>74</v>
      </c>
      <c r="F218" s="9" t="s">
        <v>596</v>
      </c>
      <c r="G218" s="160">
        <v>2850</v>
      </c>
      <c r="H218" s="160"/>
      <c r="I218" s="160">
        <f t="shared" si="39"/>
        <v>2850</v>
      </c>
      <c r="J218" s="160">
        <f t="shared" si="40"/>
        <v>142.5</v>
      </c>
      <c r="K218" s="160">
        <f t="shared" si="41"/>
        <v>2992.5</v>
      </c>
      <c r="L218" s="13" t="s">
        <v>9</v>
      </c>
    </row>
    <row r="219" spans="2:12" ht="17.25" customHeight="1" x14ac:dyDescent="0.25">
      <c r="B219" s="9" t="s">
        <v>86</v>
      </c>
      <c r="C219" s="10" t="s">
        <v>586</v>
      </c>
      <c r="D219" s="89">
        <v>45402</v>
      </c>
      <c r="E219" s="71" t="s">
        <v>597</v>
      </c>
      <c r="F219" s="9" t="s">
        <v>598</v>
      </c>
      <c r="G219" s="160">
        <v>825</v>
      </c>
      <c r="H219" s="160"/>
      <c r="I219" s="160">
        <f t="shared" si="39"/>
        <v>825</v>
      </c>
      <c r="J219" s="160">
        <f t="shared" si="40"/>
        <v>41.25</v>
      </c>
      <c r="K219" s="160">
        <f t="shared" si="41"/>
        <v>866.25</v>
      </c>
      <c r="L219" s="13" t="s">
        <v>9</v>
      </c>
    </row>
    <row r="220" spans="2:12" ht="17.25" customHeight="1" x14ac:dyDescent="0.25">
      <c r="B220" s="9" t="s">
        <v>10</v>
      </c>
      <c r="C220" s="10" t="s">
        <v>587</v>
      </c>
      <c r="D220" s="89">
        <v>45402</v>
      </c>
      <c r="E220" s="71" t="s">
        <v>16</v>
      </c>
      <c r="F220" s="9" t="s">
        <v>599</v>
      </c>
      <c r="G220" s="160">
        <v>550</v>
      </c>
      <c r="H220" s="160"/>
      <c r="I220" s="160">
        <f t="shared" si="39"/>
        <v>550</v>
      </c>
      <c r="J220" s="160">
        <f t="shared" si="40"/>
        <v>27.5</v>
      </c>
      <c r="K220" s="160">
        <f t="shared" si="41"/>
        <v>577.5</v>
      </c>
      <c r="L220" s="13" t="s">
        <v>9</v>
      </c>
    </row>
    <row r="221" spans="2:12" ht="17.25" customHeight="1" x14ac:dyDescent="0.25">
      <c r="B221" s="9" t="s">
        <v>122</v>
      </c>
      <c r="C221" s="10" t="s">
        <v>603</v>
      </c>
      <c r="D221" s="89">
        <v>45401</v>
      </c>
      <c r="E221" s="70" t="s">
        <v>74</v>
      </c>
      <c r="F221" s="9" t="s">
        <v>598</v>
      </c>
      <c r="G221" s="160">
        <v>310</v>
      </c>
      <c r="H221" s="160"/>
      <c r="I221" s="160">
        <f t="shared" si="39"/>
        <v>310</v>
      </c>
      <c r="J221" s="160">
        <f t="shared" si="40"/>
        <v>15.5</v>
      </c>
      <c r="K221" s="160">
        <f t="shared" si="41"/>
        <v>325.5</v>
      </c>
      <c r="L221" s="13" t="s">
        <v>9</v>
      </c>
    </row>
    <row r="222" spans="2:12" ht="17.25" customHeight="1" x14ac:dyDescent="0.25">
      <c r="B222" s="9" t="s">
        <v>10</v>
      </c>
      <c r="C222" s="10" t="s">
        <v>604</v>
      </c>
      <c r="D222" s="89">
        <v>45402</v>
      </c>
      <c r="E222" s="71" t="s">
        <v>16</v>
      </c>
      <c r="F222" s="9" t="s">
        <v>610</v>
      </c>
      <c r="G222" s="160">
        <v>575</v>
      </c>
      <c r="H222" s="160"/>
      <c r="I222" s="160">
        <f t="shared" si="39"/>
        <v>575</v>
      </c>
      <c r="J222" s="160">
        <f t="shared" si="40"/>
        <v>28.75</v>
      </c>
      <c r="K222" s="160">
        <f t="shared" si="41"/>
        <v>603.75</v>
      </c>
      <c r="L222" s="13" t="s">
        <v>9</v>
      </c>
    </row>
    <row r="223" spans="2:12" ht="17.25" customHeight="1" x14ac:dyDescent="0.25">
      <c r="B223" s="9" t="s">
        <v>114</v>
      </c>
      <c r="C223" s="10" t="s">
        <v>605</v>
      </c>
      <c r="D223" s="89">
        <v>45401</v>
      </c>
      <c r="E223" s="71" t="s">
        <v>115</v>
      </c>
      <c r="F223" s="9" t="s">
        <v>598</v>
      </c>
      <c r="G223" s="160">
        <v>405</v>
      </c>
      <c r="H223" s="160"/>
      <c r="I223" s="160">
        <f t="shared" si="39"/>
        <v>405</v>
      </c>
      <c r="J223" s="160">
        <f t="shared" si="40"/>
        <v>20.25</v>
      </c>
      <c r="K223" s="160">
        <f t="shared" si="41"/>
        <v>425.25</v>
      </c>
      <c r="L223" s="13" t="s">
        <v>9</v>
      </c>
    </row>
    <row r="224" spans="2:12" ht="17.25" customHeight="1" x14ac:dyDescent="0.25">
      <c r="B224" s="9" t="s">
        <v>22</v>
      </c>
      <c r="C224" s="10" t="s">
        <v>606</v>
      </c>
      <c r="D224" s="89">
        <v>45401</v>
      </c>
      <c r="E224" s="71" t="s">
        <v>23</v>
      </c>
      <c r="F224" s="9" t="s">
        <v>598</v>
      </c>
      <c r="G224" s="160">
        <f>470+375</f>
        <v>845</v>
      </c>
      <c r="H224" s="160"/>
      <c r="I224" s="160">
        <f t="shared" si="39"/>
        <v>845</v>
      </c>
      <c r="J224" s="160">
        <f t="shared" si="40"/>
        <v>42.25</v>
      </c>
      <c r="K224" s="160">
        <f t="shared" si="41"/>
        <v>887.25</v>
      </c>
      <c r="L224" s="13" t="s">
        <v>9</v>
      </c>
    </row>
    <row r="225" spans="2:12" s="146" customFormat="1" ht="17.25" customHeight="1" x14ac:dyDescent="0.25">
      <c r="B225" s="141" t="s">
        <v>22</v>
      </c>
      <c r="C225" s="142" t="s">
        <v>607</v>
      </c>
      <c r="D225" s="143">
        <v>45401</v>
      </c>
      <c r="E225" s="144" t="s">
        <v>74</v>
      </c>
      <c r="F225" s="141"/>
      <c r="G225" s="165">
        <v>0</v>
      </c>
      <c r="H225" s="165"/>
      <c r="I225" s="165">
        <f t="shared" si="39"/>
        <v>0</v>
      </c>
      <c r="J225" s="165">
        <f t="shared" si="40"/>
        <v>0</v>
      </c>
      <c r="K225" s="165">
        <f t="shared" si="41"/>
        <v>0</v>
      </c>
      <c r="L225" s="145" t="s">
        <v>9</v>
      </c>
    </row>
    <row r="226" spans="2:12" ht="17.25" customHeight="1" x14ac:dyDescent="0.25">
      <c r="B226" s="9" t="s">
        <v>102</v>
      </c>
      <c r="C226" s="10" t="s">
        <v>608</v>
      </c>
      <c r="D226" s="89">
        <v>45401</v>
      </c>
      <c r="E226" s="71" t="s">
        <v>104</v>
      </c>
      <c r="F226" s="9" t="s">
        <v>611</v>
      </c>
      <c r="G226" s="160">
        <v>2850</v>
      </c>
      <c r="H226" s="160"/>
      <c r="I226" s="160">
        <f t="shared" si="39"/>
        <v>2850</v>
      </c>
      <c r="J226" s="160">
        <f t="shared" si="40"/>
        <v>142.5</v>
      </c>
      <c r="K226" s="160">
        <f t="shared" si="41"/>
        <v>2992.5</v>
      </c>
      <c r="L226" s="13" t="s">
        <v>9</v>
      </c>
    </row>
    <row r="227" spans="2:12" ht="17.25" customHeight="1" x14ac:dyDescent="0.25">
      <c r="B227" s="9" t="s">
        <v>102</v>
      </c>
      <c r="C227" s="10" t="s">
        <v>609</v>
      </c>
      <c r="D227" s="89">
        <v>45401</v>
      </c>
      <c r="E227" s="71" t="s">
        <v>104</v>
      </c>
      <c r="F227" s="9" t="s">
        <v>612</v>
      </c>
      <c r="G227" s="160">
        <v>972</v>
      </c>
      <c r="H227" s="160"/>
      <c r="I227" s="160">
        <f t="shared" si="39"/>
        <v>972</v>
      </c>
      <c r="J227" s="160">
        <f t="shared" si="40"/>
        <v>48.6</v>
      </c>
      <c r="K227" s="160">
        <f t="shared" si="41"/>
        <v>1020.6</v>
      </c>
      <c r="L227" s="13" t="s">
        <v>9</v>
      </c>
    </row>
    <row r="228" spans="2:12" ht="17.25" customHeight="1" x14ac:dyDescent="0.25">
      <c r="B228" s="9" t="s">
        <v>199</v>
      </c>
      <c r="C228" s="10" t="s">
        <v>687</v>
      </c>
      <c r="D228" s="89">
        <v>45421</v>
      </c>
      <c r="E228" s="71" t="s">
        <v>201</v>
      </c>
      <c r="F228" s="9" t="s">
        <v>688</v>
      </c>
      <c r="G228" s="160">
        <v>1628.75</v>
      </c>
      <c r="H228" s="160"/>
      <c r="I228" s="160">
        <f t="shared" si="39"/>
        <v>1628.75</v>
      </c>
      <c r="J228" s="160">
        <f t="shared" si="40"/>
        <v>81.4375</v>
      </c>
      <c r="K228" s="160">
        <f t="shared" si="41"/>
        <v>1710.1875</v>
      </c>
      <c r="L228" s="13" t="s">
        <v>78</v>
      </c>
    </row>
    <row r="229" spans="2:12" ht="17.25" customHeight="1" x14ac:dyDescent="0.25">
      <c r="B229" s="9" t="s">
        <v>29</v>
      </c>
      <c r="C229" s="10" t="s">
        <v>613</v>
      </c>
      <c r="D229" s="89">
        <v>45405</v>
      </c>
      <c r="E229" s="71" t="s">
        <v>128</v>
      </c>
      <c r="F229" s="9" t="s">
        <v>624</v>
      </c>
      <c r="G229" s="160">
        <v>3704</v>
      </c>
      <c r="H229" s="160"/>
      <c r="I229" s="160">
        <f t="shared" si="39"/>
        <v>3704</v>
      </c>
      <c r="J229" s="160">
        <f t="shared" si="40"/>
        <v>185.20000000000002</v>
      </c>
      <c r="K229" s="160">
        <f t="shared" si="41"/>
        <v>3889.2</v>
      </c>
      <c r="L229" s="13" t="s">
        <v>9</v>
      </c>
    </row>
    <row r="230" spans="2:12" ht="17.25" customHeight="1" x14ac:dyDescent="0.25">
      <c r="B230" s="9" t="s">
        <v>177</v>
      </c>
      <c r="C230" s="10" t="s">
        <v>689</v>
      </c>
      <c r="D230" s="89">
        <v>45419</v>
      </c>
      <c r="E230" s="71" t="s">
        <v>690</v>
      </c>
      <c r="F230" s="9" t="s">
        <v>164</v>
      </c>
      <c r="G230" s="160">
        <v>85</v>
      </c>
      <c r="H230" s="160"/>
      <c r="I230" s="160">
        <f t="shared" si="39"/>
        <v>85</v>
      </c>
      <c r="J230" s="160">
        <f t="shared" si="40"/>
        <v>4.25</v>
      </c>
      <c r="K230" s="160">
        <f t="shared" si="41"/>
        <v>89.25</v>
      </c>
      <c r="L230" s="13" t="s">
        <v>78</v>
      </c>
    </row>
    <row r="231" spans="2:12" ht="17.25" customHeight="1" x14ac:dyDescent="0.25">
      <c r="B231" s="9" t="s">
        <v>10</v>
      </c>
      <c r="C231" s="10" t="s">
        <v>614</v>
      </c>
      <c r="D231" s="89">
        <v>45405</v>
      </c>
      <c r="E231" s="71" t="s">
        <v>16</v>
      </c>
      <c r="F231" s="9" t="s">
        <v>625</v>
      </c>
      <c r="G231" s="160">
        <v>702</v>
      </c>
      <c r="H231" s="160"/>
      <c r="I231" s="160">
        <f t="shared" si="39"/>
        <v>702</v>
      </c>
      <c r="J231" s="160">
        <f t="shared" si="40"/>
        <v>35.1</v>
      </c>
      <c r="K231" s="160">
        <f t="shared" si="41"/>
        <v>737.1</v>
      </c>
      <c r="L231" s="13" t="s">
        <v>9</v>
      </c>
    </row>
    <row r="232" spans="2:12" ht="17.25" customHeight="1" x14ac:dyDescent="0.25">
      <c r="B232" s="9" t="s">
        <v>182</v>
      </c>
      <c r="C232" s="10" t="s">
        <v>691</v>
      </c>
      <c r="D232" s="89">
        <v>45419</v>
      </c>
      <c r="E232" s="71" t="s">
        <v>183</v>
      </c>
      <c r="F232" s="9" t="s">
        <v>164</v>
      </c>
      <c r="G232" s="160">
        <v>85</v>
      </c>
      <c r="H232" s="160"/>
      <c r="I232" s="160">
        <f t="shared" si="39"/>
        <v>85</v>
      </c>
      <c r="J232" s="160">
        <f t="shared" si="40"/>
        <v>4.25</v>
      </c>
      <c r="K232" s="160">
        <f t="shared" si="41"/>
        <v>89.25</v>
      </c>
      <c r="L232" s="13" t="s">
        <v>78</v>
      </c>
    </row>
    <row r="233" spans="2:12" ht="17.25" customHeight="1" x14ac:dyDescent="0.25">
      <c r="B233" s="9" t="s">
        <v>566</v>
      </c>
      <c r="C233" s="10" t="s">
        <v>615</v>
      </c>
      <c r="D233" s="89">
        <v>45407</v>
      </c>
      <c r="E233" s="71" t="s">
        <v>571</v>
      </c>
      <c r="F233" s="9" t="s">
        <v>627</v>
      </c>
      <c r="G233" s="160">
        <v>11000</v>
      </c>
      <c r="H233" s="160"/>
      <c r="I233" s="160">
        <f t="shared" si="39"/>
        <v>11000</v>
      </c>
      <c r="J233" s="160">
        <f t="shared" si="40"/>
        <v>550</v>
      </c>
      <c r="K233" s="160">
        <f t="shared" si="41"/>
        <v>11550</v>
      </c>
      <c r="L233" s="13" t="s">
        <v>78</v>
      </c>
    </row>
    <row r="234" spans="2:12" ht="17.25" customHeight="1" x14ac:dyDescent="0.25">
      <c r="B234" s="9" t="s">
        <v>692</v>
      </c>
      <c r="C234" s="10" t="s">
        <v>693</v>
      </c>
      <c r="D234" s="89">
        <v>45419</v>
      </c>
      <c r="E234" s="71" t="s">
        <v>694</v>
      </c>
      <c r="F234" s="9" t="s">
        <v>695</v>
      </c>
      <c r="G234" s="160">
        <v>260</v>
      </c>
      <c r="H234" s="160"/>
      <c r="I234" s="160">
        <f t="shared" si="39"/>
        <v>260</v>
      </c>
      <c r="J234" s="160">
        <f t="shared" si="40"/>
        <v>13</v>
      </c>
      <c r="K234" s="160">
        <f t="shared" si="41"/>
        <v>273</v>
      </c>
      <c r="L234" s="13" t="s">
        <v>78</v>
      </c>
    </row>
    <row r="235" spans="2:12" ht="17.25" customHeight="1" x14ac:dyDescent="0.25">
      <c r="B235" s="9" t="s">
        <v>628</v>
      </c>
      <c r="C235" s="10" t="s">
        <v>616</v>
      </c>
      <c r="D235" s="89">
        <v>45407</v>
      </c>
      <c r="E235" s="71" t="s">
        <v>629</v>
      </c>
      <c r="F235" s="9" t="s">
        <v>630</v>
      </c>
      <c r="G235" s="160">
        <v>202.95</v>
      </c>
      <c r="H235" s="160"/>
      <c r="I235" s="160">
        <f t="shared" si="39"/>
        <v>202.95</v>
      </c>
      <c r="J235" s="160">
        <f t="shared" si="40"/>
        <v>10.147500000000001</v>
      </c>
      <c r="K235" s="160">
        <f t="shared" si="41"/>
        <v>213.0975</v>
      </c>
      <c r="L235" s="13" t="s">
        <v>9</v>
      </c>
    </row>
    <row r="236" spans="2:12" ht="17.25" customHeight="1" x14ac:dyDescent="0.25">
      <c r="B236" s="9" t="s">
        <v>290</v>
      </c>
      <c r="C236" s="10" t="s">
        <v>696</v>
      </c>
      <c r="D236" s="89">
        <v>45421</v>
      </c>
      <c r="E236" s="71" t="s">
        <v>74</v>
      </c>
      <c r="F236" s="9" t="s">
        <v>598</v>
      </c>
      <c r="G236" s="160">
        <v>375</v>
      </c>
      <c r="H236" s="160"/>
      <c r="I236" s="160">
        <f t="shared" si="39"/>
        <v>375</v>
      </c>
      <c r="J236" s="160">
        <f t="shared" si="40"/>
        <v>18.75</v>
      </c>
      <c r="K236" s="160">
        <f t="shared" si="41"/>
        <v>393.75</v>
      </c>
      <c r="L236" s="13" t="s">
        <v>78</v>
      </c>
    </row>
    <row r="237" spans="2:12" ht="17.25" customHeight="1" x14ac:dyDescent="0.25">
      <c r="B237" s="9" t="s">
        <v>29</v>
      </c>
      <c r="C237" s="10" t="s">
        <v>617</v>
      </c>
      <c r="D237" s="89">
        <v>45406</v>
      </c>
      <c r="E237" s="71" t="s">
        <v>128</v>
      </c>
      <c r="F237" s="9" t="s">
        <v>52</v>
      </c>
      <c r="G237" s="160">
        <v>190</v>
      </c>
      <c r="H237" s="160"/>
      <c r="I237" s="160">
        <f t="shared" si="39"/>
        <v>190</v>
      </c>
      <c r="J237" s="160">
        <f t="shared" si="40"/>
        <v>9.5</v>
      </c>
      <c r="K237" s="160">
        <f t="shared" si="41"/>
        <v>199.5</v>
      </c>
      <c r="L237" s="13" t="s">
        <v>9</v>
      </c>
    </row>
    <row r="238" spans="2:12" ht="17.25" customHeight="1" x14ac:dyDescent="0.25">
      <c r="B238" s="9" t="s">
        <v>10</v>
      </c>
      <c r="C238" s="10" t="s">
        <v>618</v>
      </c>
      <c r="D238" s="89">
        <v>45407</v>
      </c>
      <c r="E238" s="71" t="s">
        <v>16</v>
      </c>
      <c r="F238" s="9" t="s">
        <v>510</v>
      </c>
      <c r="G238" s="160">
        <v>780</v>
      </c>
      <c r="H238" s="160"/>
      <c r="I238" s="160">
        <f t="shared" si="39"/>
        <v>780</v>
      </c>
      <c r="J238" s="160">
        <f t="shared" si="40"/>
        <v>39</v>
      </c>
      <c r="K238" s="160">
        <f t="shared" si="41"/>
        <v>819</v>
      </c>
      <c r="L238" s="13" t="s">
        <v>9</v>
      </c>
    </row>
    <row r="239" spans="2:12" ht="17.25" customHeight="1" x14ac:dyDescent="0.25">
      <c r="B239" s="9" t="s">
        <v>29</v>
      </c>
      <c r="C239" s="10" t="s">
        <v>619</v>
      </c>
      <c r="D239" s="89">
        <v>45408</v>
      </c>
      <c r="E239" s="71" t="s">
        <v>128</v>
      </c>
      <c r="F239" s="9" t="s">
        <v>598</v>
      </c>
      <c r="G239" s="160">
        <v>270</v>
      </c>
      <c r="H239" s="160"/>
      <c r="I239" s="160">
        <f t="shared" si="39"/>
        <v>270</v>
      </c>
      <c r="J239" s="160">
        <f t="shared" si="40"/>
        <v>13.5</v>
      </c>
      <c r="K239" s="160">
        <f t="shared" si="41"/>
        <v>283.5</v>
      </c>
      <c r="L239" s="13" t="s">
        <v>9</v>
      </c>
    </row>
    <row r="240" spans="2:12" ht="17.25" customHeight="1" x14ac:dyDescent="0.25">
      <c r="B240" s="9" t="s">
        <v>631</v>
      </c>
      <c r="C240" s="10" t="s">
        <v>620</v>
      </c>
      <c r="D240" s="89">
        <v>45411</v>
      </c>
      <c r="E240" s="71" t="s">
        <v>632</v>
      </c>
      <c r="F240" s="9" t="s">
        <v>633</v>
      </c>
      <c r="G240" s="160">
        <v>1249.5</v>
      </c>
      <c r="H240" s="160"/>
      <c r="I240" s="160">
        <f t="shared" si="39"/>
        <v>1249.5</v>
      </c>
      <c r="J240" s="160">
        <f t="shared" si="40"/>
        <v>62.475000000000001</v>
      </c>
      <c r="K240" s="160">
        <f t="shared" si="41"/>
        <v>1311.9749999999999</v>
      </c>
      <c r="L240" s="13" t="s">
        <v>78</v>
      </c>
    </row>
    <row r="241" spans="2:12" ht="17.25" customHeight="1" x14ac:dyDescent="0.25">
      <c r="B241" s="9" t="s">
        <v>221</v>
      </c>
      <c r="C241" s="10" t="s">
        <v>621</v>
      </c>
      <c r="D241" s="89">
        <v>45411</v>
      </c>
      <c r="E241" s="71" t="s">
        <v>222</v>
      </c>
      <c r="F241" s="9" t="s">
        <v>634</v>
      </c>
      <c r="G241" s="160">
        <v>6000</v>
      </c>
      <c r="H241" s="160"/>
      <c r="I241" s="160">
        <f t="shared" si="39"/>
        <v>6000</v>
      </c>
      <c r="J241" s="160">
        <f t="shared" si="40"/>
        <v>300</v>
      </c>
      <c r="K241" s="160">
        <f t="shared" si="41"/>
        <v>6300</v>
      </c>
      <c r="L241" s="13" t="s">
        <v>78</v>
      </c>
    </row>
    <row r="242" spans="2:12" ht="17.25" customHeight="1" x14ac:dyDescent="0.25">
      <c r="B242" s="9" t="s">
        <v>29</v>
      </c>
      <c r="C242" s="10" t="s">
        <v>622</v>
      </c>
      <c r="D242" s="89">
        <v>45408</v>
      </c>
      <c r="E242" s="71" t="s">
        <v>128</v>
      </c>
      <c r="F242" s="9" t="s">
        <v>635</v>
      </c>
      <c r="G242" s="160">
        <v>505</v>
      </c>
      <c r="H242" s="160"/>
      <c r="I242" s="160">
        <f t="shared" si="39"/>
        <v>505</v>
      </c>
      <c r="J242" s="160">
        <f t="shared" si="40"/>
        <v>25.25</v>
      </c>
      <c r="K242" s="160">
        <f t="shared" si="41"/>
        <v>530.25</v>
      </c>
      <c r="L242" s="13" t="s">
        <v>9</v>
      </c>
    </row>
    <row r="243" spans="2:12" ht="17.25" customHeight="1" x14ac:dyDescent="0.25">
      <c r="B243" s="9" t="s">
        <v>576</v>
      </c>
      <c r="C243" s="10" t="s">
        <v>623</v>
      </c>
      <c r="D243" s="89">
        <v>45411</v>
      </c>
      <c r="E243" s="71" t="s">
        <v>577</v>
      </c>
      <c r="F243" s="9" t="s">
        <v>636</v>
      </c>
      <c r="G243" s="160">
        <v>1972.5</v>
      </c>
      <c r="H243" s="160"/>
      <c r="I243" s="160">
        <f t="shared" si="39"/>
        <v>1972.5</v>
      </c>
      <c r="J243" s="160">
        <f t="shared" si="40"/>
        <v>98.625</v>
      </c>
      <c r="K243" s="160">
        <f t="shared" si="41"/>
        <v>2071.125</v>
      </c>
      <c r="L243" s="13" t="s">
        <v>78</v>
      </c>
    </row>
    <row r="244" spans="2:12" ht="17.25" customHeight="1" x14ac:dyDescent="0.25">
      <c r="B244" s="9" t="s">
        <v>10</v>
      </c>
      <c r="C244" s="10" t="s">
        <v>637</v>
      </c>
      <c r="D244" s="89">
        <v>45411</v>
      </c>
      <c r="E244" s="71" t="s">
        <v>16</v>
      </c>
      <c r="F244" s="9" t="s">
        <v>643</v>
      </c>
      <c r="G244" s="160">
        <v>3890</v>
      </c>
      <c r="H244" s="160"/>
      <c r="I244" s="160">
        <f t="shared" si="39"/>
        <v>3890</v>
      </c>
      <c r="J244" s="160">
        <f t="shared" si="40"/>
        <v>194.5</v>
      </c>
      <c r="K244" s="160">
        <f t="shared" si="41"/>
        <v>4084.5</v>
      </c>
      <c r="L244" s="13" t="s">
        <v>9</v>
      </c>
    </row>
    <row r="245" spans="2:12" ht="17.25" customHeight="1" x14ac:dyDescent="0.25">
      <c r="B245" s="9" t="s">
        <v>10</v>
      </c>
      <c r="C245" s="10" t="s">
        <v>638</v>
      </c>
      <c r="D245" s="89">
        <v>45411</v>
      </c>
      <c r="E245" s="71" t="s">
        <v>16</v>
      </c>
      <c r="F245" s="9" t="s">
        <v>433</v>
      </c>
      <c r="G245" s="160">
        <v>1008</v>
      </c>
      <c r="H245" s="160"/>
      <c r="I245" s="160">
        <f t="shared" si="39"/>
        <v>1008</v>
      </c>
      <c r="J245" s="160">
        <f t="shared" si="40"/>
        <v>50.400000000000006</v>
      </c>
      <c r="K245" s="160">
        <f t="shared" si="41"/>
        <v>1058.4000000000001</v>
      </c>
      <c r="L245" s="13" t="s">
        <v>9</v>
      </c>
    </row>
    <row r="246" spans="2:12" ht="17.25" customHeight="1" x14ac:dyDescent="0.25">
      <c r="B246" s="9" t="s">
        <v>644</v>
      </c>
      <c r="C246" s="10" t="s">
        <v>639</v>
      </c>
      <c r="D246" s="89">
        <v>45412</v>
      </c>
      <c r="E246" s="71" t="s">
        <v>645</v>
      </c>
      <c r="F246" s="9" t="s">
        <v>646</v>
      </c>
      <c r="G246" s="160">
        <v>380</v>
      </c>
      <c r="H246" s="160"/>
      <c r="I246" s="160">
        <f t="shared" si="39"/>
        <v>380</v>
      </c>
      <c r="J246" s="160">
        <f t="shared" si="40"/>
        <v>19</v>
      </c>
      <c r="K246" s="160">
        <f t="shared" si="41"/>
        <v>399</v>
      </c>
      <c r="L246" s="13" t="s">
        <v>9</v>
      </c>
    </row>
    <row r="247" spans="2:12" ht="17.25" customHeight="1" x14ac:dyDescent="0.25">
      <c r="B247" s="9" t="s">
        <v>10</v>
      </c>
      <c r="C247" s="10" t="s">
        <v>640</v>
      </c>
      <c r="D247" s="89">
        <v>45412</v>
      </c>
      <c r="E247" s="71" t="s">
        <v>16</v>
      </c>
      <c r="F247" s="9" t="s">
        <v>647</v>
      </c>
      <c r="G247" s="160">
        <v>450</v>
      </c>
      <c r="H247" s="160"/>
      <c r="I247" s="160">
        <f t="shared" si="39"/>
        <v>450</v>
      </c>
      <c r="J247" s="160">
        <f t="shared" si="40"/>
        <v>22.5</v>
      </c>
      <c r="K247" s="160">
        <f t="shared" si="41"/>
        <v>472.5</v>
      </c>
      <c r="L247" s="13" t="s">
        <v>9</v>
      </c>
    </row>
    <row r="248" spans="2:12" ht="17.25" customHeight="1" x14ac:dyDescent="0.25">
      <c r="B248" s="9" t="s">
        <v>102</v>
      </c>
      <c r="C248" s="10" t="s">
        <v>641</v>
      </c>
      <c r="D248" s="89">
        <v>45412</v>
      </c>
      <c r="E248" s="71" t="s">
        <v>104</v>
      </c>
      <c r="F248" s="9" t="s">
        <v>648</v>
      </c>
      <c r="G248" s="160">
        <v>375</v>
      </c>
      <c r="H248" s="160"/>
      <c r="I248" s="160">
        <f t="shared" si="39"/>
        <v>375</v>
      </c>
      <c r="J248" s="160">
        <f t="shared" si="40"/>
        <v>18.75</v>
      </c>
      <c r="K248" s="160">
        <f t="shared" si="41"/>
        <v>393.75</v>
      </c>
      <c r="L248" s="13" t="s">
        <v>9</v>
      </c>
    </row>
    <row r="249" spans="2:12" ht="17.25" customHeight="1" x14ac:dyDescent="0.25">
      <c r="B249" s="9" t="s">
        <v>649</v>
      </c>
      <c r="C249" s="10" t="s">
        <v>642</v>
      </c>
      <c r="D249" s="89">
        <v>45412</v>
      </c>
      <c r="E249" s="70" t="s">
        <v>74</v>
      </c>
      <c r="F249" s="9" t="s">
        <v>650</v>
      </c>
      <c r="G249" s="160">
        <v>900</v>
      </c>
      <c r="H249" s="160"/>
      <c r="I249" s="160">
        <f t="shared" si="39"/>
        <v>900</v>
      </c>
      <c r="J249" s="160">
        <f t="shared" si="40"/>
        <v>45</v>
      </c>
      <c r="K249" s="160">
        <f t="shared" si="41"/>
        <v>945</v>
      </c>
      <c r="L249" s="13" t="s">
        <v>9</v>
      </c>
    </row>
    <row r="250" spans="2:12" ht="17.25" customHeight="1" x14ac:dyDescent="0.25">
      <c r="B250" s="9" t="s">
        <v>664</v>
      </c>
      <c r="C250" s="10" t="s">
        <v>651</v>
      </c>
      <c r="D250" s="89">
        <v>45412</v>
      </c>
      <c r="E250" s="71" t="s">
        <v>237</v>
      </c>
      <c r="F250" s="9" t="s">
        <v>665</v>
      </c>
      <c r="G250" s="160">
        <v>180</v>
      </c>
      <c r="H250" s="160"/>
      <c r="I250" s="160">
        <f t="shared" si="39"/>
        <v>180</v>
      </c>
      <c r="J250" s="160">
        <f t="shared" si="40"/>
        <v>9</v>
      </c>
      <c r="K250" s="160">
        <f t="shared" si="41"/>
        <v>189</v>
      </c>
      <c r="L250" s="13" t="s">
        <v>9</v>
      </c>
    </row>
    <row r="251" spans="2:12" ht="17.25" customHeight="1" x14ac:dyDescent="0.25">
      <c r="B251" s="9" t="s">
        <v>666</v>
      </c>
      <c r="C251" s="10" t="s">
        <v>652</v>
      </c>
      <c r="D251" s="89">
        <v>45412</v>
      </c>
      <c r="E251" s="71" t="s">
        <v>237</v>
      </c>
      <c r="F251" s="9" t="s">
        <v>665</v>
      </c>
      <c r="G251" s="160">
        <v>90</v>
      </c>
      <c r="H251" s="160"/>
      <c r="I251" s="160">
        <f t="shared" si="39"/>
        <v>90</v>
      </c>
      <c r="J251" s="160">
        <f t="shared" si="40"/>
        <v>4.5</v>
      </c>
      <c r="K251" s="160">
        <f t="shared" si="41"/>
        <v>94.5</v>
      </c>
      <c r="L251" s="13" t="s">
        <v>9</v>
      </c>
    </row>
    <row r="252" spans="2:12" ht="17.25" customHeight="1" x14ac:dyDescent="0.25">
      <c r="B252" s="9" t="s">
        <v>29</v>
      </c>
      <c r="C252" s="10" t="s">
        <v>653</v>
      </c>
      <c r="D252" s="89">
        <v>45413</v>
      </c>
      <c r="E252" s="71" t="s">
        <v>128</v>
      </c>
      <c r="F252" s="9" t="s">
        <v>667</v>
      </c>
      <c r="G252" s="160">
        <v>932</v>
      </c>
      <c r="H252" s="160"/>
      <c r="I252" s="160">
        <f t="shared" si="39"/>
        <v>932</v>
      </c>
      <c r="J252" s="160">
        <f t="shared" si="40"/>
        <v>46.6</v>
      </c>
      <c r="K252" s="160">
        <f t="shared" si="41"/>
        <v>978.6</v>
      </c>
      <c r="L252" s="13" t="s">
        <v>9</v>
      </c>
    </row>
    <row r="253" spans="2:12" ht="17.25" customHeight="1" x14ac:dyDescent="0.25">
      <c r="B253" s="9" t="s">
        <v>114</v>
      </c>
      <c r="C253" s="10" t="s">
        <v>654</v>
      </c>
      <c r="D253" s="89">
        <v>45413</v>
      </c>
      <c r="E253" s="71" t="s">
        <v>115</v>
      </c>
      <c r="F253" s="9" t="s">
        <v>668</v>
      </c>
      <c r="G253" s="160">
        <v>405</v>
      </c>
      <c r="H253" s="160"/>
      <c r="I253" s="160">
        <f t="shared" si="39"/>
        <v>405</v>
      </c>
      <c r="J253" s="160">
        <f t="shared" si="40"/>
        <v>20.25</v>
      </c>
      <c r="K253" s="160">
        <f t="shared" si="41"/>
        <v>425.25</v>
      </c>
      <c r="L253" s="13" t="s">
        <v>9</v>
      </c>
    </row>
    <row r="254" spans="2:12" ht="17.25" customHeight="1" x14ac:dyDescent="0.25">
      <c r="B254" s="9" t="s">
        <v>669</v>
      </c>
      <c r="C254" s="10" t="s">
        <v>655</v>
      </c>
      <c r="D254" s="89">
        <v>45414</v>
      </c>
      <c r="E254" s="70" t="s">
        <v>74</v>
      </c>
      <c r="F254" s="9" t="s">
        <v>483</v>
      </c>
      <c r="G254" s="160">
        <v>2225</v>
      </c>
      <c r="H254" s="160"/>
      <c r="I254" s="160">
        <f t="shared" si="39"/>
        <v>2225</v>
      </c>
      <c r="J254" s="160">
        <f t="shared" si="40"/>
        <v>111.25</v>
      </c>
      <c r="K254" s="160">
        <f t="shared" si="41"/>
        <v>2336.25</v>
      </c>
      <c r="L254" s="13" t="s">
        <v>9</v>
      </c>
    </row>
    <row r="255" spans="2:12" ht="17.25" customHeight="1" x14ac:dyDescent="0.25">
      <c r="B255" s="9" t="s">
        <v>670</v>
      </c>
      <c r="C255" s="10" t="s">
        <v>656</v>
      </c>
      <c r="D255" s="89">
        <v>45415</v>
      </c>
      <c r="E255" s="71" t="s">
        <v>671</v>
      </c>
      <c r="F255" s="9" t="s">
        <v>672</v>
      </c>
      <c r="G255" s="160">
        <v>350</v>
      </c>
      <c r="H255" s="160"/>
      <c r="I255" s="160">
        <f t="shared" si="39"/>
        <v>350</v>
      </c>
      <c r="J255" s="160">
        <f t="shared" si="40"/>
        <v>17.5</v>
      </c>
      <c r="K255" s="160">
        <f t="shared" si="41"/>
        <v>367.5</v>
      </c>
      <c r="L255" s="13" t="s">
        <v>78</v>
      </c>
    </row>
    <row r="256" spans="2:12" ht="17.25" customHeight="1" x14ac:dyDescent="0.25">
      <c r="B256" s="9" t="s">
        <v>94</v>
      </c>
      <c r="C256" s="10" t="s">
        <v>657</v>
      </c>
      <c r="D256" s="89">
        <v>45415</v>
      </c>
      <c r="E256" s="71" t="s">
        <v>96</v>
      </c>
      <c r="F256" s="9" t="s">
        <v>673</v>
      </c>
      <c r="G256" s="160">
        <v>570</v>
      </c>
      <c r="H256" s="160"/>
      <c r="I256" s="160">
        <f t="shared" si="39"/>
        <v>570</v>
      </c>
      <c r="J256" s="160">
        <f t="shared" si="40"/>
        <v>28.5</v>
      </c>
      <c r="K256" s="160">
        <f t="shared" si="41"/>
        <v>598.5</v>
      </c>
      <c r="L256" s="13" t="s">
        <v>78</v>
      </c>
    </row>
    <row r="257" spans="2:12" ht="17.25" customHeight="1" x14ac:dyDescent="0.25">
      <c r="B257" s="9" t="s">
        <v>29</v>
      </c>
      <c r="C257" s="10" t="s">
        <v>658</v>
      </c>
      <c r="D257" s="89">
        <v>45415</v>
      </c>
      <c r="E257" s="71" t="s">
        <v>128</v>
      </c>
      <c r="F257" s="9" t="s">
        <v>674</v>
      </c>
      <c r="G257" s="160">
        <v>512</v>
      </c>
      <c r="H257" s="160"/>
      <c r="I257" s="160">
        <f t="shared" si="39"/>
        <v>512</v>
      </c>
      <c r="J257" s="160">
        <f t="shared" si="40"/>
        <v>25.6</v>
      </c>
      <c r="K257" s="160">
        <f t="shared" si="41"/>
        <v>537.6</v>
      </c>
      <c r="L257" s="13" t="s">
        <v>9</v>
      </c>
    </row>
    <row r="258" spans="2:12" ht="17.25" customHeight="1" x14ac:dyDescent="0.25">
      <c r="B258" s="9" t="s">
        <v>398</v>
      </c>
      <c r="C258" s="10" t="s">
        <v>659</v>
      </c>
      <c r="D258" s="89">
        <v>45418</v>
      </c>
      <c r="E258" s="71" t="s">
        <v>128</v>
      </c>
      <c r="F258" s="9" t="s">
        <v>675</v>
      </c>
      <c r="G258" s="160">
        <v>3425</v>
      </c>
      <c r="H258" s="160"/>
      <c r="I258" s="160">
        <f t="shared" si="39"/>
        <v>3425</v>
      </c>
      <c r="J258" s="160">
        <f t="shared" si="40"/>
        <v>171.25</v>
      </c>
      <c r="K258" s="160">
        <f t="shared" si="41"/>
        <v>3596.25</v>
      </c>
      <c r="L258" s="13" t="s">
        <v>9</v>
      </c>
    </row>
    <row r="259" spans="2:12" ht="17.25" customHeight="1" x14ac:dyDescent="0.25">
      <c r="B259" s="9" t="s">
        <v>10</v>
      </c>
      <c r="C259" s="10" t="s">
        <v>660</v>
      </c>
      <c r="D259" s="89">
        <v>45418</v>
      </c>
      <c r="E259" s="71" t="s">
        <v>16</v>
      </c>
      <c r="F259" s="9" t="s">
        <v>676</v>
      </c>
      <c r="G259" s="160">
        <v>1380</v>
      </c>
      <c r="H259" s="160"/>
      <c r="I259" s="160">
        <f t="shared" si="39"/>
        <v>1380</v>
      </c>
      <c r="J259" s="160">
        <f t="shared" si="40"/>
        <v>69</v>
      </c>
      <c r="K259" s="160">
        <f t="shared" si="41"/>
        <v>1449</v>
      </c>
      <c r="L259" s="13" t="s">
        <v>9</v>
      </c>
    </row>
    <row r="260" spans="2:12" ht="17.25" customHeight="1" x14ac:dyDescent="0.25">
      <c r="B260" s="9" t="s">
        <v>10</v>
      </c>
      <c r="C260" s="10" t="s">
        <v>661</v>
      </c>
      <c r="D260" s="89">
        <v>45418</v>
      </c>
      <c r="E260" s="71" t="s">
        <v>16</v>
      </c>
      <c r="F260" s="9" t="s">
        <v>677</v>
      </c>
      <c r="G260" s="160">
        <v>340</v>
      </c>
      <c r="H260" s="160"/>
      <c r="I260" s="160">
        <f t="shared" si="39"/>
        <v>340</v>
      </c>
      <c r="J260" s="160">
        <f t="shared" si="40"/>
        <v>17</v>
      </c>
      <c r="K260" s="160">
        <f t="shared" si="41"/>
        <v>357</v>
      </c>
      <c r="L260" s="13" t="s">
        <v>9</v>
      </c>
    </row>
    <row r="261" spans="2:12" ht="17.25" customHeight="1" x14ac:dyDescent="0.25">
      <c r="B261" s="9" t="s">
        <v>10</v>
      </c>
      <c r="C261" s="10" t="s">
        <v>662</v>
      </c>
      <c r="D261" s="89">
        <v>45418</v>
      </c>
      <c r="E261" s="71" t="s">
        <v>16</v>
      </c>
      <c r="F261" s="9" t="s">
        <v>678</v>
      </c>
      <c r="G261" s="160">
        <v>371.5</v>
      </c>
      <c r="H261" s="160"/>
      <c r="I261" s="160">
        <f t="shared" si="39"/>
        <v>371.5</v>
      </c>
      <c r="J261" s="160">
        <f t="shared" si="40"/>
        <v>18.574999999999999</v>
      </c>
      <c r="K261" s="160">
        <f t="shared" si="41"/>
        <v>390.07499999999999</v>
      </c>
      <c r="L261" s="13" t="s">
        <v>9</v>
      </c>
    </row>
    <row r="262" spans="2:12" ht="17.25" customHeight="1" x14ac:dyDescent="0.25">
      <c r="B262" s="9" t="s">
        <v>10</v>
      </c>
      <c r="C262" s="10" t="s">
        <v>663</v>
      </c>
      <c r="D262" s="89">
        <v>45418</v>
      </c>
      <c r="E262" s="71" t="s">
        <v>16</v>
      </c>
      <c r="F262" s="9" t="s">
        <v>679</v>
      </c>
      <c r="G262" s="160">
        <v>2510</v>
      </c>
      <c r="H262" s="160"/>
      <c r="I262" s="160">
        <f t="shared" si="39"/>
        <v>2510</v>
      </c>
      <c r="J262" s="160">
        <f t="shared" si="40"/>
        <v>125.5</v>
      </c>
      <c r="K262" s="160">
        <f t="shared" si="41"/>
        <v>2635.5</v>
      </c>
      <c r="L262" s="13" t="s">
        <v>9</v>
      </c>
    </row>
    <row r="263" spans="2:12" ht="17.25" customHeight="1" x14ac:dyDescent="0.25">
      <c r="B263" s="9" t="s">
        <v>524</v>
      </c>
      <c r="C263" s="10" t="s">
        <v>681</v>
      </c>
      <c r="D263" s="89">
        <v>45422</v>
      </c>
      <c r="E263" s="71" t="s">
        <v>697</v>
      </c>
      <c r="F263" s="9" t="s">
        <v>698</v>
      </c>
      <c r="G263" s="160">
        <v>350</v>
      </c>
      <c r="H263" s="160"/>
      <c r="I263" s="160">
        <f t="shared" si="39"/>
        <v>350</v>
      </c>
      <c r="J263" s="160">
        <f t="shared" si="40"/>
        <v>17.5</v>
      </c>
      <c r="K263" s="160">
        <f t="shared" si="41"/>
        <v>367.5</v>
      </c>
      <c r="L263" s="13" t="s">
        <v>9</v>
      </c>
    </row>
    <row r="264" spans="2:12" ht="17.25" customHeight="1" x14ac:dyDescent="0.25">
      <c r="B264" s="9" t="s">
        <v>699</v>
      </c>
      <c r="C264" s="10" t="s">
        <v>682</v>
      </c>
      <c r="D264" s="89">
        <v>45422</v>
      </c>
      <c r="E264" s="71" t="s">
        <v>700</v>
      </c>
      <c r="F264" s="9" t="s">
        <v>701</v>
      </c>
      <c r="G264" s="160">
        <v>175</v>
      </c>
      <c r="H264" s="160"/>
      <c r="I264" s="160">
        <f t="shared" si="39"/>
        <v>175</v>
      </c>
      <c r="J264" s="160">
        <f t="shared" si="40"/>
        <v>8.75</v>
      </c>
      <c r="K264" s="160">
        <f t="shared" si="41"/>
        <v>183.75</v>
      </c>
      <c r="L264" s="13" t="s">
        <v>9</v>
      </c>
    </row>
    <row r="265" spans="2:12" ht="17.25" customHeight="1" x14ac:dyDescent="0.25">
      <c r="B265" s="9" t="s">
        <v>398</v>
      </c>
      <c r="C265" s="10" t="s">
        <v>683</v>
      </c>
      <c r="D265" s="89">
        <v>45422</v>
      </c>
      <c r="E265" s="71" t="s">
        <v>418</v>
      </c>
      <c r="F265" s="9" t="s">
        <v>702</v>
      </c>
      <c r="G265" s="160">
        <v>1020</v>
      </c>
      <c r="H265" s="160"/>
      <c r="I265" s="160">
        <f t="shared" si="39"/>
        <v>1020</v>
      </c>
      <c r="J265" s="160">
        <f t="shared" si="40"/>
        <v>51</v>
      </c>
      <c r="K265" s="160">
        <f t="shared" si="41"/>
        <v>1071</v>
      </c>
      <c r="L265" s="13" t="s">
        <v>9</v>
      </c>
    </row>
    <row r="266" spans="2:12" ht="17.25" customHeight="1" x14ac:dyDescent="0.25">
      <c r="B266" s="9" t="s">
        <v>114</v>
      </c>
      <c r="C266" s="10" t="s">
        <v>684</v>
      </c>
      <c r="D266" s="89">
        <v>45421</v>
      </c>
      <c r="E266" s="71" t="s">
        <v>115</v>
      </c>
      <c r="F266" s="9" t="s">
        <v>703</v>
      </c>
      <c r="G266" s="160">
        <v>405</v>
      </c>
      <c r="H266" s="160"/>
      <c r="I266" s="160">
        <f t="shared" si="39"/>
        <v>405</v>
      </c>
      <c r="J266" s="160">
        <f t="shared" si="40"/>
        <v>20.25</v>
      </c>
      <c r="K266" s="160">
        <f t="shared" si="41"/>
        <v>425.25</v>
      </c>
      <c r="L266" s="13" t="s">
        <v>9</v>
      </c>
    </row>
    <row r="267" spans="2:12" ht="17.25" customHeight="1" x14ac:dyDescent="0.25">
      <c r="B267" s="9" t="s">
        <v>29</v>
      </c>
      <c r="C267" s="10" t="s">
        <v>685</v>
      </c>
      <c r="D267" s="89">
        <v>45421</v>
      </c>
      <c r="E267" s="71" t="s">
        <v>128</v>
      </c>
      <c r="F267" s="9" t="s">
        <v>704</v>
      </c>
      <c r="G267" s="160">
        <v>1600</v>
      </c>
      <c r="H267" s="160"/>
      <c r="I267" s="160">
        <f t="shared" si="39"/>
        <v>1600</v>
      </c>
      <c r="J267" s="160">
        <f t="shared" si="40"/>
        <v>80</v>
      </c>
      <c r="K267" s="160">
        <f t="shared" si="41"/>
        <v>1680</v>
      </c>
      <c r="L267" s="13" t="s">
        <v>9</v>
      </c>
    </row>
    <row r="268" spans="2:12" ht="17.25" customHeight="1" x14ac:dyDescent="0.25">
      <c r="B268" s="9" t="s">
        <v>10</v>
      </c>
      <c r="C268" s="62" t="s">
        <v>686</v>
      </c>
      <c r="D268" s="90">
        <v>45421</v>
      </c>
      <c r="E268" s="99" t="s">
        <v>16</v>
      </c>
      <c r="F268" s="61" t="s">
        <v>870</v>
      </c>
      <c r="G268" s="161" t="s">
        <v>74</v>
      </c>
      <c r="H268" s="161" t="s">
        <v>74</v>
      </c>
      <c r="I268" s="161" t="s">
        <v>74</v>
      </c>
      <c r="J268" s="161" t="s">
        <v>74</v>
      </c>
      <c r="K268" s="161" t="s">
        <v>74</v>
      </c>
      <c r="L268" s="64" t="s">
        <v>9</v>
      </c>
    </row>
    <row r="269" spans="2:12" ht="17.25" customHeight="1" x14ac:dyDescent="0.25">
      <c r="B269" s="9" t="s">
        <v>731</v>
      </c>
      <c r="C269" s="10" t="s">
        <v>705</v>
      </c>
      <c r="D269" s="89">
        <v>45423</v>
      </c>
      <c r="E269" s="70" t="s">
        <v>74</v>
      </c>
      <c r="F269" s="9" t="s">
        <v>732</v>
      </c>
      <c r="G269" s="160">
        <v>6085</v>
      </c>
      <c r="H269" s="160"/>
      <c r="I269" s="160">
        <f t="shared" si="39"/>
        <v>6085</v>
      </c>
      <c r="J269" s="160">
        <f t="shared" si="40"/>
        <v>304.25</v>
      </c>
      <c r="K269" s="160">
        <f t="shared" si="41"/>
        <v>6389.25</v>
      </c>
      <c r="L269" s="13" t="s">
        <v>9</v>
      </c>
    </row>
    <row r="270" spans="2:12" ht="17.25" customHeight="1" x14ac:dyDescent="0.25">
      <c r="B270" s="9" t="s">
        <v>357</v>
      </c>
      <c r="C270" s="10" t="s">
        <v>706</v>
      </c>
      <c r="D270" s="89">
        <v>45426</v>
      </c>
      <c r="E270" s="71" t="s">
        <v>447</v>
      </c>
      <c r="F270" s="9" t="s">
        <v>598</v>
      </c>
      <c r="G270" s="160">
        <v>125</v>
      </c>
      <c r="H270" s="160"/>
      <c r="I270" s="160">
        <f t="shared" si="39"/>
        <v>125</v>
      </c>
      <c r="J270" s="160">
        <f t="shared" si="40"/>
        <v>6.25</v>
      </c>
      <c r="K270" s="160">
        <f t="shared" si="41"/>
        <v>131.25</v>
      </c>
      <c r="L270" s="13" t="s">
        <v>9</v>
      </c>
    </row>
    <row r="271" spans="2:12" ht="17.25" customHeight="1" x14ac:dyDescent="0.25">
      <c r="B271" s="9" t="s">
        <v>558</v>
      </c>
      <c r="C271" s="10" t="s">
        <v>707</v>
      </c>
      <c r="D271" s="89">
        <v>45429</v>
      </c>
      <c r="E271" s="71" t="s">
        <v>559</v>
      </c>
      <c r="F271" s="9" t="s">
        <v>560</v>
      </c>
      <c r="G271" s="160">
        <v>250</v>
      </c>
      <c r="H271" s="160"/>
      <c r="I271" s="160">
        <f t="shared" si="39"/>
        <v>250</v>
      </c>
      <c r="J271" s="160">
        <f t="shared" si="40"/>
        <v>12.5</v>
      </c>
      <c r="K271" s="160">
        <f t="shared" si="41"/>
        <v>262.5</v>
      </c>
      <c r="L271" s="13" t="s">
        <v>78</v>
      </c>
    </row>
    <row r="272" spans="2:12" ht="17.25" customHeight="1" x14ac:dyDescent="0.25">
      <c r="B272" s="9" t="s">
        <v>515</v>
      </c>
      <c r="C272" s="10" t="s">
        <v>708</v>
      </c>
      <c r="D272" s="89">
        <v>45427</v>
      </c>
      <c r="E272" s="71" t="s">
        <v>733</v>
      </c>
      <c r="F272" s="9" t="s">
        <v>734</v>
      </c>
      <c r="G272" s="160">
        <v>12375</v>
      </c>
      <c r="H272" s="160"/>
      <c r="I272" s="160">
        <f t="shared" si="39"/>
        <v>12375</v>
      </c>
      <c r="J272" s="160">
        <f t="shared" si="40"/>
        <v>618.75</v>
      </c>
      <c r="K272" s="160">
        <f t="shared" si="41"/>
        <v>12993.75</v>
      </c>
      <c r="L272" s="13" t="s">
        <v>78</v>
      </c>
    </row>
    <row r="273" spans="2:12" ht="17.25" customHeight="1" x14ac:dyDescent="0.25">
      <c r="B273" s="9" t="s">
        <v>266</v>
      </c>
      <c r="C273" s="10" t="s">
        <v>709</v>
      </c>
      <c r="D273" s="89">
        <v>45429</v>
      </c>
      <c r="E273" s="71" t="s">
        <v>267</v>
      </c>
      <c r="F273" s="9" t="s">
        <v>735</v>
      </c>
      <c r="G273" s="160">
        <v>944</v>
      </c>
      <c r="H273" s="160"/>
      <c r="I273" s="160">
        <f t="shared" si="39"/>
        <v>944</v>
      </c>
      <c r="J273" s="160">
        <f t="shared" si="40"/>
        <v>47.2</v>
      </c>
      <c r="K273" s="160">
        <f t="shared" si="41"/>
        <v>991.2</v>
      </c>
      <c r="L273" s="13" t="s">
        <v>78</v>
      </c>
    </row>
    <row r="274" spans="2:12" ht="17.25" customHeight="1" x14ac:dyDescent="0.25">
      <c r="B274" s="9" t="s">
        <v>290</v>
      </c>
      <c r="C274" s="10" t="s">
        <v>710</v>
      </c>
      <c r="D274" s="89">
        <v>45429</v>
      </c>
      <c r="E274" s="70" t="s">
        <v>74</v>
      </c>
      <c r="F274" s="9" t="s">
        <v>129</v>
      </c>
      <c r="G274" s="160">
        <v>395</v>
      </c>
      <c r="H274" s="160"/>
      <c r="I274" s="160">
        <f t="shared" si="39"/>
        <v>395</v>
      </c>
      <c r="J274" s="160">
        <f t="shared" si="40"/>
        <v>19.75</v>
      </c>
      <c r="K274" s="160">
        <f t="shared" si="41"/>
        <v>414.75</v>
      </c>
      <c r="L274" s="13" t="s">
        <v>78</v>
      </c>
    </row>
    <row r="275" spans="2:12" ht="17.25" customHeight="1" x14ac:dyDescent="0.25">
      <c r="B275" s="9" t="s">
        <v>736</v>
      </c>
      <c r="C275" s="10" t="s">
        <v>711</v>
      </c>
      <c r="D275" s="89">
        <v>45429</v>
      </c>
      <c r="E275" s="70" t="s">
        <v>74</v>
      </c>
      <c r="F275" s="9" t="s">
        <v>737</v>
      </c>
      <c r="G275" s="160">
        <v>2195</v>
      </c>
      <c r="H275" s="160"/>
      <c r="I275" s="160">
        <f t="shared" si="39"/>
        <v>2195</v>
      </c>
      <c r="J275" s="160">
        <f t="shared" si="40"/>
        <v>109.75</v>
      </c>
      <c r="K275" s="160">
        <f t="shared" si="41"/>
        <v>2304.75</v>
      </c>
      <c r="L275" s="13" t="s">
        <v>78</v>
      </c>
    </row>
    <row r="276" spans="2:12" ht="17.25" customHeight="1" x14ac:dyDescent="0.25">
      <c r="B276" s="9" t="s">
        <v>199</v>
      </c>
      <c r="C276" s="10" t="s">
        <v>712</v>
      </c>
      <c r="D276" s="89">
        <v>45429</v>
      </c>
      <c r="E276" s="71" t="s">
        <v>201</v>
      </c>
      <c r="F276" s="9" t="s">
        <v>738</v>
      </c>
      <c r="G276" s="160">
        <v>2726.25</v>
      </c>
      <c r="H276" s="160"/>
      <c r="I276" s="160">
        <f t="shared" si="39"/>
        <v>2726.25</v>
      </c>
      <c r="J276" s="160">
        <f t="shared" si="40"/>
        <v>136.3125</v>
      </c>
      <c r="K276" s="160">
        <f t="shared" si="41"/>
        <v>2862.5625</v>
      </c>
      <c r="L276" s="13" t="s">
        <v>78</v>
      </c>
    </row>
    <row r="277" spans="2:12" ht="17.25" customHeight="1" x14ac:dyDescent="0.25">
      <c r="B277" s="9" t="s">
        <v>739</v>
      </c>
      <c r="C277" s="10" t="s">
        <v>713</v>
      </c>
      <c r="D277" s="89">
        <v>45427</v>
      </c>
      <c r="E277" s="70" t="s">
        <v>74</v>
      </c>
      <c r="F277" s="9" t="s">
        <v>740</v>
      </c>
      <c r="G277" s="160">
        <v>8385</v>
      </c>
      <c r="H277" s="160"/>
      <c r="I277" s="160">
        <f t="shared" si="39"/>
        <v>8385</v>
      </c>
      <c r="J277" s="160">
        <f t="shared" si="40"/>
        <v>419.25</v>
      </c>
      <c r="K277" s="160">
        <f t="shared" si="41"/>
        <v>8804.25</v>
      </c>
      <c r="L277" s="13" t="s">
        <v>78</v>
      </c>
    </row>
    <row r="278" spans="2:12" ht="17.25" customHeight="1" x14ac:dyDescent="0.25">
      <c r="B278" s="9" t="s">
        <v>10</v>
      </c>
      <c r="C278" s="10" t="s">
        <v>714</v>
      </c>
      <c r="D278" s="89">
        <v>45425</v>
      </c>
      <c r="E278" s="71" t="s">
        <v>16</v>
      </c>
      <c r="F278" s="9" t="s">
        <v>417</v>
      </c>
      <c r="G278" s="160">
        <v>450</v>
      </c>
      <c r="H278" s="160"/>
      <c r="I278" s="160">
        <f t="shared" si="39"/>
        <v>450</v>
      </c>
      <c r="J278" s="160">
        <f t="shared" si="40"/>
        <v>22.5</v>
      </c>
      <c r="K278" s="160">
        <f t="shared" si="41"/>
        <v>472.5</v>
      </c>
      <c r="L278" s="13" t="s">
        <v>9</v>
      </c>
    </row>
    <row r="279" spans="2:12" ht="17.25" customHeight="1" x14ac:dyDescent="0.25">
      <c r="B279" s="9" t="s">
        <v>10</v>
      </c>
      <c r="C279" s="10" t="s">
        <v>715</v>
      </c>
      <c r="D279" s="89">
        <v>45425</v>
      </c>
      <c r="E279" s="71" t="s">
        <v>16</v>
      </c>
      <c r="F279" s="9" t="s">
        <v>741</v>
      </c>
      <c r="G279" s="160">
        <v>875</v>
      </c>
      <c r="H279" s="160"/>
      <c r="I279" s="160">
        <f t="shared" si="39"/>
        <v>875</v>
      </c>
      <c r="J279" s="160">
        <f t="shared" si="40"/>
        <v>43.75</v>
      </c>
      <c r="K279" s="160">
        <f t="shared" si="41"/>
        <v>918.75</v>
      </c>
      <c r="L279" s="13" t="s">
        <v>9</v>
      </c>
    </row>
    <row r="280" spans="2:12" ht="17.25" customHeight="1" x14ac:dyDescent="0.25">
      <c r="B280" s="9" t="s">
        <v>10</v>
      </c>
      <c r="C280" s="10" t="s">
        <v>716</v>
      </c>
      <c r="D280" s="89">
        <v>45425</v>
      </c>
      <c r="E280" s="71" t="s">
        <v>16</v>
      </c>
      <c r="F280" s="9" t="s">
        <v>742</v>
      </c>
      <c r="G280" s="160">
        <v>985</v>
      </c>
      <c r="H280" s="160"/>
      <c r="I280" s="160">
        <f t="shared" si="39"/>
        <v>985</v>
      </c>
      <c r="J280" s="160">
        <f t="shared" si="40"/>
        <v>49.25</v>
      </c>
      <c r="K280" s="160">
        <f t="shared" si="41"/>
        <v>1034.25</v>
      </c>
      <c r="L280" s="13" t="s">
        <v>9</v>
      </c>
    </row>
    <row r="281" spans="2:12" ht="17.25" customHeight="1" x14ac:dyDescent="0.25">
      <c r="B281" s="9" t="s">
        <v>142</v>
      </c>
      <c r="C281" s="10" t="s">
        <v>717</v>
      </c>
      <c r="D281" s="89">
        <v>45432</v>
      </c>
      <c r="E281" s="71" t="s">
        <v>143</v>
      </c>
      <c r="F281" s="9" t="s">
        <v>743</v>
      </c>
      <c r="G281" s="160">
        <v>1266</v>
      </c>
      <c r="H281" s="160"/>
      <c r="I281" s="160">
        <f t="shared" si="39"/>
        <v>1266</v>
      </c>
      <c r="J281" s="160">
        <f t="shared" si="40"/>
        <v>63.300000000000004</v>
      </c>
      <c r="K281" s="160">
        <f t="shared" si="41"/>
        <v>1329.3</v>
      </c>
      <c r="L281" s="13" t="s">
        <v>9</v>
      </c>
    </row>
    <row r="282" spans="2:12" ht="17.25" customHeight="1" x14ac:dyDescent="0.25">
      <c r="B282" s="9" t="s">
        <v>114</v>
      </c>
      <c r="C282" s="10" t="s">
        <v>718</v>
      </c>
      <c r="D282" s="89">
        <v>45427</v>
      </c>
      <c r="E282" s="71" t="s">
        <v>115</v>
      </c>
      <c r="F282" s="9" t="s">
        <v>744</v>
      </c>
      <c r="G282" s="160">
        <v>144</v>
      </c>
      <c r="H282" s="160"/>
      <c r="I282" s="160">
        <f t="shared" si="39"/>
        <v>144</v>
      </c>
      <c r="J282" s="160">
        <f t="shared" si="40"/>
        <v>7.2</v>
      </c>
      <c r="K282" s="160">
        <f t="shared" si="41"/>
        <v>151.19999999999999</v>
      </c>
      <c r="L282" s="13" t="s">
        <v>9</v>
      </c>
    </row>
    <row r="283" spans="2:12" ht="17.25" customHeight="1" x14ac:dyDescent="0.25">
      <c r="B283" s="9" t="s">
        <v>29</v>
      </c>
      <c r="C283" s="10" t="s">
        <v>719</v>
      </c>
      <c r="D283" s="89">
        <v>45427</v>
      </c>
      <c r="E283" s="71" t="s">
        <v>128</v>
      </c>
      <c r="F283" s="9" t="s">
        <v>704</v>
      </c>
      <c r="G283" s="160">
        <v>1645</v>
      </c>
      <c r="H283" s="160"/>
      <c r="I283" s="160">
        <f t="shared" si="39"/>
        <v>1645</v>
      </c>
      <c r="J283" s="160">
        <f t="shared" si="40"/>
        <v>82.25</v>
      </c>
      <c r="K283" s="160">
        <f t="shared" si="41"/>
        <v>1727.25</v>
      </c>
      <c r="L283" s="13" t="s">
        <v>9</v>
      </c>
    </row>
    <row r="284" spans="2:12" ht="17.25" customHeight="1" x14ac:dyDescent="0.25">
      <c r="B284" s="9" t="s">
        <v>10</v>
      </c>
      <c r="C284" s="10" t="s">
        <v>720</v>
      </c>
      <c r="D284" s="89">
        <v>45427</v>
      </c>
      <c r="E284" s="71" t="s">
        <v>16</v>
      </c>
      <c r="F284" s="9" t="s">
        <v>745</v>
      </c>
      <c r="G284" s="160">
        <v>1465.75</v>
      </c>
      <c r="H284" s="160"/>
      <c r="I284" s="160">
        <f t="shared" si="39"/>
        <v>1465.75</v>
      </c>
      <c r="J284" s="160">
        <f t="shared" si="40"/>
        <v>73.287500000000009</v>
      </c>
      <c r="K284" s="160">
        <f t="shared" si="41"/>
        <v>1539.0374999999999</v>
      </c>
      <c r="L284" s="13" t="s">
        <v>9</v>
      </c>
    </row>
    <row r="285" spans="2:12" ht="17.25" customHeight="1" x14ac:dyDescent="0.25">
      <c r="B285" s="9" t="s">
        <v>731</v>
      </c>
      <c r="C285" s="10" t="s">
        <v>721</v>
      </c>
      <c r="D285" s="89">
        <v>45427</v>
      </c>
      <c r="E285" s="70" t="s">
        <v>74</v>
      </c>
      <c r="F285" s="9" t="s">
        <v>746</v>
      </c>
      <c r="G285" s="160">
        <v>4955.5</v>
      </c>
      <c r="H285" s="160"/>
      <c r="I285" s="160">
        <f t="shared" si="39"/>
        <v>4955.5</v>
      </c>
      <c r="J285" s="160">
        <f t="shared" si="40"/>
        <v>247.77500000000001</v>
      </c>
      <c r="K285" s="160">
        <f t="shared" si="41"/>
        <v>5203.2749999999996</v>
      </c>
      <c r="L285" s="13" t="s">
        <v>9</v>
      </c>
    </row>
    <row r="286" spans="2:12" ht="17.25" customHeight="1" x14ac:dyDescent="0.25">
      <c r="B286" s="9" t="s">
        <v>10</v>
      </c>
      <c r="C286" s="10" t="s">
        <v>722</v>
      </c>
      <c r="D286" s="89">
        <v>45427</v>
      </c>
      <c r="E286" s="71" t="s">
        <v>16</v>
      </c>
      <c r="F286" s="9" t="s">
        <v>747</v>
      </c>
      <c r="G286" s="160">
        <v>960</v>
      </c>
      <c r="H286" s="160"/>
      <c r="I286" s="160">
        <f t="shared" si="39"/>
        <v>960</v>
      </c>
      <c r="J286" s="160">
        <f t="shared" si="40"/>
        <v>48</v>
      </c>
      <c r="K286" s="160">
        <f t="shared" si="41"/>
        <v>1008</v>
      </c>
      <c r="L286" s="13" t="s">
        <v>9</v>
      </c>
    </row>
    <row r="287" spans="2:12" ht="17.25" customHeight="1" x14ac:dyDescent="0.25">
      <c r="B287" s="9" t="s">
        <v>10</v>
      </c>
      <c r="C287" s="10" t="s">
        <v>723</v>
      </c>
      <c r="D287" s="89">
        <v>45427</v>
      </c>
      <c r="E287" s="71" t="s">
        <v>16</v>
      </c>
      <c r="F287" s="9" t="s">
        <v>748</v>
      </c>
      <c r="G287" s="160">
        <v>300</v>
      </c>
      <c r="H287" s="160"/>
      <c r="I287" s="160">
        <f t="shared" si="39"/>
        <v>300</v>
      </c>
      <c r="J287" s="160">
        <f t="shared" si="40"/>
        <v>15</v>
      </c>
      <c r="K287" s="160">
        <f t="shared" si="41"/>
        <v>315</v>
      </c>
      <c r="L287" s="13" t="s">
        <v>9</v>
      </c>
    </row>
    <row r="288" spans="2:12" ht="17.25" customHeight="1" x14ac:dyDescent="0.25">
      <c r="B288" s="9" t="s">
        <v>10</v>
      </c>
      <c r="C288" s="10" t="s">
        <v>724</v>
      </c>
      <c r="D288" s="89">
        <v>45427</v>
      </c>
      <c r="E288" s="71" t="s">
        <v>16</v>
      </c>
      <c r="F288" s="9" t="s">
        <v>749</v>
      </c>
      <c r="G288" s="160">
        <v>3787.5</v>
      </c>
      <c r="H288" s="160"/>
      <c r="I288" s="160">
        <f t="shared" si="39"/>
        <v>3787.5</v>
      </c>
      <c r="J288" s="160">
        <f t="shared" si="40"/>
        <v>189.375</v>
      </c>
      <c r="K288" s="160">
        <f t="shared" si="41"/>
        <v>3976.875</v>
      </c>
      <c r="L288" s="13" t="s">
        <v>9</v>
      </c>
    </row>
    <row r="289" spans="2:12" ht="17.25" customHeight="1" x14ac:dyDescent="0.25">
      <c r="B289" s="9" t="s">
        <v>750</v>
      </c>
      <c r="C289" s="10" t="s">
        <v>725</v>
      </c>
      <c r="D289" s="89">
        <v>45428</v>
      </c>
      <c r="E289" s="70" t="s">
        <v>74</v>
      </c>
      <c r="F289" s="9" t="s">
        <v>751</v>
      </c>
      <c r="G289" s="160">
        <v>285.70999999999998</v>
      </c>
      <c r="H289" s="160"/>
      <c r="I289" s="160">
        <f t="shared" si="39"/>
        <v>285.70999999999998</v>
      </c>
      <c r="J289" s="160">
        <f t="shared" si="40"/>
        <v>14.285499999999999</v>
      </c>
      <c r="K289" s="160">
        <f t="shared" si="41"/>
        <v>299.99549999999999</v>
      </c>
      <c r="L289" s="13" t="s">
        <v>78</v>
      </c>
    </row>
    <row r="290" spans="2:12" ht="17.25" customHeight="1" x14ac:dyDescent="0.25">
      <c r="B290" s="9" t="s">
        <v>731</v>
      </c>
      <c r="C290" s="10" t="s">
        <v>726</v>
      </c>
      <c r="D290" s="89">
        <v>45428</v>
      </c>
      <c r="E290" s="70" t="s">
        <v>74</v>
      </c>
      <c r="F290" s="9" t="s">
        <v>752</v>
      </c>
      <c r="G290" s="160">
        <v>450</v>
      </c>
      <c r="H290" s="160"/>
      <c r="I290" s="160">
        <f t="shared" si="39"/>
        <v>450</v>
      </c>
      <c r="J290" s="160">
        <f t="shared" si="40"/>
        <v>22.5</v>
      </c>
      <c r="K290" s="160">
        <f t="shared" si="41"/>
        <v>472.5</v>
      </c>
      <c r="L290" s="13" t="s">
        <v>9</v>
      </c>
    </row>
    <row r="291" spans="2:12" ht="17.25" customHeight="1" x14ac:dyDescent="0.25">
      <c r="B291" s="9" t="s">
        <v>184</v>
      </c>
      <c r="C291" s="10" t="s">
        <v>727</v>
      </c>
      <c r="D291" s="89">
        <v>45429</v>
      </c>
      <c r="E291" s="71" t="s">
        <v>185</v>
      </c>
      <c r="F291" s="9" t="s">
        <v>598</v>
      </c>
      <c r="G291" s="160">
        <v>190</v>
      </c>
      <c r="H291" s="160"/>
      <c r="I291" s="160">
        <f t="shared" si="39"/>
        <v>190</v>
      </c>
      <c r="J291" s="160">
        <f t="shared" si="40"/>
        <v>9.5</v>
      </c>
      <c r="K291" s="160">
        <f t="shared" si="41"/>
        <v>199.5</v>
      </c>
      <c r="L291" s="13" t="s">
        <v>1046</v>
      </c>
    </row>
    <row r="292" spans="2:12" ht="17.25" customHeight="1" x14ac:dyDescent="0.25">
      <c r="B292" s="9" t="s">
        <v>29</v>
      </c>
      <c r="C292" s="10" t="s">
        <v>728</v>
      </c>
      <c r="D292" s="89">
        <v>45432</v>
      </c>
      <c r="E292" s="71" t="s">
        <v>128</v>
      </c>
      <c r="F292" s="9" t="s">
        <v>704</v>
      </c>
      <c r="G292" s="160">
        <v>1892</v>
      </c>
      <c r="H292" s="160"/>
      <c r="I292" s="160">
        <f t="shared" si="39"/>
        <v>1892</v>
      </c>
      <c r="J292" s="160">
        <f t="shared" si="40"/>
        <v>94.600000000000009</v>
      </c>
      <c r="K292" s="160">
        <f t="shared" si="41"/>
        <v>1986.6</v>
      </c>
      <c r="L292" s="13" t="s">
        <v>9</v>
      </c>
    </row>
    <row r="293" spans="2:12" ht="17.25" customHeight="1" x14ac:dyDescent="0.25">
      <c r="B293" s="9" t="s">
        <v>753</v>
      </c>
      <c r="C293" s="10" t="s">
        <v>729</v>
      </c>
      <c r="D293" s="89">
        <v>45432</v>
      </c>
      <c r="E293" s="70" t="s">
        <v>74</v>
      </c>
      <c r="F293" s="9" t="s">
        <v>754</v>
      </c>
      <c r="G293" s="160">
        <v>2173.75</v>
      </c>
      <c r="H293" s="160"/>
      <c r="I293" s="160">
        <f t="shared" si="39"/>
        <v>2173.75</v>
      </c>
      <c r="J293" s="160">
        <f t="shared" si="40"/>
        <v>108.6875</v>
      </c>
      <c r="K293" s="160">
        <f t="shared" si="41"/>
        <v>2282.4375</v>
      </c>
      <c r="L293" s="13" t="s">
        <v>78</v>
      </c>
    </row>
    <row r="294" spans="2:12" ht="17.25" customHeight="1" x14ac:dyDescent="0.25">
      <c r="B294" s="9" t="s">
        <v>75</v>
      </c>
      <c r="C294" s="10" t="s">
        <v>730</v>
      </c>
      <c r="D294" s="89">
        <v>45432</v>
      </c>
      <c r="E294" s="71" t="s">
        <v>76</v>
      </c>
      <c r="F294" s="9" t="s">
        <v>598</v>
      </c>
      <c r="G294" s="160">
        <v>1060</v>
      </c>
      <c r="H294" s="160"/>
      <c r="I294" s="160">
        <f t="shared" si="39"/>
        <v>1060</v>
      </c>
      <c r="J294" s="160">
        <f t="shared" si="40"/>
        <v>53</v>
      </c>
      <c r="K294" s="160">
        <f t="shared" si="41"/>
        <v>1113</v>
      </c>
      <c r="L294" s="13" t="s">
        <v>78</v>
      </c>
    </row>
    <row r="295" spans="2:12" ht="17.25" customHeight="1" x14ac:dyDescent="0.25">
      <c r="B295" s="9" t="s">
        <v>203</v>
      </c>
      <c r="C295" s="10" t="s">
        <v>755</v>
      </c>
      <c r="D295" s="89">
        <v>45433</v>
      </c>
      <c r="E295" s="71" t="s">
        <v>205</v>
      </c>
      <c r="F295" s="9" t="s">
        <v>769</v>
      </c>
      <c r="G295" s="160">
        <v>3207.6</v>
      </c>
      <c r="H295" s="160"/>
      <c r="I295" s="160">
        <f t="shared" si="39"/>
        <v>3207.6</v>
      </c>
      <c r="J295" s="160">
        <f t="shared" si="40"/>
        <v>160.38</v>
      </c>
      <c r="K295" s="160">
        <f t="shared" si="41"/>
        <v>3367.98</v>
      </c>
      <c r="L295" s="13" t="s">
        <v>78</v>
      </c>
    </row>
    <row r="296" spans="2:12" ht="17.25" customHeight="1" x14ac:dyDescent="0.25">
      <c r="B296" s="9" t="s">
        <v>203</v>
      </c>
      <c r="C296" s="10" t="s">
        <v>756</v>
      </c>
      <c r="D296" s="89">
        <v>45433</v>
      </c>
      <c r="E296" s="71" t="s">
        <v>205</v>
      </c>
      <c r="F296" s="9" t="s">
        <v>769</v>
      </c>
      <c r="G296" s="160">
        <v>89.1</v>
      </c>
      <c r="H296" s="160"/>
      <c r="I296" s="160">
        <f t="shared" si="39"/>
        <v>89.1</v>
      </c>
      <c r="J296" s="160">
        <f t="shared" si="40"/>
        <v>4.4550000000000001</v>
      </c>
      <c r="K296" s="160">
        <f t="shared" si="41"/>
        <v>93.554999999999993</v>
      </c>
      <c r="L296" s="13" t="s">
        <v>78</v>
      </c>
    </row>
    <row r="297" spans="2:12" ht="17.25" customHeight="1" x14ac:dyDescent="0.25">
      <c r="B297" s="9" t="s">
        <v>770</v>
      </c>
      <c r="C297" s="10" t="s">
        <v>757</v>
      </c>
      <c r="D297" s="89">
        <v>45432</v>
      </c>
      <c r="E297" s="70" t="s">
        <v>74</v>
      </c>
      <c r="F297" s="9" t="s">
        <v>771</v>
      </c>
      <c r="G297" s="160">
        <v>1183</v>
      </c>
      <c r="H297" s="160"/>
      <c r="I297" s="160">
        <f t="shared" si="39"/>
        <v>1183</v>
      </c>
      <c r="J297" s="160">
        <f t="shared" si="40"/>
        <v>59.150000000000006</v>
      </c>
      <c r="K297" s="160">
        <f t="shared" si="41"/>
        <v>1242.1500000000001</v>
      </c>
      <c r="L297" s="13" t="s">
        <v>9</v>
      </c>
    </row>
    <row r="298" spans="2:12" s="133" customFormat="1" ht="17.25" customHeight="1" x14ac:dyDescent="0.25">
      <c r="B298" s="76" t="s">
        <v>114</v>
      </c>
      <c r="C298" s="77" t="s">
        <v>758</v>
      </c>
      <c r="D298" s="134">
        <v>45432</v>
      </c>
      <c r="E298" s="135"/>
      <c r="F298" s="76" t="s">
        <v>821</v>
      </c>
      <c r="G298" s="166"/>
      <c r="H298" s="166"/>
      <c r="I298" s="166">
        <f t="shared" si="39"/>
        <v>0</v>
      </c>
      <c r="J298" s="166">
        <f t="shared" si="40"/>
        <v>0</v>
      </c>
      <c r="K298" s="166">
        <f t="shared" si="41"/>
        <v>0</v>
      </c>
      <c r="L298" s="78" t="s">
        <v>9</v>
      </c>
    </row>
    <row r="299" spans="2:12" ht="17.25" customHeight="1" x14ac:dyDescent="0.25">
      <c r="B299" s="9" t="s">
        <v>114</v>
      </c>
      <c r="C299" s="10" t="s">
        <v>759</v>
      </c>
      <c r="D299" s="89">
        <v>45432</v>
      </c>
      <c r="E299" s="71" t="s">
        <v>115</v>
      </c>
      <c r="F299" s="9" t="s">
        <v>129</v>
      </c>
      <c r="G299" s="160">
        <v>1190</v>
      </c>
      <c r="H299" s="160"/>
      <c r="I299" s="160">
        <f t="shared" si="39"/>
        <v>1190</v>
      </c>
      <c r="J299" s="160">
        <f t="shared" si="40"/>
        <v>59.5</v>
      </c>
      <c r="K299" s="160">
        <f t="shared" si="41"/>
        <v>1249.5</v>
      </c>
      <c r="L299" s="13" t="s">
        <v>9</v>
      </c>
    </row>
    <row r="300" spans="2:12" ht="17.25" customHeight="1" x14ac:dyDescent="0.25">
      <c r="B300" s="9" t="s">
        <v>114</v>
      </c>
      <c r="C300" s="10" t="s">
        <v>760</v>
      </c>
      <c r="D300" s="89">
        <v>45432</v>
      </c>
      <c r="E300" s="71" t="s">
        <v>115</v>
      </c>
      <c r="F300" s="9" t="s">
        <v>598</v>
      </c>
      <c r="G300" s="160">
        <v>470</v>
      </c>
      <c r="H300" s="160"/>
      <c r="I300" s="160">
        <f t="shared" si="39"/>
        <v>470</v>
      </c>
      <c r="J300" s="160">
        <f t="shared" si="40"/>
        <v>23.5</v>
      </c>
      <c r="K300" s="160">
        <f t="shared" si="41"/>
        <v>493.5</v>
      </c>
      <c r="L300" s="13" t="s">
        <v>9</v>
      </c>
    </row>
    <row r="301" spans="2:12" ht="17.25" customHeight="1" x14ac:dyDescent="0.25">
      <c r="B301" s="9" t="s">
        <v>122</v>
      </c>
      <c r="C301" s="10" t="s">
        <v>761</v>
      </c>
      <c r="D301" s="89">
        <v>45433</v>
      </c>
      <c r="E301" s="70" t="s">
        <v>74</v>
      </c>
      <c r="F301" s="9" t="s">
        <v>772</v>
      </c>
      <c r="G301" s="160">
        <v>975</v>
      </c>
      <c r="H301" s="160"/>
      <c r="I301" s="160">
        <f t="shared" ref="I301:I348" si="42">G301-H301</f>
        <v>975</v>
      </c>
      <c r="J301" s="160">
        <f t="shared" ref="J301:J348" si="43">G301*5%</f>
        <v>48.75</v>
      </c>
      <c r="K301" s="160">
        <f t="shared" ref="K301:K348" si="44">G301+J301</f>
        <v>1023.75</v>
      </c>
      <c r="L301" s="13" t="s">
        <v>9</v>
      </c>
    </row>
    <row r="302" spans="2:12" ht="17.25" customHeight="1" x14ac:dyDescent="0.25">
      <c r="B302" s="9" t="s">
        <v>29</v>
      </c>
      <c r="C302" s="10" t="s">
        <v>762</v>
      </c>
      <c r="D302" s="89">
        <v>45433</v>
      </c>
      <c r="E302" s="71" t="s">
        <v>128</v>
      </c>
      <c r="F302" s="9" t="s">
        <v>225</v>
      </c>
      <c r="G302" s="160">
        <v>275</v>
      </c>
      <c r="H302" s="160"/>
      <c r="I302" s="160">
        <f t="shared" si="42"/>
        <v>275</v>
      </c>
      <c r="J302" s="160">
        <f t="shared" si="43"/>
        <v>13.75</v>
      </c>
      <c r="K302" s="160">
        <f t="shared" si="44"/>
        <v>288.75</v>
      </c>
      <c r="L302" s="13" t="s">
        <v>9</v>
      </c>
    </row>
    <row r="303" spans="2:12" ht="17.25" customHeight="1" x14ac:dyDescent="0.25">
      <c r="B303" s="9" t="s">
        <v>10</v>
      </c>
      <c r="C303" s="10" t="s">
        <v>763</v>
      </c>
      <c r="D303" s="89">
        <v>45430</v>
      </c>
      <c r="E303" s="71" t="s">
        <v>16</v>
      </c>
      <c r="F303" s="9" t="s">
        <v>796</v>
      </c>
      <c r="G303" s="160">
        <v>875</v>
      </c>
      <c r="H303" s="160"/>
      <c r="I303" s="160">
        <f t="shared" si="42"/>
        <v>875</v>
      </c>
      <c r="J303" s="160">
        <f t="shared" si="43"/>
        <v>43.75</v>
      </c>
      <c r="K303" s="160">
        <f t="shared" si="44"/>
        <v>918.75</v>
      </c>
      <c r="L303" s="13" t="s">
        <v>9</v>
      </c>
    </row>
    <row r="304" spans="2:12" ht="17.25" customHeight="1" x14ac:dyDescent="0.25">
      <c r="B304" s="9" t="s">
        <v>10</v>
      </c>
      <c r="C304" s="10" t="s">
        <v>764</v>
      </c>
      <c r="D304" s="89">
        <v>45433</v>
      </c>
      <c r="E304" s="71" t="s">
        <v>16</v>
      </c>
      <c r="F304" s="9" t="s">
        <v>797</v>
      </c>
      <c r="G304" s="160">
        <v>105</v>
      </c>
      <c r="H304" s="160"/>
      <c r="I304" s="160">
        <f t="shared" si="42"/>
        <v>105</v>
      </c>
      <c r="J304" s="160">
        <f t="shared" si="43"/>
        <v>5.25</v>
      </c>
      <c r="K304" s="160">
        <f t="shared" si="44"/>
        <v>110.25</v>
      </c>
      <c r="L304" s="13" t="s">
        <v>9</v>
      </c>
    </row>
    <row r="305" spans="2:12" ht="17.25" customHeight="1" x14ac:dyDescent="0.25">
      <c r="B305" s="9" t="s">
        <v>10</v>
      </c>
      <c r="C305" s="10" t="s">
        <v>765</v>
      </c>
      <c r="D305" s="89">
        <v>45433</v>
      </c>
      <c r="E305" s="71" t="s">
        <v>16</v>
      </c>
      <c r="F305" s="9" t="s">
        <v>798</v>
      </c>
      <c r="G305" s="160">
        <v>540</v>
      </c>
      <c r="H305" s="160"/>
      <c r="I305" s="160">
        <f t="shared" si="42"/>
        <v>540</v>
      </c>
      <c r="J305" s="160">
        <f t="shared" si="43"/>
        <v>27</v>
      </c>
      <c r="K305" s="160">
        <f t="shared" si="44"/>
        <v>567</v>
      </c>
      <c r="L305" s="13" t="s">
        <v>9</v>
      </c>
    </row>
    <row r="306" spans="2:12" ht="17.25" customHeight="1" x14ac:dyDescent="0.25">
      <c r="B306" s="9" t="s">
        <v>100</v>
      </c>
      <c r="C306" s="10" t="s">
        <v>766</v>
      </c>
      <c r="D306" s="89">
        <v>45433</v>
      </c>
      <c r="E306" s="70" t="s">
        <v>74</v>
      </c>
      <c r="F306" s="9" t="s">
        <v>598</v>
      </c>
      <c r="G306" s="160">
        <v>1145</v>
      </c>
      <c r="H306" s="160"/>
      <c r="I306" s="160">
        <f t="shared" si="42"/>
        <v>1145</v>
      </c>
      <c r="J306" s="160">
        <f t="shared" si="43"/>
        <v>57.25</v>
      </c>
      <c r="K306" s="160">
        <f t="shared" si="44"/>
        <v>1202.25</v>
      </c>
      <c r="L306" s="13" t="s">
        <v>9</v>
      </c>
    </row>
    <row r="307" spans="2:12" ht="17.25" customHeight="1" x14ac:dyDescent="0.25">
      <c r="B307" s="9" t="s">
        <v>94</v>
      </c>
      <c r="C307" s="10" t="s">
        <v>767</v>
      </c>
      <c r="D307" s="89">
        <v>45435</v>
      </c>
      <c r="E307" s="71" t="s">
        <v>96</v>
      </c>
      <c r="F307" s="9" t="s">
        <v>598</v>
      </c>
      <c r="G307" s="160">
        <v>440</v>
      </c>
      <c r="H307" s="160"/>
      <c r="I307" s="160">
        <f t="shared" si="42"/>
        <v>440</v>
      </c>
      <c r="J307" s="160">
        <f t="shared" si="43"/>
        <v>22</v>
      </c>
      <c r="K307" s="160">
        <f t="shared" si="44"/>
        <v>462</v>
      </c>
      <c r="L307" s="13" t="s">
        <v>78</v>
      </c>
    </row>
    <row r="308" spans="2:12" ht="17.25" customHeight="1" x14ac:dyDescent="0.25">
      <c r="B308" s="9" t="s">
        <v>203</v>
      </c>
      <c r="C308" s="10" t="s">
        <v>768</v>
      </c>
      <c r="D308" s="89">
        <v>45439</v>
      </c>
      <c r="E308" s="71" t="s">
        <v>205</v>
      </c>
      <c r="F308" s="9" t="s">
        <v>769</v>
      </c>
      <c r="G308" s="160">
        <v>178.2</v>
      </c>
      <c r="H308" s="160"/>
      <c r="I308" s="160">
        <f t="shared" si="42"/>
        <v>178.2</v>
      </c>
      <c r="J308" s="160">
        <f t="shared" si="43"/>
        <v>8.91</v>
      </c>
      <c r="K308" s="160">
        <f t="shared" si="44"/>
        <v>187.10999999999999</v>
      </c>
      <c r="L308" s="13" t="s">
        <v>78</v>
      </c>
    </row>
    <row r="309" spans="2:12" ht="17.25" customHeight="1" x14ac:dyDescent="0.25">
      <c r="B309" s="9" t="s">
        <v>29</v>
      </c>
      <c r="C309" s="10" t="s">
        <v>773</v>
      </c>
      <c r="D309" s="89">
        <v>45439</v>
      </c>
      <c r="E309" s="71" t="s">
        <v>128</v>
      </c>
      <c r="F309" s="9" t="s">
        <v>799</v>
      </c>
      <c r="G309" s="160">
        <v>5242.5</v>
      </c>
      <c r="H309" s="160"/>
      <c r="I309" s="160">
        <f t="shared" si="42"/>
        <v>5242.5</v>
      </c>
      <c r="J309" s="160">
        <f t="shared" si="43"/>
        <v>262.125</v>
      </c>
      <c r="K309" s="160">
        <f t="shared" si="44"/>
        <v>5504.625</v>
      </c>
      <c r="L309" s="13" t="s">
        <v>9</v>
      </c>
    </row>
    <row r="310" spans="2:12" ht="17.25" customHeight="1" x14ac:dyDescent="0.25">
      <c r="B310" s="9" t="s">
        <v>114</v>
      </c>
      <c r="C310" s="10" t="s">
        <v>774</v>
      </c>
      <c r="D310" s="89">
        <v>45439</v>
      </c>
      <c r="E310" s="71" t="s">
        <v>115</v>
      </c>
      <c r="F310" s="9" t="s">
        <v>134</v>
      </c>
      <c r="G310" s="160">
        <v>2250</v>
      </c>
      <c r="H310" s="160"/>
      <c r="I310" s="160">
        <f t="shared" si="42"/>
        <v>2250</v>
      </c>
      <c r="J310" s="160">
        <f t="shared" si="43"/>
        <v>112.5</v>
      </c>
      <c r="K310" s="160">
        <f t="shared" si="44"/>
        <v>2362.5</v>
      </c>
      <c r="L310" s="13" t="s">
        <v>9</v>
      </c>
    </row>
    <row r="311" spans="2:12" ht="17.25" customHeight="1" x14ac:dyDescent="0.25">
      <c r="B311" s="9" t="s">
        <v>26</v>
      </c>
      <c r="C311" s="10" t="s">
        <v>775</v>
      </c>
      <c r="D311" s="89">
        <v>45439</v>
      </c>
      <c r="E311" s="71" t="s">
        <v>21</v>
      </c>
      <c r="F311" s="9" t="s">
        <v>225</v>
      </c>
      <c r="G311" s="160">
        <v>450</v>
      </c>
      <c r="H311" s="160"/>
      <c r="I311" s="160">
        <f t="shared" si="42"/>
        <v>450</v>
      </c>
      <c r="J311" s="160">
        <f t="shared" si="43"/>
        <v>22.5</v>
      </c>
      <c r="K311" s="160">
        <f t="shared" si="44"/>
        <v>472.5</v>
      </c>
      <c r="L311" s="13" t="s">
        <v>9</v>
      </c>
    </row>
    <row r="312" spans="2:12" ht="17.25" customHeight="1" x14ac:dyDescent="0.25">
      <c r="B312" s="9" t="s">
        <v>102</v>
      </c>
      <c r="C312" s="10" t="s">
        <v>776</v>
      </c>
      <c r="D312" s="89">
        <v>45435</v>
      </c>
      <c r="E312" s="71" t="s">
        <v>104</v>
      </c>
      <c r="F312" s="9" t="s">
        <v>800</v>
      </c>
      <c r="G312" s="160">
        <v>1060</v>
      </c>
      <c r="H312" s="160"/>
      <c r="I312" s="160">
        <f t="shared" si="42"/>
        <v>1060</v>
      </c>
      <c r="J312" s="160">
        <f t="shared" si="43"/>
        <v>53</v>
      </c>
      <c r="K312" s="160">
        <f t="shared" si="44"/>
        <v>1113</v>
      </c>
      <c r="L312" s="13" t="s">
        <v>9</v>
      </c>
    </row>
    <row r="313" spans="2:12" ht="17.25" customHeight="1" x14ac:dyDescent="0.25">
      <c r="B313" s="9" t="s">
        <v>10</v>
      </c>
      <c r="C313" s="10" t="s">
        <v>777</v>
      </c>
      <c r="D313" s="89">
        <v>45437</v>
      </c>
      <c r="E313" s="71" t="s">
        <v>16</v>
      </c>
      <c r="F313" s="9" t="s">
        <v>801</v>
      </c>
      <c r="G313" s="160">
        <v>666.25</v>
      </c>
      <c r="H313" s="160"/>
      <c r="I313" s="160">
        <f t="shared" si="42"/>
        <v>666.25</v>
      </c>
      <c r="J313" s="160">
        <f t="shared" si="43"/>
        <v>33.3125</v>
      </c>
      <c r="K313" s="160">
        <f t="shared" si="44"/>
        <v>699.5625</v>
      </c>
      <c r="L313" s="13" t="s">
        <v>9</v>
      </c>
    </row>
    <row r="314" spans="2:12" ht="17.25" customHeight="1" x14ac:dyDescent="0.25">
      <c r="B314" s="9" t="s">
        <v>10</v>
      </c>
      <c r="C314" s="10" t="s">
        <v>778</v>
      </c>
      <c r="D314" s="89">
        <v>45437</v>
      </c>
      <c r="E314" s="71" t="s">
        <v>16</v>
      </c>
      <c r="F314" s="9" t="s">
        <v>802</v>
      </c>
      <c r="G314" s="160">
        <v>550</v>
      </c>
      <c r="H314" s="160"/>
      <c r="I314" s="160">
        <f t="shared" si="42"/>
        <v>550</v>
      </c>
      <c r="J314" s="160">
        <f t="shared" si="43"/>
        <v>27.5</v>
      </c>
      <c r="K314" s="160">
        <f t="shared" si="44"/>
        <v>577.5</v>
      </c>
      <c r="L314" s="13" t="s">
        <v>9</v>
      </c>
    </row>
    <row r="315" spans="2:12" ht="17.25" customHeight="1" x14ac:dyDescent="0.25">
      <c r="B315" s="9" t="s">
        <v>535</v>
      </c>
      <c r="C315" s="10" t="s">
        <v>779</v>
      </c>
      <c r="D315" s="89">
        <v>45439</v>
      </c>
      <c r="E315" s="71" t="s">
        <v>561</v>
      </c>
      <c r="F315" s="9" t="s">
        <v>803</v>
      </c>
      <c r="G315" s="160">
        <v>1240</v>
      </c>
      <c r="H315" s="160"/>
      <c r="I315" s="160">
        <f t="shared" si="42"/>
        <v>1240</v>
      </c>
      <c r="J315" s="160">
        <f t="shared" si="43"/>
        <v>62</v>
      </c>
      <c r="K315" s="160">
        <f t="shared" si="44"/>
        <v>1302</v>
      </c>
      <c r="L315" s="13" t="s">
        <v>78</v>
      </c>
    </row>
    <row r="316" spans="2:12" ht="17.25" customHeight="1" x14ac:dyDescent="0.25">
      <c r="B316" s="9" t="s">
        <v>43</v>
      </c>
      <c r="C316" s="10" t="s">
        <v>780</v>
      </c>
      <c r="D316" s="89">
        <v>45440</v>
      </c>
      <c r="E316" s="71" t="s">
        <v>30</v>
      </c>
      <c r="F316" s="9" t="s">
        <v>804</v>
      </c>
      <c r="G316" s="160">
        <v>869</v>
      </c>
      <c r="H316" s="160"/>
      <c r="I316" s="160">
        <f t="shared" si="42"/>
        <v>869</v>
      </c>
      <c r="J316" s="160">
        <f t="shared" si="43"/>
        <v>43.45</v>
      </c>
      <c r="K316" s="160">
        <f t="shared" si="44"/>
        <v>912.45</v>
      </c>
      <c r="L316" s="13" t="s">
        <v>9</v>
      </c>
    </row>
    <row r="317" spans="2:12" ht="17.25" customHeight="1" x14ac:dyDescent="0.25">
      <c r="B317" s="9" t="s">
        <v>357</v>
      </c>
      <c r="C317" s="10" t="s">
        <v>781</v>
      </c>
      <c r="D317" s="89">
        <v>45440</v>
      </c>
      <c r="E317" s="71" t="s">
        <v>805</v>
      </c>
      <c r="F317" s="9" t="s">
        <v>95</v>
      </c>
      <c r="G317" s="160">
        <v>295</v>
      </c>
      <c r="H317" s="160"/>
      <c r="I317" s="160">
        <f t="shared" si="42"/>
        <v>295</v>
      </c>
      <c r="J317" s="160">
        <f t="shared" si="43"/>
        <v>14.75</v>
      </c>
      <c r="K317" s="160">
        <f t="shared" si="44"/>
        <v>309.75</v>
      </c>
      <c r="L317" s="13" t="s">
        <v>9</v>
      </c>
    </row>
    <row r="318" spans="2:12" ht="17.25" customHeight="1" x14ac:dyDescent="0.25">
      <c r="B318" s="9" t="s">
        <v>10</v>
      </c>
      <c r="C318" s="10" t="s">
        <v>782</v>
      </c>
      <c r="D318" s="89">
        <v>45441</v>
      </c>
      <c r="E318" s="71" t="s">
        <v>16</v>
      </c>
      <c r="F318" s="9" t="s">
        <v>806</v>
      </c>
      <c r="G318" s="160">
        <v>685.02</v>
      </c>
      <c r="H318" s="160"/>
      <c r="I318" s="160">
        <f t="shared" si="42"/>
        <v>685.02</v>
      </c>
      <c r="J318" s="160">
        <f t="shared" si="43"/>
        <v>34.250999999999998</v>
      </c>
      <c r="K318" s="160">
        <f t="shared" si="44"/>
        <v>719.27099999999996</v>
      </c>
      <c r="L318" s="13" t="s">
        <v>9</v>
      </c>
    </row>
    <row r="319" spans="2:12" ht="17.25" customHeight="1" x14ac:dyDescent="0.25">
      <c r="B319" s="9" t="s">
        <v>102</v>
      </c>
      <c r="C319" s="10" t="s">
        <v>783</v>
      </c>
      <c r="D319" s="89">
        <v>45439</v>
      </c>
      <c r="E319" s="71" t="s">
        <v>104</v>
      </c>
      <c r="F319" s="9" t="s">
        <v>807</v>
      </c>
      <c r="G319" s="160">
        <v>2507</v>
      </c>
      <c r="H319" s="160"/>
      <c r="I319" s="160">
        <f t="shared" si="42"/>
        <v>2507</v>
      </c>
      <c r="J319" s="160">
        <f t="shared" si="43"/>
        <v>125.35000000000001</v>
      </c>
      <c r="K319" s="160">
        <f t="shared" si="44"/>
        <v>2632.35</v>
      </c>
      <c r="L319" s="13" t="s">
        <v>9</v>
      </c>
    </row>
    <row r="320" spans="2:12" ht="17.25" customHeight="1" x14ac:dyDescent="0.25">
      <c r="B320" s="9" t="s">
        <v>102</v>
      </c>
      <c r="C320" s="10" t="s">
        <v>784</v>
      </c>
      <c r="D320" s="89">
        <v>45439</v>
      </c>
      <c r="E320" s="71" t="s">
        <v>104</v>
      </c>
      <c r="F320" s="9" t="s">
        <v>808</v>
      </c>
      <c r="G320" s="160">
        <v>5685</v>
      </c>
      <c r="H320" s="160"/>
      <c r="I320" s="160">
        <f t="shared" si="42"/>
        <v>5685</v>
      </c>
      <c r="J320" s="160">
        <f t="shared" si="43"/>
        <v>284.25</v>
      </c>
      <c r="K320" s="160">
        <f t="shared" si="44"/>
        <v>5969.25</v>
      </c>
      <c r="L320" s="13" t="s">
        <v>9</v>
      </c>
    </row>
    <row r="321" spans="2:12" ht="17.25" customHeight="1" x14ac:dyDescent="0.25">
      <c r="B321" s="9" t="s">
        <v>102</v>
      </c>
      <c r="C321" s="10" t="s">
        <v>785</v>
      </c>
      <c r="D321" s="89">
        <v>45440</v>
      </c>
      <c r="E321" s="71" t="s">
        <v>104</v>
      </c>
      <c r="F321" s="9" t="s">
        <v>809</v>
      </c>
      <c r="G321" s="160">
        <v>590</v>
      </c>
      <c r="H321" s="160"/>
      <c r="I321" s="160">
        <f t="shared" si="42"/>
        <v>590</v>
      </c>
      <c r="J321" s="160">
        <f t="shared" si="43"/>
        <v>29.5</v>
      </c>
      <c r="K321" s="160">
        <f t="shared" si="44"/>
        <v>619.5</v>
      </c>
      <c r="L321" s="13" t="s">
        <v>9</v>
      </c>
    </row>
    <row r="322" spans="2:12" ht="17.25" customHeight="1" x14ac:dyDescent="0.25">
      <c r="B322" s="9" t="s">
        <v>102</v>
      </c>
      <c r="C322" s="10" t="s">
        <v>786</v>
      </c>
      <c r="D322" s="89">
        <v>45439</v>
      </c>
      <c r="E322" s="71" t="s">
        <v>104</v>
      </c>
      <c r="F322" s="9" t="s">
        <v>810</v>
      </c>
      <c r="G322" s="160">
        <v>284.92</v>
      </c>
      <c r="H322" s="160"/>
      <c r="I322" s="160">
        <f t="shared" si="42"/>
        <v>284.92</v>
      </c>
      <c r="J322" s="160">
        <f t="shared" si="43"/>
        <v>14.246000000000002</v>
      </c>
      <c r="K322" s="160">
        <f t="shared" si="44"/>
        <v>299.166</v>
      </c>
      <c r="L322" s="13" t="s">
        <v>9</v>
      </c>
    </row>
    <row r="323" spans="2:12" ht="17.25" customHeight="1" x14ac:dyDescent="0.25">
      <c r="B323" s="9" t="s">
        <v>628</v>
      </c>
      <c r="C323" s="10" t="s">
        <v>787</v>
      </c>
      <c r="D323" s="89">
        <v>45441</v>
      </c>
      <c r="E323" s="71" t="s">
        <v>629</v>
      </c>
      <c r="F323" s="9" t="s">
        <v>630</v>
      </c>
      <c r="G323" s="160">
        <v>195</v>
      </c>
      <c r="H323" s="160"/>
      <c r="I323" s="160">
        <f t="shared" si="42"/>
        <v>195</v>
      </c>
      <c r="J323" s="160">
        <f t="shared" si="43"/>
        <v>9.75</v>
      </c>
      <c r="K323" s="160">
        <f t="shared" si="44"/>
        <v>204.75</v>
      </c>
      <c r="L323" s="13" t="s">
        <v>9</v>
      </c>
    </row>
    <row r="324" spans="2:12" ht="17.25" customHeight="1" x14ac:dyDescent="0.25">
      <c r="B324" s="9" t="s">
        <v>29</v>
      </c>
      <c r="C324" s="10" t="s">
        <v>788</v>
      </c>
      <c r="D324" s="89">
        <v>45441</v>
      </c>
      <c r="E324" s="71" t="s">
        <v>128</v>
      </c>
      <c r="F324" s="9" t="s">
        <v>225</v>
      </c>
      <c r="G324" s="160">
        <v>275</v>
      </c>
      <c r="H324" s="160"/>
      <c r="I324" s="160">
        <f t="shared" si="42"/>
        <v>275</v>
      </c>
      <c r="J324" s="160">
        <f t="shared" si="43"/>
        <v>13.75</v>
      </c>
      <c r="K324" s="160">
        <f t="shared" si="44"/>
        <v>288.75</v>
      </c>
      <c r="L324" s="13" t="s">
        <v>9</v>
      </c>
    </row>
    <row r="325" spans="2:12" ht="17.25" customHeight="1" x14ac:dyDescent="0.25">
      <c r="B325" s="9" t="s">
        <v>10</v>
      </c>
      <c r="C325" s="10" t="s">
        <v>789</v>
      </c>
      <c r="D325" s="89">
        <v>45442</v>
      </c>
      <c r="E325" s="71" t="s">
        <v>16</v>
      </c>
      <c r="F325" s="9" t="s">
        <v>510</v>
      </c>
      <c r="G325" s="160">
        <v>420</v>
      </c>
      <c r="H325" s="160"/>
      <c r="I325" s="160">
        <f t="shared" si="42"/>
        <v>420</v>
      </c>
      <c r="J325" s="160">
        <f t="shared" si="43"/>
        <v>21</v>
      </c>
      <c r="K325" s="160">
        <f t="shared" si="44"/>
        <v>441</v>
      </c>
      <c r="L325" s="13" t="s">
        <v>9</v>
      </c>
    </row>
    <row r="326" spans="2:12" ht="17.25" customHeight="1" x14ac:dyDescent="0.25">
      <c r="B326" s="9" t="s">
        <v>10</v>
      </c>
      <c r="C326" s="10" t="s">
        <v>790</v>
      </c>
      <c r="D326" s="89">
        <v>45442</v>
      </c>
      <c r="E326" s="71" t="s">
        <v>16</v>
      </c>
      <c r="F326" s="9" t="s">
        <v>811</v>
      </c>
      <c r="G326" s="160">
        <v>350</v>
      </c>
      <c r="H326" s="160"/>
      <c r="I326" s="160">
        <f t="shared" si="42"/>
        <v>350</v>
      </c>
      <c r="J326" s="160">
        <f t="shared" si="43"/>
        <v>17.5</v>
      </c>
      <c r="K326" s="160">
        <f t="shared" si="44"/>
        <v>367.5</v>
      </c>
      <c r="L326" s="13" t="s">
        <v>9</v>
      </c>
    </row>
    <row r="327" spans="2:12" ht="17.25" customHeight="1" x14ac:dyDescent="0.25">
      <c r="B327" s="9" t="s">
        <v>97</v>
      </c>
      <c r="C327" s="10" t="s">
        <v>791</v>
      </c>
      <c r="D327" s="89">
        <v>45443</v>
      </c>
      <c r="E327" s="71" t="s">
        <v>98</v>
      </c>
      <c r="F327" s="9" t="s">
        <v>812</v>
      </c>
      <c r="G327" s="160">
        <v>1612.5</v>
      </c>
      <c r="H327" s="160"/>
      <c r="I327" s="160">
        <f t="shared" si="42"/>
        <v>1612.5</v>
      </c>
      <c r="J327" s="160">
        <f t="shared" si="43"/>
        <v>80.625</v>
      </c>
      <c r="K327" s="160">
        <f t="shared" si="44"/>
        <v>1693.125</v>
      </c>
      <c r="L327" s="13" t="s">
        <v>78</v>
      </c>
    </row>
    <row r="328" spans="2:12" ht="17.25" customHeight="1" x14ac:dyDescent="0.25">
      <c r="B328" s="9" t="s">
        <v>49</v>
      </c>
      <c r="C328" s="10" t="s">
        <v>792</v>
      </c>
      <c r="D328" s="89">
        <v>45442</v>
      </c>
      <c r="E328" s="71" t="s">
        <v>50</v>
      </c>
      <c r="F328" s="9" t="s">
        <v>598</v>
      </c>
      <c r="G328" s="160">
        <v>217.5</v>
      </c>
      <c r="H328" s="160"/>
      <c r="I328" s="160">
        <f t="shared" si="42"/>
        <v>217.5</v>
      </c>
      <c r="J328" s="160">
        <f t="shared" si="43"/>
        <v>10.875</v>
      </c>
      <c r="K328" s="160">
        <f t="shared" si="44"/>
        <v>228.375</v>
      </c>
      <c r="L328" s="13" t="s">
        <v>9</v>
      </c>
    </row>
    <row r="329" spans="2:12" ht="17.25" customHeight="1" x14ac:dyDescent="0.25">
      <c r="B329" s="9" t="s">
        <v>664</v>
      </c>
      <c r="C329" s="10" t="s">
        <v>793</v>
      </c>
      <c r="D329" s="89">
        <v>45442</v>
      </c>
      <c r="E329" s="71" t="s">
        <v>237</v>
      </c>
      <c r="F329" s="9" t="s">
        <v>813</v>
      </c>
      <c r="G329" s="160">
        <v>210</v>
      </c>
      <c r="H329" s="160"/>
      <c r="I329" s="160">
        <f t="shared" si="42"/>
        <v>210</v>
      </c>
      <c r="J329" s="160">
        <f t="shared" si="43"/>
        <v>10.5</v>
      </c>
      <c r="K329" s="160">
        <f t="shared" si="44"/>
        <v>220.5</v>
      </c>
      <c r="L329" s="13" t="s">
        <v>9</v>
      </c>
    </row>
    <row r="330" spans="2:12" ht="17.25" customHeight="1" x14ac:dyDescent="0.25">
      <c r="B330" s="9" t="s">
        <v>666</v>
      </c>
      <c r="C330" s="10" t="s">
        <v>794</v>
      </c>
      <c r="D330" s="89">
        <v>45442</v>
      </c>
      <c r="E330" s="71" t="s">
        <v>237</v>
      </c>
      <c r="F330" s="9" t="s">
        <v>813</v>
      </c>
      <c r="G330" s="160">
        <v>60</v>
      </c>
      <c r="H330" s="160"/>
      <c r="I330" s="160">
        <f t="shared" si="42"/>
        <v>60</v>
      </c>
      <c r="J330" s="160">
        <f t="shared" si="43"/>
        <v>3</v>
      </c>
      <c r="K330" s="160">
        <f t="shared" si="44"/>
        <v>63</v>
      </c>
      <c r="L330" s="13" t="s">
        <v>9</v>
      </c>
    </row>
    <row r="331" spans="2:12" ht="17.25" customHeight="1" x14ac:dyDescent="0.25">
      <c r="B331" s="9" t="s">
        <v>814</v>
      </c>
      <c r="C331" s="10" t="s">
        <v>795</v>
      </c>
      <c r="D331" s="89">
        <v>45442</v>
      </c>
      <c r="E331" s="70" t="s">
        <v>74</v>
      </c>
      <c r="F331" s="9" t="s">
        <v>815</v>
      </c>
      <c r="G331" s="160">
        <v>2000</v>
      </c>
      <c r="H331" s="160"/>
      <c r="I331" s="160">
        <f t="shared" si="42"/>
        <v>2000</v>
      </c>
      <c r="J331" s="160">
        <f t="shared" si="43"/>
        <v>100</v>
      </c>
      <c r="K331" s="160">
        <f t="shared" si="44"/>
        <v>2100</v>
      </c>
      <c r="L331" s="13" t="s">
        <v>9</v>
      </c>
    </row>
    <row r="332" spans="2:12" ht="17.25" customHeight="1" x14ac:dyDescent="0.25">
      <c r="B332" s="9" t="s">
        <v>297</v>
      </c>
      <c r="C332" s="10" t="s">
        <v>816</v>
      </c>
      <c r="D332" s="89">
        <v>45442</v>
      </c>
      <c r="E332" s="71" t="s">
        <v>301</v>
      </c>
      <c r="F332" s="9" t="s">
        <v>819</v>
      </c>
      <c r="G332" s="160">
        <v>7425</v>
      </c>
      <c r="H332" s="160"/>
      <c r="I332" s="160">
        <f t="shared" si="42"/>
        <v>7425</v>
      </c>
      <c r="J332" s="160">
        <f t="shared" si="43"/>
        <v>371.25</v>
      </c>
      <c r="K332" s="160">
        <f t="shared" si="44"/>
        <v>7796.25</v>
      </c>
      <c r="L332" s="13" t="s">
        <v>78</v>
      </c>
    </row>
    <row r="333" spans="2:12" ht="17.25" customHeight="1" x14ac:dyDescent="0.25">
      <c r="B333" s="9" t="s">
        <v>398</v>
      </c>
      <c r="C333" s="10" t="s">
        <v>817</v>
      </c>
      <c r="D333" s="89">
        <v>45443</v>
      </c>
      <c r="E333" s="71" t="s">
        <v>418</v>
      </c>
      <c r="F333" s="9" t="s">
        <v>820</v>
      </c>
      <c r="G333" s="160">
        <v>1757.5</v>
      </c>
      <c r="H333" s="160"/>
      <c r="I333" s="160">
        <f t="shared" si="42"/>
        <v>1757.5</v>
      </c>
      <c r="J333" s="160">
        <f t="shared" si="43"/>
        <v>87.875</v>
      </c>
      <c r="K333" s="160">
        <f t="shared" si="44"/>
        <v>1845.375</v>
      </c>
      <c r="L333" s="13" t="s">
        <v>9</v>
      </c>
    </row>
    <row r="334" spans="2:12" ht="17.25" customHeight="1" x14ac:dyDescent="0.25">
      <c r="B334" s="9" t="s">
        <v>203</v>
      </c>
      <c r="C334" s="10" t="s">
        <v>818</v>
      </c>
      <c r="D334" s="89">
        <v>45443</v>
      </c>
      <c r="E334" s="71" t="s">
        <v>418</v>
      </c>
      <c r="F334" s="9" t="s">
        <v>769</v>
      </c>
      <c r="G334" s="160">
        <v>356.4</v>
      </c>
      <c r="H334" s="160"/>
      <c r="I334" s="160">
        <f t="shared" si="42"/>
        <v>356.4</v>
      </c>
      <c r="J334" s="160">
        <f t="shared" si="43"/>
        <v>17.82</v>
      </c>
      <c r="K334" s="160">
        <f t="shared" si="44"/>
        <v>374.21999999999997</v>
      </c>
      <c r="L334" s="13" t="s">
        <v>78</v>
      </c>
    </row>
    <row r="335" spans="2:12" ht="17.25" customHeight="1" x14ac:dyDescent="0.25">
      <c r="B335" s="9" t="s">
        <v>29</v>
      </c>
      <c r="C335" s="10" t="s">
        <v>822</v>
      </c>
      <c r="D335" s="89">
        <v>45443</v>
      </c>
      <c r="E335" s="71" t="s">
        <v>128</v>
      </c>
      <c r="F335" s="9" t="s">
        <v>73</v>
      </c>
      <c r="G335" s="160">
        <v>124</v>
      </c>
      <c r="H335" s="160"/>
      <c r="I335" s="160">
        <f t="shared" si="42"/>
        <v>124</v>
      </c>
      <c r="J335" s="160">
        <f t="shared" si="43"/>
        <v>6.2</v>
      </c>
      <c r="K335" s="160">
        <f t="shared" si="44"/>
        <v>130.19999999999999</v>
      </c>
      <c r="L335" s="13" t="s">
        <v>9</v>
      </c>
    </row>
    <row r="336" spans="2:12" ht="17.25" customHeight="1" x14ac:dyDescent="0.25">
      <c r="B336" s="9" t="s">
        <v>102</v>
      </c>
      <c r="C336" s="10" t="s">
        <v>823</v>
      </c>
      <c r="D336" s="89">
        <v>45443</v>
      </c>
      <c r="E336" s="94" t="s">
        <v>104</v>
      </c>
      <c r="F336" s="9" t="s">
        <v>824</v>
      </c>
      <c r="G336" s="160">
        <v>6020</v>
      </c>
      <c r="H336" s="160"/>
      <c r="I336" s="160">
        <f t="shared" si="42"/>
        <v>6020</v>
      </c>
      <c r="J336" s="160">
        <f t="shared" si="43"/>
        <v>301</v>
      </c>
      <c r="K336" s="160">
        <f t="shared" si="44"/>
        <v>6321</v>
      </c>
      <c r="L336" s="13" t="s">
        <v>9</v>
      </c>
    </row>
    <row r="337" spans="2:12" s="148" customFormat="1" ht="17.25" customHeight="1" x14ac:dyDescent="0.25">
      <c r="B337" s="61" t="s">
        <v>102</v>
      </c>
      <c r="C337" s="62" t="s">
        <v>825</v>
      </c>
      <c r="D337" s="90">
        <v>45443</v>
      </c>
      <c r="E337" s="147" t="s">
        <v>104</v>
      </c>
      <c r="F337" s="61" t="s">
        <v>74</v>
      </c>
      <c r="G337" s="161" t="s">
        <v>74</v>
      </c>
      <c r="H337" s="161"/>
      <c r="I337" s="161" t="s">
        <v>74</v>
      </c>
      <c r="J337" s="161" t="s">
        <v>74</v>
      </c>
      <c r="K337" s="161" t="s">
        <v>74</v>
      </c>
      <c r="L337" s="64" t="s">
        <v>9</v>
      </c>
    </row>
    <row r="338" spans="2:12" ht="17.25" customHeight="1" x14ac:dyDescent="0.25">
      <c r="B338" s="9" t="s">
        <v>102</v>
      </c>
      <c r="C338" s="10" t="s">
        <v>827</v>
      </c>
      <c r="D338" s="89">
        <v>45443</v>
      </c>
      <c r="E338" s="94" t="s">
        <v>104</v>
      </c>
      <c r="F338" s="9" t="s">
        <v>828</v>
      </c>
      <c r="G338" s="160">
        <v>381.25</v>
      </c>
      <c r="H338" s="160"/>
      <c r="I338" s="160">
        <f t="shared" si="42"/>
        <v>381.25</v>
      </c>
      <c r="J338" s="160">
        <f t="shared" si="43"/>
        <v>19.0625</v>
      </c>
      <c r="K338" s="160">
        <f t="shared" si="44"/>
        <v>400.3125</v>
      </c>
      <c r="L338" s="13" t="s">
        <v>9</v>
      </c>
    </row>
    <row r="339" spans="2:12" ht="17.25" customHeight="1" x14ac:dyDescent="0.25">
      <c r="B339" s="9" t="s">
        <v>102</v>
      </c>
      <c r="C339" s="10" t="s">
        <v>829</v>
      </c>
      <c r="D339" s="89">
        <v>45443</v>
      </c>
      <c r="E339" s="94" t="s">
        <v>104</v>
      </c>
      <c r="F339" s="9" t="s">
        <v>830</v>
      </c>
      <c r="G339" s="160">
        <v>187.5</v>
      </c>
      <c r="H339" s="160"/>
      <c r="I339" s="160">
        <f t="shared" si="42"/>
        <v>187.5</v>
      </c>
      <c r="J339" s="160">
        <f t="shared" si="43"/>
        <v>9.375</v>
      </c>
      <c r="K339" s="160">
        <f t="shared" si="44"/>
        <v>196.875</v>
      </c>
      <c r="L339" s="13" t="s">
        <v>9</v>
      </c>
    </row>
    <row r="340" spans="2:12" ht="17.25" customHeight="1" x14ac:dyDescent="0.25">
      <c r="B340" s="9" t="s">
        <v>10</v>
      </c>
      <c r="C340" s="10" t="s">
        <v>831</v>
      </c>
      <c r="D340" s="89">
        <v>45443</v>
      </c>
      <c r="E340" s="94" t="s">
        <v>16</v>
      </c>
      <c r="F340" s="9" t="s">
        <v>832</v>
      </c>
      <c r="G340" s="160">
        <v>2550</v>
      </c>
      <c r="H340" s="160"/>
      <c r="I340" s="160">
        <f t="shared" si="42"/>
        <v>2550</v>
      </c>
      <c r="J340" s="160">
        <f t="shared" si="43"/>
        <v>127.5</v>
      </c>
      <c r="K340" s="160">
        <f t="shared" si="44"/>
        <v>2677.5</v>
      </c>
      <c r="L340" s="13" t="s">
        <v>9</v>
      </c>
    </row>
    <row r="341" spans="2:12" ht="17.25" customHeight="1" x14ac:dyDescent="0.25">
      <c r="B341" s="95" t="s">
        <v>199</v>
      </c>
      <c r="C341" s="14" t="s">
        <v>833</v>
      </c>
      <c r="D341" s="93">
        <v>45450</v>
      </c>
      <c r="E341" s="94" t="s">
        <v>201</v>
      </c>
      <c r="F341" s="9" t="s">
        <v>834</v>
      </c>
      <c r="G341" s="160">
        <v>1233.75</v>
      </c>
      <c r="H341" s="160"/>
      <c r="I341" s="160">
        <f t="shared" si="42"/>
        <v>1233.75</v>
      </c>
      <c r="J341" s="160">
        <f t="shared" si="43"/>
        <v>61.6875</v>
      </c>
      <c r="K341" s="160">
        <f t="shared" si="44"/>
        <v>1295.4375</v>
      </c>
      <c r="L341" s="13" t="s">
        <v>78</v>
      </c>
    </row>
    <row r="342" spans="2:12" ht="17.25" customHeight="1" x14ac:dyDescent="0.25">
      <c r="B342" s="9" t="s">
        <v>835</v>
      </c>
      <c r="C342" s="10" t="s">
        <v>836</v>
      </c>
      <c r="D342" s="89">
        <v>45447</v>
      </c>
      <c r="E342" s="71"/>
      <c r="F342" s="9" t="s">
        <v>95</v>
      </c>
      <c r="G342" s="160">
        <v>90</v>
      </c>
      <c r="H342" s="160"/>
      <c r="I342" s="160">
        <f t="shared" si="42"/>
        <v>90</v>
      </c>
      <c r="J342" s="160">
        <f t="shared" si="43"/>
        <v>4.5</v>
      </c>
      <c r="K342" s="160">
        <f t="shared" si="44"/>
        <v>94.5</v>
      </c>
      <c r="L342" s="13" t="s">
        <v>9</v>
      </c>
    </row>
    <row r="343" spans="2:12" ht="17.25" customHeight="1" x14ac:dyDescent="0.25">
      <c r="B343" s="9" t="s">
        <v>10</v>
      </c>
      <c r="C343" s="10" t="s">
        <v>837</v>
      </c>
      <c r="D343" s="89">
        <v>45449</v>
      </c>
      <c r="E343" s="94" t="s">
        <v>104</v>
      </c>
      <c r="F343" s="9" t="s">
        <v>840</v>
      </c>
      <c r="G343" s="160">
        <v>705</v>
      </c>
      <c r="H343" s="160"/>
      <c r="I343" s="160">
        <f t="shared" si="42"/>
        <v>705</v>
      </c>
      <c r="J343" s="160">
        <f t="shared" si="43"/>
        <v>35.25</v>
      </c>
      <c r="K343" s="160">
        <f t="shared" si="44"/>
        <v>740.25</v>
      </c>
      <c r="L343" s="13" t="s">
        <v>9</v>
      </c>
    </row>
    <row r="344" spans="2:12" ht="17.25" customHeight="1" x14ac:dyDescent="0.25">
      <c r="B344" s="9" t="s">
        <v>10</v>
      </c>
      <c r="C344" s="10" t="s">
        <v>838</v>
      </c>
      <c r="D344" s="89">
        <v>45449</v>
      </c>
      <c r="E344" s="94" t="s">
        <v>104</v>
      </c>
      <c r="F344" s="9" t="s">
        <v>841</v>
      </c>
      <c r="G344" s="160">
        <v>18962.5</v>
      </c>
      <c r="H344" s="160"/>
      <c r="I344" s="160">
        <f t="shared" si="42"/>
        <v>18962.5</v>
      </c>
      <c r="J344" s="160">
        <f t="shared" si="43"/>
        <v>948.125</v>
      </c>
      <c r="K344" s="160">
        <f t="shared" si="44"/>
        <v>19910.625</v>
      </c>
      <c r="L344" s="13" t="s">
        <v>9</v>
      </c>
    </row>
    <row r="345" spans="2:12" ht="17.25" customHeight="1" x14ac:dyDescent="0.25">
      <c r="B345" s="9" t="s">
        <v>10</v>
      </c>
      <c r="C345" s="10" t="s">
        <v>839</v>
      </c>
      <c r="D345" s="89">
        <v>45449</v>
      </c>
      <c r="E345" s="94" t="s">
        <v>104</v>
      </c>
      <c r="F345" s="9" t="s">
        <v>842</v>
      </c>
      <c r="G345" s="160">
        <v>945</v>
      </c>
      <c r="H345" s="160"/>
      <c r="I345" s="160">
        <f t="shared" si="42"/>
        <v>945</v>
      </c>
      <c r="J345" s="160">
        <f t="shared" si="43"/>
        <v>47.25</v>
      </c>
      <c r="K345" s="160">
        <f t="shared" si="44"/>
        <v>992.25</v>
      </c>
      <c r="L345" s="13" t="s">
        <v>9</v>
      </c>
    </row>
    <row r="346" spans="2:12" ht="17.25" customHeight="1" x14ac:dyDescent="0.25">
      <c r="B346" s="9" t="s">
        <v>122</v>
      </c>
      <c r="C346" s="10" t="s">
        <v>843</v>
      </c>
      <c r="D346" s="89">
        <v>45449</v>
      </c>
      <c r="E346" s="70" t="s">
        <v>74</v>
      </c>
      <c r="F346" s="9" t="s">
        <v>844</v>
      </c>
      <c r="G346" s="160">
        <v>2260</v>
      </c>
      <c r="H346" s="160"/>
      <c r="I346" s="160">
        <f t="shared" si="42"/>
        <v>2260</v>
      </c>
      <c r="J346" s="160">
        <f t="shared" si="43"/>
        <v>113</v>
      </c>
      <c r="K346" s="160">
        <f t="shared" si="44"/>
        <v>2373</v>
      </c>
      <c r="L346" s="13" t="s">
        <v>9</v>
      </c>
    </row>
    <row r="347" spans="2:12" ht="17.25" customHeight="1" x14ac:dyDescent="0.25">
      <c r="B347" s="9" t="s">
        <v>10</v>
      </c>
      <c r="C347" s="10" t="s">
        <v>845</v>
      </c>
      <c r="D347" s="89">
        <v>45449</v>
      </c>
      <c r="E347" s="94" t="s">
        <v>104</v>
      </c>
      <c r="F347" s="9" t="s">
        <v>846</v>
      </c>
      <c r="G347" s="160">
        <v>4000</v>
      </c>
      <c r="H347" s="160"/>
      <c r="I347" s="160">
        <f t="shared" si="42"/>
        <v>4000</v>
      </c>
      <c r="J347" s="160">
        <f t="shared" si="43"/>
        <v>200</v>
      </c>
      <c r="K347" s="160">
        <f t="shared" si="44"/>
        <v>4200</v>
      </c>
      <c r="L347" s="13" t="s">
        <v>9</v>
      </c>
    </row>
    <row r="348" spans="2:12" ht="17.25" customHeight="1" x14ac:dyDescent="0.25">
      <c r="B348" s="9" t="s">
        <v>114</v>
      </c>
      <c r="C348" s="10" t="s">
        <v>848</v>
      </c>
      <c r="D348" s="89">
        <v>45450</v>
      </c>
      <c r="E348" s="94" t="s">
        <v>115</v>
      </c>
      <c r="F348" s="9" t="s">
        <v>850</v>
      </c>
      <c r="G348" s="160">
        <v>1311</v>
      </c>
      <c r="H348" s="160"/>
      <c r="I348" s="160">
        <f t="shared" si="42"/>
        <v>1311</v>
      </c>
      <c r="J348" s="160">
        <f t="shared" si="43"/>
        <v>65.55</v>
      </c>
      <c r="K348" s="160">
        <f t="shared" si="44"/>
        <v>1376.55</v>
      </c>
      <c r="L348" s="13" t="s">
        <v>9</v>
      </c>
    </row>
    <row r="349" spans="2:12" ht="17.25" customHeight="1" x14ac:dyDescent="0.25">
      <c r="B349" s="96" t="s">
        <v>203</v>
      </c>
      <c r="C349" s="97" t="s">
        <v>852</v>
      </c>
      <c r="D349" s="98">
        <v>45455</v>
      </c>
      <c r="E349" s="94" t="s">
        <v>851</v>
      </c>
      <c r="F349" s="96" t="s">
        <v>849</v>
      </c>
      <c r="G349" s="104">
        <v>358.75</v>
      </c>
      <c r="H349" s="160"/>
      <c r="I349" s="160">
        <f t="shared" ref="I349:I374" si="45">G349-H349</f>
        <v>358.75</v>
      </c>
      <c r="J349" s="160">
        <f t="shared" ref="J349:J374" si="46">G349*5%</f>
        <v>17.9375</v>
      </c>
      <c r="K349" s="160">
        <f t="shared" ref="K349:K374" si="47">G349+J349</f>
        <v>376.6875</v>
      </c>
      <c r="L349" s="13" t="s">
        <v>78</v>
      </c>
    </row>
    <row r="350" spans="2:12" ht="17.25" customHeight="1" x14ac:dyDescent="0.25">
      <c r="B350" s="9" t="s">
        <v>863</v>
      </c>
      <c r="C350" s="10" t="s">
        <v>1028</v>
      </c>
      <c r="D350" s="89">
        <v>45453</v>
      </c>
      <c r="E350" s="71" t="s">
        <v>854</v>
      </c>
      <c r="F350" s="9" t="s">
        <v>855</v>
      </c>
      <c r="G350" s="160">
        <v>367.5</v>
      </c>
      <c r="H350" s="160"/>
      <c r="I350" s="160">
        <f t="shared" si="45"/>
        <v>367.5</v>
      </c>
      <c r="J350" s="160">
        <f t="shared" si="46"/>
        <v>18.375</v>
      </c>
      <c r="K350" s="160">
        <f t="shared" si="47"/>
        <v>385.875</v>
      </c>
      <c r="L350" s="13" t="s">
        <v>1046</v>
      </c>
    </row>
    <row r="351" spans="2:12" ht="17.25" customHeight="1" x14ac:dyDescent="0.25">
      <c r="B351" s="9" t="s">
        <v>43</v>
      </c>
      <c r="C351" s="10" t="s">
        <v>856</v>
      </c>
      <c r="D351" s="89">
        <v>45453</v>
      </c>
      <c r="E351" s="71" t="s">
        <v>30</v>
      </c>
      <c r="F351" s="9" t="s">
        <v>857</v>
      </c>
      <c r="G351" s="160">
        <v>1788</v>
      </c>
      <c r="H351" s="160"/>
      <c r="I351" s="160">
        <f t="shared" si="45"/>
        <v>1788</v>
      </c>
      <c r="J351" s="160">
        <f t="shared" si="46"/>
        <v>89.4</v>
      </c>
      <c r="K351" s="160">
        <f t="shared" si="47"/>
        <v>1877.4</v>
      </c>
      <c r="L351" s="13" t="s">
        <v>9</v>
      </c>
    </row>
    <row r="352" spans="2:12" ht="17.25" customHeight="1" x14ac:dyDescent="0.25">
      <c r="B352" s="9" t="s">
        <v>29</v>
      </c>
      <c r="C352" s="10" t="s">
        <v>873</v>
      </c>
      <c r="D352" s="89">
        <v>45456</v>
      </c>
      <c r="E352" s="71" t="s">
        <v>128</v>
      </c>
      <c r="F352" s="9" t="s">
        <v>874</v>
      </c>
      <c r="G352" s="160">
        <v>9397.5</v>
      </c>
      <c r="H352" s="160"/>
      <c r="I352" s="160">
        <f t="shared" si="45"/>
        <v>9397.5</v>
      </c>
      <c r="J352" s="160">
        <f t="shared" si="46"/>
        <v>469.875</v>
      </c>
      <c r="K352" s="160">
        <f t="shared" si="47"/>
        <v>9867.375</v>
      </c>
      <c r="L352" s="13" t="s">
        <v>9</v>
      </c>
    </row>
    <row r="353" spans="2:12" ht="17.25" customHeight="1" x14ac:dyDescent="0.25">
      <c r="B353" s="9" t="s">
        <v>10</v>
      </c>
      <c r="C353" s="10" t="s">
        <v>875</v>
      </c>
      <c r="D353" s="89">
        <v>45455</v>
      </c>
      <c r="E353" s="71" t="s">
        <v>16</v>
      </c>
      <c r="F353" s="9" t="s">
        <v>880</v>
      </c>
      <c r="G353" s="160">
        <v>1345</v>
      </c>
      <c r="H353" s="160"/>
      <c r="I353" s="160">
        <f t="shared" si="45"/>
        <v>1345</v>
      </c>
      <c r="J353" s="160">
        <f t="shared" si="46"/>
        <v>67.25</v>
      </c>
      <c r="K353" s="160">
        <f t="shared" si="47"/>
        <v>1412.25</v>
      </c>
      <c r="L353" s="13" t="s">
        <v>9</v>
      </c>
    </row>
    <row r="354" spans="2:12" ht="17.25" customHeight="1" x14ac:dyDescent="0.25">
      <c r="B354" s="9" t="s">
        <v>10</v>
      </c>
      <c r="C354" s="10" t="s">
        <v>876</v>
      </c>
      <c r="D354" s="89">
        <v>45455</v>
      </c>
      <c r="E354" s="71" t="s">
        <v>16</v>
      </c>
      <c r="F354" s="9" t="s">
        <v>881</v>
      </c>
      <c r="G354" s="160">
        <v>125</v>
      </c>
      <c r="H354" s="160"/>
      <c r="I354" s="160">
        <f t="shared" si="45"/>
        <v>125</v>
      </c>
      <c r="J354" s="160">
        <f t="shared" si="46"/>
        <v>6.25</v>
      </c>
      <c r="K354" s="160">
        <f t="shared" si="47"/>
        <v>131.25</v>
      </c>
      <c r="L354" s="13" t="s">
        <v>9</v>
      </c>
    </row>
    <row r="355" spans="2:12" ht="17.25" customHeight="1" x14ac:dyDescent="0.25">
      <c r="B355" s="9" t="s">
        <v>10</v>
      </c>
      <c r="C355" s="10" t="s">
        <v>877</v>
      </c>
      <c r="D355" s="89">
        <v>45455</v>
      </c>
      <c r="E355" s="71" t="s">
        <v>16</v>
      </c>
      <c r="F355" s="9" t="s">
        <v>882</v>
      </c>
      <c r="G355" s="160">
        <v>925</v>
      </c>
      <c r="H355" s="160"/>
      <c r="I355" s="160">
        <f t="shared" si="45"/>
        <v>925</v>
      </c>
      <c r="J355" s="160">
        <f t="shared" si="46"/>
        <v>46.25</v>
      </c>
      <c r="K355" s="160">
        <f t="shared" si="47"/>
        <v>971.25</v>
      </c>
      <c r="L355" s="13" t="s">
        <v>9</v>
      </c>
    </row>
    <row r="356" spans="2:12" ht="17.25" customHeight="1" x14ac:dyDescent="0.25">
      <c r="B356" s="9" t="s">
        <v>75</v>
      </c>
      <c r="C356" s="10" t="s">
        <v>878</v>
      </c>
      <c r="D356" s="89">
        <v>45457</v>
      </c>
      <c r="E356" s="71" t="s">
        <v>76</v>
      </c>
      <c r="F356" s="9" t="s">
        <v>883</v>
      </c>
      <c r="G356" s="160">
        <v>1695</v>
      </c>
      <c r="H356" s="160"/>
      <c r="I356" s="160">
        <f t="shared" si="45"/>
        <v>1695</v>
      </c>
      <c r="J356" s="160">
        <f t="shared" si="46"/>
        <v>84.75</v>
      </c>
      <c r="K356" s="160">
        <f t="shared" si="47"/>
        <v>1779.75</v>
      </c>
      <c r="L356" s="13" t="s">
        <v>78</v>
      </c>
    </row>
    <row r="357" spans="2:12" ht="17.25" customHeight="1" x14ac:dyDescent="0.25">
      <c r="B357" s="9" t="s">
        <v>10</v>
      </c>
      <c r="C357" s="10" t="s">
        <v>879</v>
      </c>
      <c r="D357" s="89">
        <v>45455</v>
      </c>
      <c r="E357" s="71" t="s">
        <v>16</v>
      </c>
      <c r="F357" s="9" t="s">
        <v>884</v>
      </c>
      <c r="G357" s="160">
        <v>1344</v>
      </c>
      <c r="H357" s="160"/>
      <c r="I357" s="160">
        <f t="shared" si="45"/>
        <v>1344</v>
      </c>
      <c r="J357" s="160">
        <f t="shared" si="46"/>
        <v>67.2</v>
      </c>
      <c r="K357" s="160">
        <f t="shared" si="47"/>
        <v>1411.2</v>
      </c>
      <c r="L357" s="13" t="s">
        <v>9</v>
      </c>
    </row>
    <row r="358" spans="2:12" ht="17.25" customHeight="1" x14ac:dyDescent="0.25">
      <c r="B358" s="9" t="s">
        <v>114</v>
      </c>
      <c r="C358" s="10" t="s">
        <v>885</v>
      </c>
      <c r="D358" s="89">
        <v>45450</v>
      </c>
      <c r="E358" s="71" t="s">
        <v>115</v>
      </c>
      <c r="F358" s="9" t="s">
        <v>598</v>
      </c>
      <c r="G358" s="160">
        <v>420</v>
      </c>
      <c r="H358" s="160"/>
      <c r="I358" s="160">
        <f t="shared" si="45"/>
        <v>420</v>
      </c>
      <c r="J358" s="160">
        <f t="shared" si="46"/>
        <v>21</v>
      </c>
      <c r="K358" s="160">
        <f t="shared" si="47"/>
        <v>441</v>
      </c>
      <c r="L358" s="13" t="s">
        <v>9</v>
      </c>
    </row>
    <row r="359" spans="2:12" ht="17.25" customHeight="1" x14ac:dyDescent="0.25">
      <c r="B359" s="9" t="s">
        <v>102</v>
      </c>
      <c r="C359" s="10" t="s">
        <v>888</v>
      </c>
      <c r="D359" s="89">
        <v>45457</v>
      </c>
      <c r="E359" s="71" t="s">
        <v>104</v>
      </c>
      <c r="F359" s="9" t="s">
        <v>826</v>
      </c>
      <c r="G359" s="160">
        <v>160</v>
      </c>
      <c r="H359" s="160"/>
      <c r="I359" s="160">
        <f t="shared" si="45"/>
        <v>160</v>
      </c>
      <c r="J359" s="160">
        <f t="shared" si="46"/>
        <v>8</v>
      </c>
      <c r="K359" s="160">
        <f t="shared" si="47"/>
        <v>168</v>
      </c>
      <c r="L359" s="13" t="s">
        <v>9</v>
      </c>
    </row>
    <row r="360" spans="2:12" ht="17.25" customHeight="1" x14ac:dyDescent="0.25">
      <c r="B360" s="9" t="s">
        <v>736</v>
      </c>
      <c r="C360" s="10" t="s">
        <v>889</v>
      </c>
      <c r="D360" s="89">
        <v>45462</v>
      </c>
      <c r="E360" s="70"/>
      <c r="F360" s="9" t="s">
        <v>598</v>
      </c>
      <c r="G360" s="160">
        <v>768</v>
      </c>
      <c r="H360" s="160"/>
      <c r="I360" s="160">
        <f t="shared" si="45"/>
        <v>768</v>
      </c>
      <c r="J360" s="160">
        <f t="shared" si="46"/>
        <v>38.400000000000006</v>
      </c>
      <c r="K360" s="160">
        <f t="shared" si="47"/>
        <v>806.4</v>
      </c>
      <c r="L360" s="13" t="s">
        <v>78</v>
      </c>
    </row>
    <row r="361" spans="2:12" ht="17.25" customHeight="1" x14ac:dyDescent="0.25">
      <c r="B361" s="9" t="s">
        <v>81</v>
      </c>
      <c r="C361" s="10" t="s">
        <v>890</v>
      </c>
      <c r="D361" s="89">
        <v>45462</v>
      </c>
      <c r="E361" s="71" t="s">
        <v>898</v>
      </c>
      <c r="F361" s="9" t="s">
        <v>598</v>
      </c>
      <c r="G361" s="160">
        <v>375</v>
      </c>
      <c r="H361" s="160"/>
      <c r="I361" s="160">
        <f t="shared" si="45"/>
        <v>375</v>
      </c>
      <c r="J361" s="160">
        <f t="shared" si="46"/>
        <v>18.75</v>
      </c>
      <c r="K361" s="160">
        <f t="shared" si="47"/>
        <v>393.75</v>
      </c>
      <c r="L361" s="13" t="s">
        <v>78</v>
      </c>
    </row>
    <row r="362" spans="2:12" ht="17.25" customHeight="1" x14ac:dyDescent="0.25">
      <c r="B362" s="9" t="s">
        <v>122</v>
      </c>
      <c r="C362" s="10" t="s">
        <v>892</v>
      </c>
      <c r="D362" s="89">
        <v>45462</v>
      </c>
      <c r="E362" s="71"/>
      <c r="F362" s="9" t="s">
        <v>899</v>
      </c>
      <c r="G362" s="160">
        <v>4185</v>
      </c>
      <c r="H362" s="160"/>
      <c r="I362" s="160">
        <f t="shared" si="45"/>
        <v>4185</v>
      </c>
      <c r="J362" s="160">
        <f t="shared" si="46"/>
        <v>209.25</v>
      </c>
      <c r="K362" s="160">
        <f t="shared" si="47"/>
        <v>4394.25</v>
      </c>
      <c r="L362" s="13" t="s">
        <v>9</v>
      </c>
    </row>
    <row r="363" spans="2:12" ht="17.25" customHeight="1" x14ac:dyDescent="0.25">
      <c r="B363" t="s">
        <v>299</v>
      </c>
      <c r="C363" s="10" t="s">
        <v>893</v>
      </c>
      <c r="D363" s="89">
        <v>45462</v>
      </c>
      <c r="E363" s="71" t="s">
        <v>302</v>
      </c>
      <c r="F363" s="9" t="s">
        <v>900</v>
      </c>
      <c r="G363" s="160">
        <v>389.75</v>
      </c>
      <c r="H363" s="160"/>
      <c r="I363" s="160">
        <f t="shared" si="45"/>
        <v>389.75</v>
      </c>
      <c r="J363" s="160">
        <f t="shared" si="46"/>
        <v>19.487500000000001</v>
      </c>
      <c r="K363" s="160">
        <f t="shared" si="47"/>
        <v>409.23750000000001</v>
      </c>
      <c r="L363" s="13" t="s">
        <v>78</v>
      </c>
    </row>
    <row r="364" spans="2:12" ht="17.25" customHeight="1" x14ac:dyDescent="0.25">
      <c r="B364" s="9" t="s">
        <v>29</v>
      </c>
      <c r="C364" s="10" t="s">
        <v>894</v>
      </c>
      <c r="D364" s="89">
        <v>45462</v>
      </c>
      <c r="E364" s="71" t="s">
        <v>128</v>
      </c>
      <c r="F364" s="9" t="s">
        <v>895</v>
      </c>
      <c r="G364" s="160">
        <v>24010</v>
      </c>
      <c r="H364" s="160"/>
      <c r="I364" s="160">
        <f t="shared" si="45"/>
        <v>24010</v>
      </c>
      <c r="J364" s="160">
        <f t="shared" si="46"/>
        <v>1200.5</v>
      </c>
      <c r="K364" s="160">
        <f t="shared" si="47"/>
        <v>25210.5</v>
      </c>
      <c r="L364" s="13" t="s">
        <v>9</v>
      </c>
    </row>
    <row r="365" spans="2:12" ht="17.25" customHeight="1" x14ac:dyDescent="0.25">
      <c r="B365" t="s">
        <v>43</v>
      </c>
      <c r="C365" s="10" t="s">
        <v>896</v>
      </c>
      <c r="D365" s="89">
        <v>45462</v>
      </c>
      <c r="E365" s="71" t="s">
        <v>30</v>
      </c>
      <c r="F365" s="9" t="s">
        <v>901</v>
      </c>
      <c r="G365" s="160">
        <v>350</v>
      </c>
      <c r="H365" s="160"/>
      <c r="I365" s="160">
        <f t="shared" si="45"/>
        <v>350</v>
      </c>
      <c r="J365" s="160">
        <f t="shared" si="46"/>
        <v>17.5</v>
      </c>
      <c r="K365" s="160">
        <f t="shared" si="47"/>
        <v>367.5</v>
      </c>
      <c r="L365" s="13" t="s">
        <v>9</v>
      </c>
    </row>
    <row r="366" spans="2:12" ht="17.25" customHeight="1" x14ac:dyDescent="0.25">
      <c r="B366" s="9" t="s">
        <v>736</v>
      </c>
      <c r="C366" s="10" t="s">
        <v>897</v>
      </c>
      <c r="D366" s="89">
        <v>45463</v>
      </c>
      <c r="E366" s="71"/>
      <c r="F366" s="9" t="s">
        <v>901</v>
      </c>
      <c r="G366" s="160">
        <v>125</v>
      </c>
      <c r="H366" s="160"/>
      <c r="I366" s="160">
        <f t="shared" si="45"/>
        <v>125</v>
      </c>
      <c r="J366" s="160">
        <f t="shared" si="46"/>
        <v>6.25</v>
      </c>
      <c r="K366" s="160">
        <f t="shared" si="47"/>
        <v>131.25</v>
      </c>
      <c r="L366" s="13" t="s">
        <v>78</v>
      </c>
    </row>
    <row r="367" spans="2:12" ht="17.25" customHeight="1" x14ac:dyDescent="0.25">
      <c r="B367" s="9" t="s">
        <v>904</v>
      </c>
      <c r="C367" s="10" t="s">
        <v>902</v>
      </c>
      <c r="D367" s="89">
        <v>45462</v>
      </c>
      <c r="E367" s="70" t="s">
        <v>905</v>
      </c>
      <c r="F367" s="9" t="s">
        <v>906</v>
      </c>
      <c r="G367" s="160">
        <v>45667.08</v>
      </c>
      <c r="H367" s="160"/>
      <c r="I367" s="160">
        <f t="shared" si="45"/>
        <v>45667.08</v>
      </c>
      <c r="J367" s="160">
        <f t="shared" si="46"/>
        <v>2283.3540000000003</v>
      </c>
      <c r="K367" s="160">
        <f t="shared" si="47"/>
        <v>47950.434000000001</v>
      </c>
      <c r="L367" s="24" t="s">
        <v>78</v>
      </c>
    </row>
    <row r="368" spans="2:12" ht="17.25" customHeight="1" x14ac:dyDescent="0.25">
      <c r="B368" s="9" t="s">
        <v>524</v>
      </c>
      <c r="C368" s="10" t="s">
        <v>903</v>
      </c>
      <c r="D368" s="89">
        <v>45462</v>
      </c>
      <c r="E368" s="71" t="s">
        <v>697</v>
      </c>
      <c r="F368" s="9" t="s">
        <v>907</v>
      </c>
      <c r="G368" s="160">
        <v>5935</v>
      </c>
      <c r="H368" s="160"/>
      <c r="I368" s="160">
        <f t="shared" si="45"/>
        <v>5935</v>
      </c>
      <c r="J368" s="160">
        <f t="shared" si="46"/>
        <v>296.75</v>
      </c>
      <c r="K368" s="160">
        <f t="shared" si="47"/>
        <v>6231.75</v>
      </c>
      <c r="L368" s="24" t="s">
        <v>9</v>
      </c>
    </row>
    <row r="369" spans="2:12" ht="17.25" customHeight="1" x14ac:dyDescent="0.25">
      <c r="B369" s="9" t="s">
        <v>398</v>
      </c>
      <c r="C369" s="10" t="s">
        <v>908</v>
      </c>
      <c r="D369" s="89">
        <v>45463</v>
      </c>
      <c r="E369" s="71" t="s">
        <v>418</v>
      </c>
      <c r="F369" s="9" t="s">
        <v>910</v>
      </c>
      <c r="G369" s="160">
        <v>1325</v>
      </c>
      <c r="H369" s="160"/>
      <c r="I369" s="160">
        <f t="shared" si="45"/>
        <v>1325</v>
      </c>
      <c r="J369" s="160">
        <f t="shared" si="46"/>
        <v>66.25</v>
      </c>
      <c r="K369" s="160">
        <f t="shared" si="47"/>
        <v>1391.25</v>
      </c>
      <c r="L369" s="24" t="s">
        <v>9</v>
      </c>
    </row>
    <row r="370" spans="2:12" ht="17.25" customHeight="1" x14ac:dyDescent="0.25">
      <c r="B370" t="s">
        <v>911</v>
      </c>
      <c r="C370" s="10" t="s">
        <v>909</v>
      </c>
      <c r="D370" s="89">
        <v>45463</v>
      </c>
      <c r="E370" s="71" t="s">
        <v>912</v>
      </c>
      <c r="F370" s="9" t="s">
        <v>913</v>
      </c>
      <c r="G370" s="160">
        <v>39130</v>
      </c>
      <c r="H370" s="160"/>
      <c r="I370" s="160">
        <f t="shared" si="45"/>
        <v>39130</v>
      </c>
      <c r="J370" s="160">
        <f t="shared" si="46"/>
        <v>1956.5</v>
      </c>
      <c r="K370" s="160">
        <f t="shared" si="47"/>
        <v>41086.5</v>
      </c>
      <c r="L370" s="25" t="s">
        <v>25</v>
      </c>
    </row>
    <row r="371" spans="2:12" ht="17.25" customHeight="1" x14ac:dyDescent="0.25">
      <c r="B371" s="9" t="s">
        <v>10</v>
      </c>
      <c r="C371" s="10" t="s">
        <v>914</v>
      </c>
      <c r="D371" s="89">
        <v>45463</v>
      </c>
      <c r="E371" s="71" t="s">
        <v>79</v>
      </c>
      <c r="F371" s="9" t="s">
        <v>917</v>
      </c>
      <c r="G371" s="160">
        <v>15956.5</v>
      </c>
      <c r="H371" s="160"/>
      <c r="I371" s="160">
        <f t="shared" si="45"/>
        <v>15956.5</v>
      </c>
      <c r="J371" s="160">
        <f t="shared" si="46"/>
        <v>797.82500000000005</v>
      </c>
      <c r="K371" s="160">
        <f t="shared" si="47"/>
        <v>16754.325000000001</v>
      </c>
      <c r="L371" s="24" t="s">
        <v>9</v>
      </c>
    </row>
    <row r="372" spans="2:12" ht="17.25" customHeight="1" x14ac:dyDescent="0.25">
      <c r="B372" t="s">
        <v>142</v>
      </c>
      <c r="C372" s="10" t="s">
        <v>915</v>
      </c>
      <c r="D372" s="89">
        <v>45463</v>
      </c>
      <c r="E372" s="71" t="s">
        <v>143</v>
      </c>
      <c r="F372" s="9" t="s">
        <v>918</v>
      </c>
      <c r="G372" s="160">
        <v>1790</v>
      </c>
      <c r="H372" s="160"/>
      <c r="I372" s="160">
        <f t="shared" si="45"/>
        <v>1790</v>
      </c>
      <c r="J372" s="160">
        <f t="shared" si="46"/>
        <v>89.5</v>
      </c>
      <c r="K372" s="160">
        <f t="shared" si="47"/>
        <v>1879.5</v>
      </c>
      <c r="L372" s="25" t="s">
        <v>9</v>
      </c>
    </row>
    <row r="373" spans="2:12" ht="17.25" customHeight="1" x14ac:dyDescent="0.25">
      <c r="B373" s="9" t="s">
        <v>443</v>
      </c>
      <c r="C373" s="10" t="s">
        <v>916</v>
      </c>
      <c r="D373" s="89">
        <v>45465</v>
      </c>
      <c r="E373" s="71"/>
      <c r="F373" s="9" t="s">
        <v>919</v>
      </c>
      <c r="G373" s="160">
        <v>735</v>
      </c>
      <c r="H373" s="160"/>
      <c r="I373" s="160">
        <f t="shared" si="45"/>
        <v>735</v>
      </c>
      <c r="J373" s="160">
        <f t="shared" si="46"/>
        <v>36.75</v>
      </c>
      <c r="K373" s="160">
        <f t="shared" si="47"/>
        <v>771.75</v>
      </c>
      <c r="L373" s="24" t="s">
        <v>9</v>
      </c>
    </row>
    <row r="374" spans="2:12" ht="17.25" customHeight="1" x14ac:dyDescent="0.25">
      <c r="B374" t="s">
        <v>886</v>
      </c>
      <c r="C374" s="10" t="s">
        <v>937</v>
      </c>
      <c r="D374" s="89">
        <v>45467</v>
      </c>
      <c r="E374" s="94" t="s">
        <v>887</v>
      </c>
      <c r="F374" s="9" t="s">
        <v>91</v>
      </c>
      <c r="G374" s="160">
        <v>4000</v>
      </c>
      <c r="H374" s="160"/>
      <c r="I374" s="160">
        <f t="shared" si="45"/>
        <v>4000</v>
      </c>
      <c r="J374" s="160">
        <f t="shared" si="46"/>
        <v>200</v>
      </c>
      <c r="K374" s="160">
        <f t="shared" si="47"/>
        <v>4200</v>
      </c>
      <c r="L374" s="13" t="s">
        <v>78</v>
      </c>
    </row>
    <row r="375" spans="2:12" ht="17.25" customHeight="1" x14ac:dyDescent="0.25">
      <c r="B375" s="9" t="s">
        <v>10</v>
      </c>
      <c r="C375" s="10" t="s">
        <v>938</v>
      </c>
      <c r="D375" s="89">
        <v>45467</v>
      </c>
      <c r="E375" s="167" t="s">
        <v>79</v>
      </c>
      <c r="F375" s="9" t="s">
        <v>943</v>
      </c>
      <c r="G375" s="160">
        <v>1685</v>
      </c>
      <c r="H375" s="160"/>
      <c r="I375" s="160">
        <f t="shared" ref="I375:I396" si="48">G375-H375</f>
        <v>1685</v>
      </c>
      <c r="J375" s="160">
        <f t="shared" ref="J375:J396" si="49">G375*5%</f>
        <v>84.25</v>
      </c>
      <c r="K375" s="160">
        <f t="shared" ref="K375:K396" si="50">G375+J375</f>
        <v>1769.25</v>
      </c>
      <c r="L375" s="13" t="s">
        <v>9</v>
      </c>
    </row>
    <row r="376" spans="2:12" ht="17.25" customHeight="1" x14ac:dyDescent="0.25">
      <c r="B376" s="9" t="s">
        <v>10</v>
      </c>
      <c r="C376" s="10" t="s">
        <v>939</v>
      </c>
      <c r="D376" s="89">
        <v>45467</v>
      </c>
      <c r="E376" s="167" t="s">
        <v>79</v>
      </c>
      <c r="F376" s="9" t="s">
        <v>942</v>
      </c>
      <c r="G376" s="160">
        <v>575</v>
      </c>
      <c r="H376" s="160"/>
      <c r="I376" s="160">
        <f t="shared" si="48"/>
        <v>575</v>
      </c>
      <c r="J376" s="160">
        <f t="shared" si="49"/>
        <v>28.75</v>
      </c>
      <c r="K376" s="160">
        <f t="shared" si="50"/>
        <v>603.75</v>
      </c>
      <c r="L376" s="13" t="s">
        <v>9</v>
      </c>
    </row>
    <row r="377" spans="2:12" ht="17.25" customHeight="1" x14ac:dyDescent="0.25">
      <c r="B377" s="9" t="s">
        <v>244</v>
      </c>
      <c r="C377" s="10" t="s">
        <v>940</v>
      </c>
      <c r="D377" s="89">
        <v>45467</v>
      </c>
      <c r="E377" s="71" t="s">
        <v>246</v>
      </c>
      <c r="F377" s="9" t="s">
        <v>941</v>
      </c>
      <c r="G377" s="160">
        <v>210</v>
      </c>
      <c r="H377" s="160"/>
      <c r="I377" s="160">
        <f t="shared" si="48"/>
        <v>210</v>
      </c>
      <c r="J377" s="160">
        <f t="shared" si="49"/>
        <v>10.5</v>
      </c>
      <c r="K377" s="160">
        <f t="shared" si="50"/>
        <v>220.5</v>
      </c>
      <c r="L377" s="13" t="s">
        <v>9</v>
      </c>
    </row>
    <row r="378" spans="2:12" ht="17.25" customHeight="1" x14ac:dyDescent="0.25">
      <c r="B378" s="9" t="s">
        <v>515</v>
      </c>
      <c r="C378" s="10" t="s">
        <v>944</v>
      </c>
      <c r="D378" s="89">
        <v>45465</v>
      </c>
      <c r="E378" s="71" t="s">
        <v>733</v>
      </c>
      <c r="F378" s="9" t="s">
        <v>945</v>
      </c>
      <c r="G378" s="160">
        <v>1263.5</v>
      </c>
      <c r="H378" s="160"/>
      <c r="I378" s="160">
        <f t="shared" si="48"/>
        <v>1263.5</v>
      </c>
      <c r="J378" s="160">
        <f t="shared" si="49"/>
        <v>63.175000000000004</v>
      </c>
      <c r="K378" s="160">
        <f t="shared" si="50"/>
        <v>1326.675</v>
      </c>
      <c r="L378" s="13" t="s">
        <v>78</v>
      </c>
    </row>
    <row r="379" spans="2:12" ht="17.25" customHeight="1" x14ac:dyDescent="0.25">
      <c r="B379" s="9" t="s">
        <v>10</v>
      </c>
      <c r="C379" s="10" t="s">
        <v>946</v>
      </c>
      <c r="D379" s="89">
        <v>45469</v>
      </c>
      <c r="E379" s="71" t="s">
        <v>16</v>
      </c>
      <c r="F379" s="9" t="s">
        <v>952</v>
      </c>
      <c r="G379" s="160">
        <v>3540</v>
      </c>
      <c r="H379" s="160"/>
      <c r="I379" s="160">
        <f t="shared" si="48"/>
        <v>3540</v>
      </c>
      <c r="J379" s="160">
        <f t="shared" si="49"/>
        <v>177</v>
      </c>
      <c r="K379" s="160">
        <f t="shared" si="50"/>
        <v>3717</v>
      </c>
      <c r="L379" s="13" t="s">
        <v>9</v>
      </c>
    </row>
    <row r="380" spans="2:12" ht="17.25" customHeight="1" x14ac:dyDescent="0.25">
      <c r="B380" s="9" t="s">
        <v>10</v>
      </c>
      <c r="C380" s="10" t="s">
        <v>947</v>
      </c>
      <c r="D380" s="89">
        <v>45471</v>
      </c>
      <c r="E380" s="71" t="s">
        <v>16</v>
      </c>
      <c r="F380" s="9" t="s">
        <v>953</v>
      </c>
      <c r="G380" s="160">
        <v>450</v>
      </c>
      <c r="H380" s="160"/>
      <c r="I380" s="160">
        <f t="shared" si="48"/>
        <v>450</v>
      </c>
      <c r="J380" s="160">
        <f t="shared" si="49"/>
        <v>22.5</v>
      </c>
      <c r="K380" s="160">
        <f t="shared" si="50"/>
        <v>472.5</v>
      </c>
      <c r="L380" s="13" t="s">
        <v>9</v>
      </c>
    </row>
    <row r="381" spans="2:12" ht="17.25" customHeight="1" x14ac:dyDescent="0.25">
      <c r="B381" s="9" t="s">
        <v>954</v>
      </c>
      <c r="C381" s="10" t="s">
        <v>948</v>
      </c>
      <c r="D381" s="89">
        <v>45471</v>
      </c>
      <c r="E381" s="71"/>
      <c r="F381" s="9" t="s">
        <v>955</v>
      </c>
      <c r="G381" s="160">
        <v>1875</v>
      </c>
      <c r="H381" s="160"/>
      <c r="I381" s="160">
        <f t="shared" si="48"/>
        <v>1875</v>
      </c>
      <c r="J381" s="160">
        <f t="shared" si="49"/>
        <v>93.75</v>
      </c>
      <c r="K381" s="160">
        <f t="shared" si="50"/>
        <v>1968.75</v>
      </c>
      <c r="L381" s="13" t="s">
        <v>9</v>
      </c>
    </row>
    <row r="382" spans="2:12" ht="17.25" customHeight="1" x14ac:dyDescent="0.25">
      <c r="B382" s="9" t="s">
        <v>10</v>
      </c>
      <c r="C382" s="10" t="s">
        <v>949</v>
      </c>
      <c r="D382" s="89">
        <v>45472</v>
      </c>
      <c r="E382" s="71" t="s">
        <v>16</v>
      </c>
      <c r="F382" s="9" t="s">
        <v>956</v>
      </c>
      <c r="G382" s="160">
        <v>12576</v>
      </c>
      <c r="H382" s="160"/>
      <c r="I382" s="160">
        <f t="shared" si="48"/>
        <v>12576</v>
      </c>
      <c r="J382" s="160">
        <f t="shared" si="49"/>
        <v>628.80000000000007</v>
      </c>
      <c r="K382" s="160">
        <f t="shared" si="50"/>
        <v>13204.8</v>
      </c>
      <c r="L382" s="13" t="s">
        <v>9</v>
      </c>
    </row>
    <row r="383" spans="2:12" ht="17.25" customHeight="1" x14ac:dyDescent="0.25">
      <c r="B383" s="9" t="s">
        <v>94</v>
      </c>
      <c r="C383" s="10" t="s">
        <v>950</v>
      </c>
      <c r="D383" s="89">
        <v>45471</v>
      </c>
      <c r="E383" s="71" t="s">
        <v>96</v>
      </c>
      <c r="F383" s="9" t="s">
        <v>95</v>
      </c>
      <c r="G383" s="160">
        <v>285</v>
      </c>
      <c r="H383" s="160"/>
      <c r="I383" s="160">
        <f t="shared" si="48"/>
        <v>285</v>
      </c>
      <c r="J383" s="160">
        <f t="shared" si="49"/>
        <v>14.25</v>
      </c>
      <c r="K383" s="160">
        <f t="shared" si="50"/>
        <v>299.25</v>
      </c>
      <c r="L383" s="13" t="s">
        <v>78</v>
      </c>
    </row>
    <row r="384" spans="2:12" ht="17.25" customHeight="1" x14ac:dyDescent="0.25">
      <c r="B384" s="9" t="s">
        <v>957</v>
      </c>
      <c r="C384" s="10" t="s">
        <v>951</v>
      </c>
      <c r="D384" s="89">
        <v>45469</v>
      </c>
      <c r="E384" s="71" t="s">
        <v>958</v>
      </c>
      <c r="F384" s="9" t="s">
        <v>225</v>
      </c>
      <c r="G384" s="160">
        <v>285</v>
      </c>
      <c r="H384" s="160"/>
      <c r="I384" s="160">
        <f t="shared" si="48"/>
        <v>285</v>
      </c>
      <c r="J384" s="160">
        <f t="shared" si="49"/>
        <v>14.25</v>
      </c>
      <c r="K384" s="160">
        <f t="shared" si="50"/>
        <v>299.25</v>
      </c>
      <c r="L384" s="13" t="s">
        <v>1046</v>
      </c>
    </row>
    <row r="385" spans="2:16" ht="17.25" customHeight="1" x14ac:dyDescent="0.25">
      <c r="B385" s="9" t="s">
        <v>29</v>
      </c>
      <c r="C385" s="10" t="s">
        <v>959</v>
      </c>
      <c r="D385" s="89">
        <v>45471</v>
      </c>
      <c r="E385" s="71" t="s">
        <v>128</v>
      </c>
      <c r="F385" s="9" t="s">
        <v>225</v>
      </c>
      <c r="G385" s="160">
        <v>275</v>
      </c>
      <c r="H385" s="160"/>
      <c r="I385" s="160">
        <f t="shared" si="48"/>
        <v>275</v>
      </c>
      <c r="J385" s="160">
        <f t="shared" si="49"/>
        <v>13.75</v>
      </c>
      <c r="K385" s="160">
        <f t="shared" si="50"/>
        <v>288.75</v>
      </c>
      <c r="L385" s="13" t="s">
        <v>9</v>
      </c>
    </row>
    <row r="386" spans="2:16" ht="17.25" customHeight="1" x14ac:dyDescent="0.25">
      <c r="B386" s="9" t="s">
        <v>142</v>
      </c>
      <c r="C386" s="10" t="s">
        <v>960</v>
      </c>
      <c r="D386" s="89">
        <v>45469</v>
      </c>
      <c r="E386" s="71" t="s">
        <v>143</v>
      </c>
      <c r="F386" s="9" t="s">
        <v>962</v>
      </c>
      <c r="G386" s="160">
        <v>1296</v>
      </c>
      <c r="H386" s="160"/>
      <c r="I386" s="160">
        <f t="shared" si="48"/>
        <v>1296</v>
      </c>
      <c r="J386" s="160">
        <f t="shared" si="49"/>
        <v>64.8</v>
      </c>
      <c r="K386" s="160">
        <f t="shared" si="50"/>
        <v>1360.8</v>
      </c>
      <c r="L386" s="13" t="s">
        <v>9</v>
      </c>
    </row>
    <row r="387" spans="2:16" ht="17.25" customHeight="1" x14ac:dyDescent="0.25">
      <c r="B387" s="9" t="s">
        <v>963</v>
      </c>
      <c r="C387" s="10" t="s">
        <v>961</v>
      </c>
      <c r="D387" s="89">
        <v>45470</v>
      </c>
      <c r="E387" s="70"/>
      <c r="F387" s="9" t="s">
        <v>964</v>
      </c>
      <c r="G387" s="160">
        <v>425</v>
      </c>
      <c r="H387" s="160"/>
      <c r="I387" s="160">
        <f t="shared" si="48"/>
        <v>425</v>
      </c>
      <c r="J387" s="160">
        <f t="shared" si="49"/>
        <v>21.25</v>
      </c>
      <c r="K387" s="160">
        <f t="shared" si="50"/>
        <v>446.25</v>
      </c>
      <c r="L387" s="13" t="s">
        <v>9</v>
      </c>
    </row>
    <row r="388" spans="2:16" ht="17.25" customHeight="1" x14ac:dyDescent="0.25">
      <c r="B388" s="9" t="s">
        <v>515</v>
      </c>
      <c r="C388" s="10" t="s">
        <v>965</v>
      </c>
      <c r="D388" s="89">
        <v>45470</v>
      </c>
      <c r="E388" s="70">
        <v>100267612800003</v>
      </c>
      <c r="F388" s="9" t="s">
        <v>974</v>
      </c>
      <c r="G388" s="160">
        <v>2125</v>
      </c>
      <c r="H388" s="160"/>
      <c r="I388" s="160">
        <f t="shared" si="48"/>
        <v>2125</v>
      </c>
      <c r="J388" s="160">
        <f t="shared" si="49"/>
        <v>106.25</v>
      </c>
      <c r="K388" s="160">
        <f t="shared" si="50"/>
        <v>2231.25</v>
      </c>
      <c r="L388" s="13" t="s">
        <v>78</v>
      </c>
    </row>
    <row r="389" spans="2:16" ht="17.25" customHeight="1" x14ac:dyDescent="0.25">
      <c r="B389" s="9" t="s">
        <v>100</v>
      </c>
      <c r="C389" s="10" t="s">
        <v>966</v>
      </c>
      <c r="D389" s="89">
        <v>45470</v>
      </c>
      <c r="E389" s="70"/>
      <c r="F389" s="9" t="s">
        <v>975</v>
      </c>
      <c r="G389" s="160">
        <v>820</v>
      </c>
      <c r="H389" s="160"/>
      <c r="I389" s="160">
        <f t="shared" si="48"/>
        <v>820</v>
      </c>
      <c r="J389" s="160">
        <f t="shared" si="49"/>
        <v>41</v>
      </c>
      <c r="K389" s="160">
        <f t="shared" si="50"/>
        <v>861</v>
      </c>
      <c r="L389" s="13" t="s">
        <v>9</v>
      </c>
    </row>
    <row r="390" spans="2:16" ht="17.25" customHeight="1" x14ac:dyDescent="0.25">
      <c r="B390" s="9" t="s">
        <v>81</v>
      </c>
      <c r="C390" s="10" t="s">
        <v>967</v>
      </c>
      <c r="D390" s="89">
        <v>45471</v>
      </c>
      <c r="E390" s="71" t="s">
        <v>82</v>
      </c>
      <c r="F390" s="9" t="s">
        <v>225</v>
      </c>
      <c r="G390" s="160">
        <v>495</v>
      </c>
      <c r="H390" s="160"/>
      <c r="I390" s="160">
        <f t="shared" si="48"/>
        <v>495</v>
      </c>
      <c r="J390" s="160">
        <f t="shared" si="49"/>
        <v>24.75</v>
      </c>
      <c r="K390" s="160">
        <f t="shared" si="50"/>
        <v>519.75</v>
      </c>
      <c r="L390" s="13" t="s">
        <v>78</v>
      </c>
    </row>
    <row r="391" spans="2:16" ht="17.25" customHeight="1" x14ac:dyDescent="0.25">
      <c r="B391" s="9" t="s">
        <v>664</v>
      </c>
      <c r="C391" s="10" t="s">
        <v>968</v>
      </c>
      <c r="D391" s="89">
        <v>45470</v>
      </c>
      <c r="E391" s="71" t="s">
        <v>237</v>
      </c>
      <c r="F391" s="9" t="s">
        <v>976</v>
      </c>
      <c r="G391" s="160">
        <v>60</v>
      </c>
      <c r="H391" s="160"/>
      <c r="I391" s="160">
        <f t="shared" si="48"/>
        <v>60</v>
      </c>
      <c r="J391" s="160">
        <f t="shared" si="49"/>
        <v>3</v>
      </c>
      <c r="K391" s="160">
        <f t="shared" si="50"/>
        <v>63</v>
      </c>
      <c r="L391" s="13" t="s">
        <v>9</v>
      </c>
    </row>
    <row r="392" spans="2:16" ht="17.25" customHeight="1" x14ac:dyDescent="0.25">
      <c r="B392" s="9" t="s">
        <v>666</v>
      </c>
      <c r="C392" s="10" t="s">
        <v>969</v>
      </c>
      <c r="D392" s="89">
        <v>45470</v>
      </c>
      <c r="E392" s="71" t="s">
        <v>237</v>
      </c>
      <c r="F392" s="9" t="s">
        <v>976</v>
      </c>
      <c r="G392" s="160">
        <v>30</v>
      </c>
      <c r="H392" s="160"/>
      <c r="I392" s="160">
        <f t="shared" si="48"/>
        <v>30</v>
      </c>
      <c r="J392" s="160">
        <f t="shared" si="49"/>
        <v>1.5</v>
      </c>
      <c r="K392" s="160">
        <f t="shared" si="50"/>
        <v>31.5</v>
      </c>
      <c r="L392" s="13" t="s">
        <v>9</v>
      </c>
    </row>
    <row r="393" spans="2:16" ht="17.25" customHeight="1" x14ac:dyDescent="0.25">
      <c r="B393" s="9" t="s">
        <v>644</v>
      </c>
      <c r="C393" s="10" t="s">
        <v>970</v>
      </c>
      <c r="D393" s="89">
        <v>45473</v>
      </c>
      <c r="E393" s="71" t="s">
        <v>645</v>
      </c>
      <c r="F393" s="9" t="s">
        <v>646</v>
      </c>
      <c r="G393" s="160">
        <v>459.52</v>
      </c>
      <c r="H393" s="160"/>
      <c r="I393" s="160">
        <f t="shared" si="48"/>
        <v>459.52</v>
      </c>
      <c r="J393" s="160">
        <f t="shared" si="49"/>
        <v>22.975999999999999</v>
      </c>
      <c r="K393" s="160">
        <f t="shared" si="50"/>
        <v>482.49599999999998</v>
      </c>
      <c r="L393" s="13" t="s">
        <v>9</v>
      </c>
    </row>
    <row r="394" spans="2:16" ht="17.25" customHeight="1" x14ac:dyDescent="0.25">
      <c r="B394" s="9" t="s">
        <v>75</v>
      </c>
      <c r="C394" s="10" t="s">
        <v>971</v>
      </c>
      <c r="D394" s="89">
        <v>45470</v>
      </c>
      <c r="E394" s="71" t="s">
        <v>978</v>
      </c>
      <c r="F394" s="9" t="s">
        <v>979</v>
      </c>
      <c r="G394" s="160">
        <v>8375</v>
      </c>
      <c r="H394" s="160"/>
      <c r="I394" s="160">
        <f t="shared" si="48"/>
        <v>8375</v>
      </c>
      <c r="J394" s="160">
        <f t="shared" si="49"/>
        <v>418.75</v>
      </c>
      <c r="K394" s="160">
        <f t="shared" si="50"/>
        <v>8793.75</v>
      </c>
      <c r="L394" s="13" t="s">
        <v>78</v>
      </c>
    </row>
    <row r="395" spans="2:16" ht="17.25" customHeight="1" x14ac:dyDescent="0.25">
      <c r="B395" s="9" t="s">
        <v>980</v>
      </c>
      <c r="C395" s="10" t="s">
        <v>972</v>
      </c>
      <c r="D395" s="89">
        <v>45471</v>
      </c>
      <c r="E395" s="71" t="s">
        <v>981</v>
      </c>
      <c r="F395" s="9" t="s">
        <v>982</v>
      </c>
      <c r="G395" s="160">
        <v>10930</v>
      </c>
      <c r="H395" s="160"/>
      <c r="I395" s="160">
        <f t="shared" si="48"/>
        <v>10930</v>
      </c>
      <c r="J395" s="160">
        <f t="shared" si="49"/>
        <v>546.5</v>
      </c>
      <c r="K395" s="160">
        <f t="shared" si="50"/>
        <v>11476.5</v>
      </c>
      <c r="L395" s="13" t="s">
        <v>78</v>
      </c>
    </row>
    <row r="396" spans="2:16" ht="17.25" customHeight="1" x14ac:dyDescent="0.25">
      <c r="B396" s="9" t="s">
        <v>990</v>
      </c>
      <c r="C396" s="10" t="s">
        <v>973</v>
      </c>
      <c r="D396" s="89">
        <v>45471</v>
      </c>
      <c r="E396" s="71" t="s">
        <v>991</v>
      </c>
      <c r="F396" s="9" t="s">
        <v>95</v>
      </c>
      <c r="G396" s="160">
        <v>235</v>
      </c>
      <c r="H396" s="160"/>
      <c r="I396" s="160">
        <f t="shared" si="48"/>
        <v>235</v>
      </c>
      <c r="J396" s="160">
        <f t="shared" si="49"/>
        <v>11.75</v>
      </c>
      <c r="K396" s="160">
        <f t="shared" si="50"/>
        <v>246.75</v>
      </c>
      <c r="L396" s="13" t="s">
        <v>78</v>
      </c>
    </row>
    <row r="397" spans="2:16" ht="12.75" customHeight="1" x14ac:dyDescent="0.25">
      <c r="B397" s="9" t="s">
        <v>10</v>
      </c>
      <c r="C397" s="10" t="s">
        <v>984</v>
      </c>
      <c r="D397" s="89">
        <v>45470</v>
      </c>
      <c r="E397" s="70" t="s">
        <v>992</v>
      </c>
      <c r="F397" s="9" t="s">
        <v>993</v>
      </c>
      <c r="G397" s="160">
        <v>565</v>
      </c>
      <c r="H397" s="160"/>
      <c r="I397" s="160">
        <f t="shared" ref="I397:I420" si="51">G397-H397</f>
        <v>565</v>
      </c>
      <c r="J397" s="160">
        <f t="shared" ref="J397:J420" si="52">G397*5%</f>
        <v>28.25</v>
      </c>
      <c r="K397" s="160">
        <f t="shared" ref="K397:K420" si="53">G397+J397</f>
        <v>593.25</v>
      </c>
      <c r="L397" s="13" t="s">
        <v>9</v>
      </c>
    </row>
    <row r="398" spans="2:16" ht="17.25" customHeight="1" x14ac:dyDescent="0.25">
      <c r="B398" s="9" t="s">
        <v>515</v>
      </c>
      <c r="C398" s="10" t="s">
        <v>985</v>
      </c>
      <c r="D398" s="89">
        <v>45471</v>
      </c>
      <c r="E398" s="71" t="s">
        <v>733</v>
      </c>
      <c r="F398" s="9" t="s">
        <v>994</v>
      </c>
      <c r="G398" s="160">
        <v>20950</v>
      </c>
      <c r="H398" s="160"/>
      <c r="I398" s="160">
        <f t="shared" si="51"/>
        <v>20950</v>
      </c>
      <c r="J398" s="160">
        <f t="shared" si="52"/>
        <v>1047.5</v>
      </c>
      <c r="K398" s="160">
        <f t="shared" si="53"/>
        <v>21997.5</v>
      </c>
      <c r="L398" s="13" t="s">
        <v>78</v>
      </c>
      <c r="P398" s="42"/>
    </row>
    <row r="399" spans="2:16" ht="17.25" customHeight="1" x14ac:dyDescent="0.25">
      <c r="B399" s="9" t="s">
        <v>980</v>
      </c>
      <c r="C399" s="10" t="s">
        <v>986</v>
      </c>
      <c r="D399" s="89">
        <v>45471</v>
      </c>
      <c r="E399" s="71" t="s">
        <v>981</v>
      </c>
      <c r="F399" s="9" t="s">
        <v>996</v>
      </c>
      <c r="G399" s="160">
        <v>212.25</v>
      </c>
      <c r="H399" s="160"/>
      <c r="I399" s="160">
        <f t="shared" si="51"/>
        <v>212.25</v>
      </c>
      <c r="J399" s="160">
        <f t="shared" si="52"/>
        <v>10.612500000000001</v>
      </c>
      <c r="K399" s="160">
        <f t="shared" si="53"/>
        <v>222.86250000000001</v>
      </c>
      <c r="L399" s="13" t="s">
        <v>78</v>
      </c>
      <c r="P399" s="177" t="s">
        <v>995</v>
      </c>
    </row>
    <row r="400" spans="2:16" ht="17.25" customHeight="1" x14ac:dyDescent="0.25">
      <c r="B400" s="61" t="s">
        <v>983</v>
      </c>
      <c r="C400" s="62" t="s">
        <v>987</v>
      </c>
      <c r="D400" s="90">
        <v>45471</v>
      </c>
      <c r="E400" s="99" t="s">
        <v>989</v>
      </c>
      <c r="F400" s="61" t="s">
        <v>988</v>
      </c>
      <c r="G400" s="161">
        <v>0</v>
      </c>
      <c r="H400" s="161"/>
      <c r="I400" s="161">
        <v>0</v>
      </c>
      <c r="J400" s="161">
        <f t="shared" si="52"/>
        <v>0</v>
      </c>
      <c r="K400" s="161">
        <v>0</v>
      </c>
      <c r="L400" s="64" t="s">
        <v>1071</v>
      </c>
    </row>
    <row r="401" spans="2:12" ht="17.25" customHeight="1" x14ac:dyDescent="0.25">
      <c r="B401" s="9" t="s">
        <v>10</v>
      </c>
      <c r="C401" s="10" t="s">
        <v>997</v>
      </c>
      <c r="D401" s="89">
        <v>45473</v>
      </c>
      <c r="E401" s="71" t="s">
        <v>16</v>
      </c>
      <c r="F401" s="179" t="s">
        <v>1001</v>
      </c>
      <c r="G401" s="160">
        <v>11212.5</v>
      </c>
      <c r="H401" s="160"/>
      <c r="I401" s="160">
        <f t="shared" si="51"/>
        <v>11212.5</v>
      </c>
      <c r="J401" s="160">
        <f t="shared" si="52"/>
        <v>560.625</v>
      </c>
      <c r="K401" s="160">
        <f t="shared" si="53"/>
        <v>11773.125</v>
      </c>
      <c r="L401" s="13" t="s">
        <v>9</v>
      </c>
    </row>
    <row r="402" spans="2:12" ht="17.25" customHeight="1" x14ac:dyDescent="0.25">
      <c r="B402" s="9" t="s">
        <v>954</v>
      </c>
      <c r="C402" s="10" t="s">
        <v>998</v>
      </c>
      <c r="D402" s="89">
        <v>45471</v>
      </c>
      <c r="E402" s="70"/>
      <c r="F402" s="9" t="s">
        <v>1002</v>
      </c>
      <c r="G402" s="160">
        <v>2642.5</v>
      </c>
      <c r="H402" s="160"/>
      <c r="I402" s="160">
        <f t="shared" si="51"/>
        <v>2642.5</v>
      </c>
      <c r="J402" s="160">
        <f t="shared" si="52"/>
        <v>132.125</v>
      </c>
      <c r="K402" s="160">
        <f t="shared" si="53"/>
        <v>2774.625</v>
      </c>
      <c r="L402" s="13" t="s">
        <v>9</v>
      </c>
    </row>
    <row r="403" spans="2:12" ht="17.25" customHeight="1" x14ac:dyDescent="0.25">
      <c r="B403" s="9" t="s">
        <v>10</v>
      </c>
      <c r="C403" s="10" t="s">
        <v>999</v>
      </c>
      <c r="D403" s="89">
        <v>45473</v>
      </c>
      <c r="E403" s="71" t="s">
        <v>16</v>
      </c>
      <c r="F403" s="179" t="s">
        <v>956</v>
      </c>
      <c r="G403" s="160">
        <v>491.25</v>
      </c>
      <c r="H403" s="160"/>
      <c r="I403" s="160">
        <f t="shared" si="51"/>
        <v>491.25</v>
      </c>
      <c r="J403" s="160">
        <f t="shared" si="52"/>
        <v>24.5625</v>
      </c>
      <c r="K403" s="160">
        <f t="shared" si="53"/>
        <v>515.8125</v>
      </c>
      <c r="L403" s="13" t="s">
        <v>9</v>
      </c>
    </row>
    <row r="404" spans="2:12" ht="17.25" customHeight="1" x14ac:dyDescent="0.25">
      <c r="B404" s="9" t="s">
        <v>409</v>
      </c>
      <c r="C404" s="10" t="s">
        <v>1000</v>
      </c>
      <c r="D404" s="89">
        <v>45471</v>
      </c>
      <c r="E404" s="71" t="s">
        <v>181</v>
      </c>
      <c r="F404" s="9" t="s">
        <v>1003</v>
      </c>
      <c r="G404" s="160">
        <v>485</v>
      </c>
      <c r="H404" s="160"/>
      <c r="I404" s="160">
        <f t="shared" si="51"/>
        <v>485</v>
      </c>
      <c r="J404" s="160">
        <f t="shared" si="52"/>
        <v>24.25</v>
      </c>
      <c r="K404" s="160">
        <f t="shared" si="53"/>
        <v>509.25</v>
      </c>
      <c r="L404" s="13" t="s">
        <v>78</v>
      </c>
    </row>
    <row r="405" spans="2:12" ht="17.25" customHeight="1" x14ac:dyDescent="0.25">
      <c r="B405" s="9" t="s">
        <v>10</v>
      </c>
      <c r="C405" s="10" t="s">
        <v>1004</v>
      </c>
      <c r="D405" s="89">
        <v>45473</v>
      </c>
      <c r="E405" s="71" t="s">
        <v>16</v>
      </c>
      <c r="F405" s="9" t="s">
        <v>1005</v>
      </c>
      <c r="G405" s="160">
        <v>1225</v>
      </c>
      <c r="H405" s="160"/>
      <c r="I405" s="160">
        <f t="shared" si="51"/>
        <v>1225</v>
      </c>
      <c r="J405" s="160">
        <f t="shared" si="52"/>
        <v>61.25</v>
      </c>
      <c r="K405" s="160">
        <f t="shared" si="53"/>
        <v>1286.25</v>
      </c>
      <c r="L405" s="13" t="s">
        <v>9</v>
      </c>
    </row>
    <row r="406" spans="2:12" ht="17.25" customHeight="1" x14ac:dyDescent="0.25">
      <c r="B406" s="9" t="s">
        <v>1006</v>
      </c>
      <c r="C406" s="10" t="s">
        <v>1007</v>
      </c>
      <c r="D406" s="89">
        <v>45473</v>
      </c>
      <c r="E406" s="70"/>
      <c r="F406" s="9" t="s">
        <v>1008</v>
      </c>
      <c r="G406" s="160">
        <v>714.29</v>
      </c>
      <c r="H406" s="160"/>
      <c r="I406" s="160">
        <f t="shared" si="51"/>
        <v>714.29</v>
      </c>
      <c r="J406" s="160">
        <f t="shared" si="52"/>
        <v>35.714500000000001</v>
      </c>
      <c r="K406" s="160">
        <f t="shared" si="53"/>
        <v>750.00450000000001</v>
      </c>
      <c r="L406" s="13" t="s">
        <v>1046</v>
      </c>
    </row>
    <row r="407" spans="2:12" ht="17.25" customHeight="1" x14ac:dyDescent="0.25">
      <c r="B407" s="9" t="s">
        <v>524</v>
      </c>
      <c r="C407" s="10" t="s">
        <v>1009</v>
      </c>
      <c r="D407" s="89">
        <v>45476</v>
      </c>
      <c r="E407" s="71" t="s">
        <v>1010</v>
      </c>
      <c r="F407" s="9" t="s">
        <v>1011</v>
      </c>
      <c r="G407" s="160">
        <v>485</v>
      </c>
      <c r="H407" s="160"/>
      <c r="I407" s="160">
        <f t="shared" si="51"/>
        <v>485</v>
      </c>
      <c r="J407" s="160">
        <f t="shared" si="52"/>
        <v>24.25</v>
      </c>
      <c r="K407" s="160">
        <f t="shared" si="53"/>
        <v>509.25</v>
      </c>
      <c r="L407" s="13" t="s">
        <v>9</v>
      </c>
    </row>
    <row r="408" spans="2:12" ht="17.25" customHeight="1" x14ac:dyDescent="0.25">
      <c r="B408" s="9" t="s">
        <v>122</v>
      </c>
      <c r="C408" s="10" t="s">
        <v>1012</v>
      </c>
      <c r="D408" s="89">
        <v>45476</v>
      </c>
      <c r="E408" s="70"/>
      <c r="F408" s="9" t="s">
        <v>1015</v>
      </c>
      <c r="G408" s="160">
        <v>275</v>
      </c>
      <c r="H408" s="160"/>
      <c r="I408" s="160">
        <f t="shared" si="51"/>
        <v>275</v>
      </c>
      <c r="J408" s="160">
        <f t="shared" si="52"/>
        <v>13.75</v>
      </c>
      <c r="K408" s="160">
        <f t="shared" si="53"/>
        <v>288.75</v>
      </c>
      <c r="L408" s="13" t="s">
        <v>9</v>
      </c>
    </row>
    <row r="409" spans="2:12" ht="17.25" customHeight="1" x14ac:dyDescent="0.25">
      <c r="B409" s="9" t="s">
        <v>1016</v>
      </c>
      <c r="C409" s="10" t="s">
        <v>1013</v>
      </c>
      <c r="D409" s="89">
        <v>45475</v>
      </c>
      <c r="E409" s="70"/>
      <c r="F409" s="9" t="s">
        <v>1017</v>
      </c>
      <c r="G409" s="160">
        <v>200</v>
      </c>
      <c r="H409" s="160"/>
      <c r="I409" s="160">
        <f t="shared" si="51"/>
        <v>200</v>
      </c>
      <c r="J409" s="160">
        <f t="shared" si="52"/>
        <v>10</v>
      </c>
      <c r="K409" s="160">
        <f t="shared" si="53"/>
        <v>210</v>
      </c>
      <c r="L409" s="13" t="s">
        <v>9</v>
      </c>
    </row>
    <row r="410" spans="2:12" ht="17.25" customHeight="1" x14ac:dyDescent="0.25">
      <c r="B410" s="9" t="s">
        <v>1018</v>
      </c>
      <c r="C410" s="10" t="s">
        <v>1014</v>
      </c>
      <c r="D410" s="89">
        <v>45475</v>
      </c>
      <c r="E410" s="70"/>
      <c r="F410" s="9" t="s">
        <v>855</v>
      </c>
      <c r="G410" s="160">
        <v>1243.75</v>
      </c>
      <c r="H410" s="160"/>
      <c r="I410" s="160">
        <f t="shared" si="51"/>
        <v>1243.75</v>
      </c>
      <c r="J410" s="160">
        <f t="shared" si="52"/>
        <v>62.1875</v>
      </c>
      <c r="K410" s="160">
        <f t="shared" si="53"/>
        <v>1305.9375</v>
      </c>
      <c r="L410" s="13" t="s">
        <v>78</v>
      </c>
    </row>
    <row r="411" spans="2:12" ht="17.25" customHeight="1" x14ac:dyDescent="0.25">
      <c r="B411" s="9" t="s">
        <v>736</v>
      </c>
      <c r="C411" s="10" t="s">
        <v>1020</v>
      </c>
      <c r="D411" s="89">
        <v>45476</v>
      </c>
      <c r="E411" s="70"/>
      <c r="F411" s="9" t="s">
        <v>95</v>
      </c>
      <c r="G411" s="160">
        <v>175</v>
      </c>
      <c r="H411" s="160"/>
      <c r="I411" s="160">
        <f t="shared" si="51"/>
        <v>175</v>
      </c>
      <c r="J411" s="160">
        <f t="shared" si="52"/>
        <v>8.75</v>
      </c>
      <c r="K411" s="160">
        <f t="shared" si="53"/>
        <v>183.75</v>
      </c>
      <c r="L411" s="13" t="s">
        <v>78</v>
      </c>
    </row>
    <row r="412" spans="2:12" ht="17.25" customHeight="1" x14ac:dyDescent="0.25">
      <c r="B412" s="9" t="s">
        <v>1023</v>
      </c>
      <c r="C412" s="10" t="s">
        <v>1021</v>
      </c>
      <c r="D412" s="89">
        <v>45478</v>
      </c>
      <c r="E412" s="71" t="s">
        <v>1024</v>
      </c>
      <c r="F412" s="9" t="s">
        <v>1025</v>
      </c>
      <c r="G412" s="160">
        <v>2800</v>
      </c>
      <c r="H412" s="160"/>
      <c r="I412" s="160">
        <f t="shared" si="51"/>
        <v>2800</v>
      </c>
      <c r="J412" s="160">
        <f t="shared" si="52"/>
        <v>140</v>
      </c>
      <c r="K412" s="160">
        <f t="shared" si="53"/>
        <v>2940</v>
      </c>
      <c r="L412" s="13" t="s">
        <v>78</v>
      </c>
    </row>
    <row r="413" spans="2:12" ht="17.25" customHeight="1" x14ac:dyDescent="0.25">
      <c r="B413" s="9" t="s">
        <v>10</v>
      </c>
      <c r="C413" s="10" t="s">
        <v>1022</v>
      </c>
      <c r="D413" s="89">
        <v>45476</v>
      </c>
      <c r="E413" s="71" t="s">
        <v>16</v>
      </c>
      <c r="F413" s="9" t="s">
        <v>1026</v>
      </c>
      <c r="G413" s="160">
        <v>1675</v>
      </c>
      <c r="H413" s="160"/>
      <c r="I413" s="160">
        <f t="shared" si="51"/>
        <v>1675</v>
      </c>
      <c r="J413" s="160">
        <f t="shared" si="52"/>
        <v>83.75</v>
      </c>
      <c r="K413" s="160">
        <f t="shared" si="53"/>
        <v>1758.75</v>
      </c>
      <c r="L413" s="13" t="s">
        <v>9</v>
      </c>
    </row>
    <row r="414" spans="2:12" ht="17.25" customHeight="1" x14ac:dyDescent="0.25">
      <c r="B414" s="9" t="s">
        <v>81</v>
      </c>
      <c r="C414" s="10" t="s">
        <v>1029</v>
      </c>
      <c r="D414" s="89">
        <v>45481</v>
      </c>
      <c r="E414" s="71" t="s">
        <v>82</v>
      </c>
      <c r="F414" s="9" t="s">
        <v>95</v>
      </c>
      <c r="G414" s="160">
        <v>435</v>
      </c>
      <c r="H414" s="160"/>
      <c r="I414" s="160">
        <f t="shared" si="51"/>
        <v>435</v>
      </c>
      <c r="J414" s="160">
        <f t="shared" si="52"/>
        <v>21.75</v>
      </c>
      <c r="K414" s="160">
        <f t="shared" si="53"/>
        <v>456.75</v>
      </c>
      <c r="L414" s="13" t="s">
        <v>78</v>
      </c>
    </row>
    <row r="415" spans="2:12" ht="17.25" customHeight="1" x14ac:dyDescent="0.25">
      <c r="B415" s="9" t="s">
        <v>89</v>
      </c>
      <c r="C415" s="10" t="s">
        <v>1030</v>
      </c>
      <c r="D415" s="89">
        <v>45481</v>
      </c>
      <c r="E415" s="71" t="s">
        <v>90</v>
      </c>
      <c r="F415" s="9" t="s">
        <v>1031</v>
      </c>
      <c r="G415" s="160">
        <v>700</v>
      </c>
      <c r="H415" s="160"/>
      <c r="I415" s="160">
        <f t="shared" si="51"/>
        <v>700</v>
      </c>
      <c r="J415" s="160">
        <f t="shared" si="52"/>
        <v>35</v>
      </c>
      <c r="K415" s="160">
        <f t="shared" si="53"/>
        <v>735</v>
      </c>
      <c r="L415" s="13" t="s">
        <v>78</v>
      </c>
    </row>
    <row r="416" spans="2:12" ht="17.25" customHeight="1" x14ac:dyDescent="0.25">
      <c r="B416" s="9" t="s">
        <v>1036</v>
      </c>
      <c r="C416" s="10" t="s">
        <v>1032</v>
      </c>
      <c r="D416" s="89">
        <v>45478</v>
      </c>
      <c r="E416" s="71" t="s">
        <v>258</v>
      </c>
      <c r="F416" s="9" t="s">
        <v>1037</v>
      </c>
      <c r="G416" s="160">
        <v>1803.75</v>
      </c>
      <c r="H416" s="160"/>
      <c r="I416" s="160">
        <f t="shared" si="51"/>
        <v>1803.75</v>
      </c>
      <c r="J416" s="160">
        <f t="shared" si="52"/>
        <v>90.1875</v>
      </c>
      <c r="K416" s="160">
        <f t="shared" si="53"/>
        <v>1893.9375</v>
      </c>
      <c r="L416" s="13" t="s">
        <v>9</v>
      </c>
    </row>
    <row r="417" spans="2:12" ht="17.25" customHeight="1" x14ac:dyDescent="0.25">
      <c r="B417" s="9" t="s">
        <v>29</v>
      </c>
      <c r="C417" s="10" t="s">
        <v>1033</v>
      </c>
      <c r="D417" s="89">
        <v>45478</v>
      </c>
      <c r="E417" s="71" t="s">
        <v>128</v>
      </c>
      <c r="F417" s="9" t="s">
        <v>1038</v>
      </c>
      <c r="G417" s="160">
        <v>702</v>
      </c>
      <c r="H417" s="160"/>
      <c r="I417" s="160">
        <f t="shared" si="51"/>
        <v>702</v>
      </c>
      <c r="J417" s="160">
        <f t="shared" si="52"/>
        <v>35.1</v>
      </c>
      <c r="K417" s="160">
        <f t="shared" si="53"/>
        <v>737.1</v>
      </c>
      <c r="L417" s="13" t="s">
        <v>9</v>
      </c>
    </row>
    <row r="418" spans="2:12" ht="17.25" customHeight="1" x14ac:dyDescent="0.25">
      <c r="B418" s="9" t="s">
        <v>114</v>
      </c>
      <c r="C418" s="10" t="s">
        <v>1034</v>
      </c>
      <c r="D418" s="89">
        <v>45478</v>
      </c>
      <c r="E418" s="71" t="s">
        <v>115</v>
      </c>
      <c r="F418" s="9" t="s">
        <v>598</v>
      </c>
      <c r="G418" s="160">
        <v>470</v>
      </c>
      <c r="H418" s="160"/>
      <c r="I418" s="160">
        <f t="shared" si="51"/>
        <v>470</v>
      </c>
      <c r="J418" s="160">
        <f t="shared" si="52"/>
        <v>23.5</v>
      </c>
      <c r="K418" s="160">
        <f t="shared" si="53"/>
        <v>493.5</v>
      </c>
      <c r="L418" s="13" t="s">
        <v>9</v>
      </c>
    </row>
    <row r="419" spans="2:12" ht="17.25" customHeight="1" x14ac:dyDescent="0.25">
      <c r="B419" s="9" t="s">
        <v>1039</v>
      </c>
      <c r="C419" s="10" t="s">
        <v>1035</v>
      </c>
      <c r="D419" s="89">
        <v>45478</v>
      </c>
      <c r="E419" s="71" t="s">
        <v>1040</v>
      </c>
      <c r="F419" s="9" t="s">
        <v>73</v>
      </c>
      <c r="G419" s="160">
        <v>2032.5</v>
      </c>
      <c r="H419" s="160"/>
      <c r="I419" s="160">
        <f t="shared" si="51"/>
        <v>2032.5</v>
      </c>
      <c r="J419" s="160">
        <f t="shared" si="52"/>
        <v>101.625</v>
      </c>
      <c r="K419" s="160">
        <f t="shared" si="53"/>
        <v>2134.125</v>
      </c>
      <c r="L419" s="13" t="s">
        <v>78</v>
      </c>
    </row>
    <row r="420" spans="2:12" ht="17.25" customHeight="1" x14ac:dyDescent="0.25">
      <c r="B420" s="9" t="s">
        <v>114</v>
      </c>
      <c r="C420" s="10" t="s">
        <v>1041</v>
      </c>
      <c r="D420" s="89">
        <v>45478</v>
      </c>
      <c r="E420" s="71" t="s">
        <v>115</v>
      </c>
      <c r="F420" s="9" t="s">
        <v>1042</v>
      </c>
      <c r="G420" s="160">
        <v>575</v>
      </c>
      <c r="H420" s="160"/>
      <c r="I420" s="160">
        <f t="shared" si="51"/>
        <v>575</v>
      </c>
      <c r="J420" s="160">
        <f t="shared" si="52"/>
        <v>28.75</v>
      </c>
      <c r="K420" s="160">
        <f t="shared" si="53"/>
        <v>603.75</v>
      </c>
      <c r="L420" s="13" t="s">
        <v>9</v>
      </c>
    </row>
    <row r="421" spans="2:12" ht="17.25" customHeight="1" x14ac:dyDescent="0.25">
      <c r="B421" s="9" t="s">
        <v>290</v>
      </c>
      <c r="C421" s="10" t="s">
        <v>1043</v>
      </c>
      <c r="D421" s="89">
        <v>45481</v>
      </c>
      <c r="E421" s="70"/>
      <c r="F421" s="9" t="s">
        <v>1044</v>
      </c>
      <c r="G421" s="184">
        <v>2250</v>
      </c>
      <c r="H421" s="160"/>
      <c r="I421" s="160">
        <f t="shared" ref="I421:I433" si="54">G421-H421</f>
        <v>2250</v>
      </c>
      <c r="J421" s="160">
        <f t="shared" ref="J421:J433" si="55">G421*5%</f>
        <v>112.5</v>
      </c>
      <c r="K421" s="160">
        <f t="shared" ref="K421:K433" si="56">G421+J421</f>
        <v>2362.5</v>
      </c>
      <c r="L421" s="13" t="s">
        <v>78</v>
      </c>
    </row>
    <row r="422" spans="2:12" ht="17.25" customHeight="1" x14ac:dyDescent="0.25">
      <c r="B422" s="9" t="s">
        <v>10</v>
      </c>
      <c r="C422" s="10" t="s">
        <v>1045</v>
      </c>
      <c r="D422" s="89">
        <v>45484</v>
      </c>
      <c r="E422" s="70"/>
      <c r="F422" s="9" t="s">
        <v>943</v>
      </c>
      <c r="G422" s="160">
        <v>475</v>
      </c>
      <c r="H422" s="160"/>
      <c r="I422" s="160">
        <f t="shared" si="54"/>
        <v>475</v>
      </c>
      <c r="J422" s="160">
        <f t="shared" si="55"/>
        <v>23.75</v>
      </c>
      <c r="K422" s="160">
        <f t="shared" si="56"/>
        <v>498.75</v>
      </c>
      <c r="L422" s="13" t="s">
        <v>9</v>
      </c>
    </row>
    <row r="423" spans="2:12" ht="17.25" customHeight="1" x14ac:dyDescent="0.25">
      <c r="B423" s="9" t="s">
        <v>43</v>
      </c>
      <c r="C423" s="10" t="s">
        <v>1047</v>
      </c>
      <c r="D423" s="89">
        <v>45485</v>
      </c>
      <c r="E423" s="71" t="s">
        <v>30</v>
      </c>
      <c r="F423" s="9" t="s">
        <v>701</v>
      </c>
      <c r="G423" s="160">
        <v>725</v>
      </c>
      <c r="H423" s="160"/>
      <c r="I423" s="160">
        <f t="shared" si="54"/>
        <v>725</v>
      </c>
      <c r="J423" s="160">
        <f t="shared" si="55"/>
        <v>36.25</v>
      </c>
      <c r="K423" s="160">
        <f t="shared" si="56"/>
        <v>761.25</v>
      </c>
      <c r="L423" s="13" t="s">
        <v>9</v>
      </c>
    </row>
    <row r="424" spans="2:12" ht="17.25" customHeight="1" x14ac:dyDescent="0.25">
      <c r="B424" s="9" t="s">
        <v>29</v>
      </c>
      <c r="C424" s="10" t="s">
        <v>1048</v>
      </c>
      <c r="D424" s="191">
        <v>45488</v>
      </c>
      <c r="E424" s="71" t="s">
        <v>28</v>
      </c>
      <c r="F424" s="9" t="s">
        <v>701</v>
      </c>
      <c r="G424" s="160">
        <v>275</v>
      </c>
      <c r="H424" s="160"/>
      <c r="I424" s="160">
        <f t="shared" si="54"/>
        <v>275</v>
      </c>
      <c r="J424" s="160">
        <f t="shared" si="55"/>
        <v>13.75</v>
      </c>
      <c r="K424" s="160">
        <f t="shared" si="56"/>
        <v>288.75</v>
      </c>
      <c r="L424" s="13" t="s">
        <v>9</v>
      </c>
    </row>
    <row r="425" spans="2:12" ht="17.25" customHeight="1" x14ac:dyDescent="0.25">
      <c r="B425" s="9" t="s">
        <v>102</v>
      </c>
      <c r="C425" s="10" t="s">
        <v>1049</v>
      </c>
      <c r="D425" s="89">
        <v>45484</v>
      </c>
      <c r="E425" s="71" t="s">
        <v>104</v>
      </c>
      <c r="F425" s="9" t="s">
        <v>1059</v>
      </c>
      <c r="G425" s="160">
        <v>3623</v>
      </c>
      <c r="H425" s="160"/>
      <c r="I425" s="160">
        <f t="shared" si="54"/>
        <v>3623</v>
      </c>
      <c r="J425" s="160">
        <f t="shared" si="55"/>
        <v>181.15</v>
      </c>
      <c r="K425" s="160">
        <f t="shared" si="56"/>
        <v>3804.15</v>
      </c>
      <c r="L425" s="13" t="s">
        <v>9</v>
      </c>
    </row>
    <row r="426" spans="2:12" ht="17.25" customHeight="1" x14ac:dyDescent="0.25">
      <c r="B426" s="9" t="s">
        <v>1060</v>
      </c>
      <c r="C426" s="10" t="s">
        <v>1050</v>
      </c>
      <c r="D426" s="89">
        <v>45484</v>
      </c>
      <c r="E426" s="71" t="s">
        <v>1061</v>
      </c>
      <c r="F426" s="9" t="s">
        <v>73</v>
      </c>
      <c r="G426" s="160">
        <v>1195</v>
      </c>
      <c r="H426" s="160"/>
      <c r="I426" s="160">
        <f t="shared" si="54"/>
        <v>1195</v>
      </c>
      <c r="J426" s="160">
        <f t="shared" si="55"/>
        <v>59.75</v>
      </c>
      <c r="K426" s="160">
        <f t="shared" si="56"/>
        <v>1254.75</v>
      </c>
      <c r="L426" s="13" t="s">
        <v>78</v>
      </c>
    </row>
    <row r="427" spans="2:12" ht="17.25" customHeight="1" x14ac:dyDescent="0.25">
      <c r="B427" s="9" t="s">
        <v>736</v>
      </c>
      <c r="C427" s="10" t="s">
        <v>1051</v>
      </c>
      <c r="D427" s="89">
        <v>45485</v>
      </c>
      <c r="E427" s="71" t="s">
        <v>1062</v>
      </c>
      <c r="F427" s="9" t="s">
        <v>95</v>
      </c>
      <c r="G427" s="160">
        <v>525</v>
      </c>
      <c r="H427" s="160"/>
      <c r="I427" s="160">
        <f t="shared" si="54"/>
        <v>525</v>
      </c>
      <c r="J427" s="160">
        <f t="shared" si="55"/>
        <v>26.25</v>
      </c>
      <c r="K427" s="160">
        <f t="shared" si="56"/>
        <v>551.25</v>
      </c>
      <c r="L427" s="13" t="s">
        <v>78</v>
      </c>
    </row>
    <row r="428" spans="2:12" ht="17.25" customHeight="1" x14ac:dyDescent="0.25">
      <c r="B428" s="9" t="s">
        <v>290</v>
      </c>
      <c r="C428" s="10" t="s">
        <v>1052</v>
      </c>
      <c r="D428" s="89">
        <v>45485</v>
      </c>
      <c r="E428" s="70"/>
      <c r="F428" s="9" t="s">
        <v>95</v>
      </c>
      <c r="G428" s="160">
        <v>185</v>
      </c>
      <c r="H428" s="160"/>
      <c r="I428" s="160">
        <f t="shared" si="54"/>
        <v>185</v>
      </c>
      <c r="J428" s="160">
        <f t="shared" si="55"/>
        <v>9.25</v>
      </c>
      <c r="K428" s="160">
        <f t="shared" si="56"/>
        <v>194.25</v>
      </c>
      <c r="L428" s="13" t="s">
        <v>78</v>
      </c>
    </row>
    <row r="429" spans="2:12" ht="17.25" customHeight="1" x14ac:dyDescent="0.25">
      <c r="B429" s="9" t="s">
        <v>1063</v>
      </c>
      <c r="C429" s="10" t="s">
        <v>1053</v>
      </c>
      <c r="D429" s="89">
        <v>45485</v>
      </c>
      <c r="E429" s="70"/>
      <c r="F429" s="9" t="s">
        <v>1064</v>
      </c>
      <c r="G429" s="160">
        <v>625</v>
      </c>
      <c r="H429" s="160"/>
      <c r="I429" s="160">
        <f t="shared" si="54"/>
        <v>625</v>
      </c>
      <c r="J429" s="160">
        <f t="shared" si="55"/>
        <v>31.25</v>
      </c>
      <c r="K429" s="160">
        <f t="shared" si="56"/>
        <v>656.25</v>
      </c>
      <c r="L429" s="13" t="s">
        <v>78</v>
      </c>
    </row>
    <row r="430" spans="2:12" ht="17.25" customHeight="1" x14ac:dyDescent="0.25">
      <c r="B430" s="9" t="s">
        <v>1065</v>
      </c>
      <c r="C430" s="10" t="s">
        <v>1054</v>
      </c>
      <c r="D430" s="89">
        <v>45486</v>
      </c>
      <c r="E430" s="70"/>
      <c r="F430" s="9" t="s">
        <v>901</v>
      </c>
      <c r="G430" s="160">
        <v>565</v>
      </c>
      <c r="H430" s="160"/>
      <c r="I430" s="160">
        <f t="shared" si="54"/>
        <v>565</v>
      </c>
      <c r="J430" s="160">
        <f t="shared" si="55"/>
        <v>28.25</v>
      </c>
      <c r="K430" s="160">
        <f t="shared" si="56"/>
        <v>593.25</v>
      </c>
      <c r="L430" s="13" t="s">
        <v>9</v>
      </c>
    </row>
    <row r="431" spans="2:12" ht="17.25" customHeight="1" x14ac:dyDescent="0.25">
      <c r="B431" s="9" t="s">
        <v>1066</v>
      </c>
      <c r="C431" s="10" t="s">
        <v>1055</v>
      </c>
      <c r="D431" s="192">
        <v>45485</v>
      </c>
      <c r="E431" s="71" t="s">
        <v>1067</v>
      </c>
      <c r="F431" s="9" t="s">
        <v>1068</v>
      </c>
      <c r="G431" s="160">
        <v>17900</v>
      </c>
      <c r="H431" s="160"/>
      <c r="I431" s="160">
        <f t="shared" si="54"/>
        <v>17900</v>
      </c>
      <c r="J431" s="160">
        <f t="shared" si="55"/>
        <v>895</v>
      </c>
      <c r="K431" s="160">
        <f t="shared" si="56"/>
        <v>18795</v>
      </c>
      <c r="L431" s="13" t="s">
        <v>78</v>
      </c>
    </row>
    <row r="432" spans="2:12" ht="17.25" customHeight="1" x14ac:dyDescent="0.25">
      <c r="B432" s="9" t="s">
        <v>257</v>
      </c>
      <c r="C432" s="10" t="s">
        <v>1056</v>
      </c>
      <c r="D432" s="192">
        <v>45485</v>
      </c>
      <c r="E432" s="71" t="s">
        <v>258</v>
      </c>
      <c r="F432" s="9" t="s">
        <v>1069</v>
      </c>
      <c r="G432" s="160">
        <v>1933.5</v>
      </c>
      <c r="H432" s="160"/>
      <c r="I432" s="160">
        <f t="shared" si="54"/>
        <v>1933.5</v>
      </c>
      <c r="J432" s="160">
        <f t="shared" si="55"/>
        <v>96.675000000000011</v>
      </c>
      <c r="K432" s="160">
        <f t="shared" si="56"/>
        <v>2030.175</v>
      </c>
      <c r="L432" s="13" t="s">
        <v>9</v>
      </c>
    </row>
    <row r="433" spans="2:15" ht="17.25" customHeight="1" x14ac:dyDescent="0.25">
      <c r="B433" s="9" t="s">
        <v>409</v>
      </c>
      <c r="C433" s="10" t="s">
        <v>1057</v>
      </c>
      <c r="D433" s="192">
        <v>45485</v>
      </c>
      <c r="E433" s="71" t="s">
        <v>694</v>
      </c>
      <c r="F433" s="9" t="s">
        <v>179</v>
      </c>
      <c r="G433" s="160">
        <v>287.5</v>
      </c>
      <c r="H433" s="160"/>
      <c r="I433" s="160">
        <f t="shared" si="54"/>
        <v>287.5</v>
      </c>
      <c r="J433" s="160">
        <f t="shared" si="55"/>
        <v>14.375</v>
      </c>
      <c r="K433" s="160">
        <f t="shared" si="56"/>
        <v>301.875</v>
      </c>
      <c r="L433" s="13" t="s">
        <v>78</v>
      </c>
    </row>
    <row r="434" spans="2:15" ht="17.25" customHeight="1" x14ac:dyDescent="0.25">
      <c r="B434" s="9" t="s">
        <v>174</v>
      </c>
      <c r="C434" s="10" t="s">
        <v>1058</v>
      </c>
      <c r="D434" s="192">
        <v>45485</v>
      </c>
      <c r="E434" s="71" t="s">
        <v>1070</v>
      </c>
      <c r="F434" s="9" t="s">
        <v>179</v>
      </c>
      <c r="G434" s="160">
        <v>287.5</v>
      </c>
      <c r="H434" s="160"/>
      <c r="I434" s="160">
        <f t="shared" ref="I434:I441" si="57">G434-H434</f>
        <v>287.5</v>
      </c>
      <c r="J434" s="160">
        <f t="shared" ref="J434:J441" si="58">G434*5%</f>
        <v>14.375</v>
      </c>
      <c r="K434" s="160">
        <f t="shared" ref="K434:K441" si="59">G434+J434</f>
        <v>301.875</v>
      </c>
      <c r="L434" s="13" t="s">
        <v>78</v>
      </c>
    </row>
    <row r="435" spans="2:15" ht="17.25" customHeight="1" x14ac:dyDescent="0.25">
      <c r="B435" s="9" t="s">
        <v>86</v>
      </c>
      <c r="C435" s="10" t="s">
        <v>1072</v>
      </c>
      <c r="D435" s="89">
        <v>45491</v>
      </c>
      <c r="E435" s="71" t="s">
        <v>597</v>
      </c>
      <c r="F435" s="9" t="s">
        <v>1076</v>
      </c>
      <c r="G435" s="160">
        <v>3210</v>
      </c>
      <c r="H435" s="160"/>
      <c r="I435" s="160">
        <f t="shared" si="57"/>
        <v>3210</v>
      </c>
      <c r="J435" s="160">
        <f t="shared" si="58"/>
        <v>160.5</v>
      </c>
      <c r="K435" s="160">
        <f t="shared" si="59"/>
        <v>3370.5</v>
      </c>
      <c r="L435" s="13" t="s">
        <v>9</v>
      </c>
    </row>
    <row r="436" spans="2:15" ht="17.25" customHeight="1" x14ac:dyDescent="0.25">
      <c r="B436" s="9" t="s">
        <v>1077</v>
      </c>
      <c r="C436" s="10" t="s">
        <v>1073</v>
      </c>
      <c r="D436" s="192">
        <v>45488</v>
      </c>
      <c r="E436" s="71" t="s">
        <v>1078</v>
      </c>
      <c r="F436" s="9" t="s">
        <v>1079</v>
      </c>
      <c r="G436" s="160">
        <v>2750</v>
      </c>
      <c r="H436" s="160"/>
      <c r="I436" s="160">
        <f t="shared" si="57"/>
        <v>2750</v>
      </c>
      <c r="J436" s="160">
        <f t="shared" si="58"/>
        <v>137.5</v>
      </c>
      <c r="K436" s="160">
        <f t="shared" si="59"/>
        <v>2887.5</v>
      </c>
      <c r="L436" s="13" t="s">
        <v>78</v>
      </c>
    </row>
    <row r="437" spans="2:15" ht="17.25" customHeight="1" x14ac:dyDescent="0.25">
      <c r="B437" s="9" t="s">
        <v>386</v>
      </c>
      <c r="C437" s="10" t="s">
        <v>1074</v>
      </c>
      <c r="D437" s="89">
        <v>45492</v>
      </c>
      <c r="E437" s="71" t="s">
        <v>1080</v>
      </c>
      <c r="F437" s="9" t="s">
        <v>1081</v>
      </c>
      <c r="G437" s="160">
        <v>1395</v>
      </c>
      <c r="H437" s="160"/>
      <c r="I437" s="160">
        <f t="shared" si="57"/>
        <v>1395</v>
      </c>
      <c r="J437" s="160">
        <f t="shared" si="58"/>
        <v>69.75</v>
      </c>
      <c r="K437" s="160">
        <f t="shared" si="59"/>
        <v>1464.75</v>
      </c>
      <c r="L437" s="13" t="s">
        <v>9</v>
      </c>
    </row>
    <row r="438" spans="2:15" ht="17.25" customHeight="1" x14ac:dyDescent="0.25">
      <c r="B438" s="9" t="s">
        <v>203</v>
      </c>
      <c r="C438" s="10" t="s">
        <v>1075</v>
      </c>
      <c r="D438" s="192">
        <v>45489</v>
      </c>
      <c r="E438" s="71" t="s">
        <v>851</v>
      </c>
      <c r="F438" s="9" t="s">
        <v>1082</v>
      </c>
      <c r="G438" s="160">
        <v>14110</v>
      </c>
      <c r="H438" s="160"/>
      <c r="I438" s="160">
        <f t="shared" si="57"/>
        <v>14110</v>
      </c>
      <c r="J438" s="160">
        <f t="shared" si="58"/>
        <v>705.5</v>
      </c>
      <c r="K438" s="160">
        <f t="shared" si="59"/>
        <v>14815.5</v>
      </c>
      <c r="L438" s="13" t="s">
        <v>78</v>
      </c>
    </row>
    <row r="439" spans="2:15" ht="17.25" customHeight="1" x14ac:dyDescent="0.25">
      <c r="B439" s="9" t="s">
        <v>114</v>
      </c>
      <c r="C439" s="10" t="s">
        <v>1083</v>
      </c>
      <c r="D439" s="89">
        <v>45493</v>
      </c>
      <c r="E439" s="71" t="s">
        <v>115</v>
      </c>
      <c r="F439" s="9" t="s">
        <v>850</v>
      </c>
      <c r="G439" s="160">
        <v>624</v>
      </c>
      <c r="H439" s="160"/>
      <c r="I439" s="160">
        <f t="shared" si="57"/>
        <v>624</v>
      </c>
      <c r="J439" s="160">
        <f t="shared" si="58"/>
        <v>31.200000000000003</v>
      </c>
      <c r="K439" s="160">
        <f t="shared" si="59"/>
        <v>655.20000000000005</v>
      </c>
      <c r="L439" s="13" t="s">
        <v>9</v>
      </c>
    </row>
    <row r="440" spans="2:15" ht="17.25" customHeight="1" x14ac:dyDescent="0.25">
      <c r="B440" s="9" t="s">
        <v>10</v>
      </c>
      <c r="C440" s="10" t="s">
        <v>1084</v>
      </c>
      <c r="D440" s="89">
        <v>45492</v>
      </c>
      <c r="E440" s="71" t="s">
        <v>16</v>
      </c>
      <c r="F440" s="9" t="s">
        <v>1089</v>
      </c>
      <c r="G440" s="160">
        <v>1765</v>
      </c>
      <c r="H440" s="160"/>
      <c r="I440" s="160">
        <f t="shared" si="57"/>
        <v>1765</v>
      </c>
      <c r="J440" s="160">
        <f t="shared" si="58"/>
        <v>88.25</v>
      </c>
      <c r="K440" s="160">
        <f t="shared" si="59"/>
        <v>1853.25</v>
      </c>
      <c r="L440" s="13" t="s">
        <v>9</v>
      </c>
    </row>
    <row r="441" spans="2:15" ht="17.25" customHeight="1" x14ac:dyDescent="0.25">
      <c r="B441" s="9" t="s">
        <v>357</v>
      </c>
      <c r="C441" s="10" t="s">
        <v>1085</v>
      </c>
      <c r="D441" s="89">
        <v>45492</v>
      </c>
      <c r="E441" s="71" t="s">
        <v>447</v>
      </c>
      <c r="F441" s="9" t="s">
        <v>95</v>
      </c>
      <c r="G441" s="160">
        <v>125</v>
      </c>
      <c r="H441" s="160"/>
      <c r="I441" s="160">
        <f t="shared" si="57"/>
        <v>125</v>
      </c>
      <c r="J441" s="160">
        <f t="shared" si="58"/>
        <v>6.25</v>
      </c>
      <c r="K441" s="160">
        <f t="shared" si="59"/>
        <v>131.25</v>
      </c>
      <c r="L441" s="13" t="s">
        <v>9</v>
      </c>
    </row>
    <row r="442" spans="2:15" ht="17.25" customHeight="1" x14ac:dyDescent="0.25">
      <c r="B442" s="9" t="s">
        <v>10</v>
      </c>
      <c r="C442" s="10" t="s">
        <v>1086</v>
      </c>
      <c r="D442" s="89">
        <v>45493</v>
      </c>
      <c r="E442" s="71" t="s">
        <v>79</v>
      </c>
      <c r="F442" s="9" t="s">
        <v>1090</v>
      </c>
      <c r="G442" s="160">
        <v>3964</v>
      </c>
      <c r="H442" s="160"/>
      <c r="I442" s="160">
        <f t="shared" ref="I442" si="60">G442-H442</f>
        <v>3964</v>
      </c>
      <c r="J442" s="160">
        <f t="shared" ref="J442" si="61">G442*5%</f>
        <v>198.20000000000002</v>
      </c>
      <c r="K442" s="160">
        <f t="shared" ref="K442" si="62">G442+J442</f>
        <v>4162.2</v>
      </c>
      <c r="L442" s="13" t="s">
        <v>9</v>
      </c>
    </row>
    <row r="443" spans="2:15" ht="17.25" customHeight="1" x14ac:dyDescent="0.25">
      <c r="B443" s="9" t="s">
        <v>102</v>
      </c>
      <c r="C443" s="10" t="s">
        <v>1087</v>
      </c>
      <c r="D443" s="89">
        <v>45491</v>
      </c>
      <c r="E443" s="71" t="s">
        <v>104</v>
      </c>
      <c r="F443" s="9" t="s">
        <v>612</v>
      </c>
      <c r="G443" s="160">
        <v>222</v>
      </c>
      <c r="H443" s="160"/>
      <c r="I443" s="160">
        <f t="shared" ref="I443:I448" si="63">G443-H443</f>
        <v>222</v>
      </c>
      <c r="J443" s="160">
        <f t="shared" ref="J443:J448" si="64">G443*5%</f>
        <v>11.100000000000001</v>
      </c>
      <c r="K443" s="160">
        <f t="shared" ref="K443:K448" si="65">G443+J443</f>
        <v>233.1</v>
      </c>
      <c r="L443" s="13" t="s">
        <v>9</v>
      </c>
    </row>
    <row r="444" spans="2:15" ht="17.25" customHeight="1" x14ac:dyDescent="0.25">
      <c r="B444" s="9" t="s">
        <v>10</v>
      </c>
      <c r="C444" s="10" t="s">
        <v>1088</v>
      </c>
      <c r="D444" s="191">
        <v>45493</v>
      </c>
      <c r="E444" s="71" t="s">
        <v>79</v>
      </c>
      <c r="F444" s="193" t="s">
        <v>417</v>
      </c>
      <c r="G444" s="160">
        <v>275</v>
      </c>
      <c r="H444" s="160"/>
      <c r="I444" s="160">
        <f t="shared" si="63"/>
        <v>275</v>
      </c>
      <c r="J444" s="160">
        <f t="shared" si="64"/>
        <v>13.75</v>
      </c>
      <c r="K444" s="160">
        <f t="shared" si="65"/>
        <v>288.75</v>
      </c>
      <c r="L444" s="13" t="s">
        <v>9</v>
      </c>
    </row>
    <row r="445" spans="2:15" ht="17.25" customHeight="1" x14ac:dyDescent="0.25">
      <c r="B445" s="96" t="s">
        <v>1092</v>
      </c>
      <c r="C445" s="97" t="s">
        <v>1091</v>
      </c>
      <c r="D445" s="98">
        <v>45492</v>
      </c>
      <c r="E445" s="194" t="s">
        <v>1093</v>
      </c>
      <c r="F445" s="96" t="s">
        <v>101</v>
      </c>
      <c r="G445" s="104">
        <v>80</v>
      </c>
      <c r="H445" s="104"/>
      <c r="I445" s="104">
        <f t="shared" si="63"/>
        <v>80</v>
      </c>
      <c r="J445" s="104">
        <f t="shared" si="64"/>
        <v>4</v>
      </c>
      <c r="K445" s="104">
        <f t="shared" si="65"/>
        <v>84</v>
      </c>
      <c r="L445" s="195" t="s">
        <v>1046</v>
      </c>
    </row>
    <row r="446" spans="2:15" ht="17.25" customHeight="1" x14ac:dyDescent="0.25">
      <c r="B446" s="9" t="s">
        <v>10</v>
      </c>
      <c r="C446" s="10" t="s">
        <v>1095</v>
      </c>
      <c r="D446" s="89">
        <v>45492</v>
      </c>
      <c r="E446" s="71" t="s">
        <v>79</v>
      </c>
      <c r="F446" s="9" t="s">
        <v>1097</v>
      </c>
      <c r="G446" s="160">
        <v>1750</v>
      </c>
      <c r="H446" s="160"/>
      <c r="I446" s="160">
        <f t="shared" si="63"/>
        <v>1750</v>
      </c>
      <c r="J446" s="160">
        <f t="shared" si="64"/>
        <v>87.5</v>
      </c>
      <c r="K446" s="160">
        <f t="shared" si="65"/>
        <v>1837.5</v>
      </c>
      <c r="L446" s="13" t="s">
        <v>25</v>
      </c>
      <c r="M446" s="9"/>
      <c r="N446" s="9"/>
      <c r="O446" s="9"/>
    </row>
    <row r="447" spans="2:15" ht="17.25" customHeight="1" x14ac:dyDescent="0.25">
      <c r="B447" s="9" t="s">
        <v>10</v>
      </c>
      <c r="C447" s="10" t="s">
        <v>1096</v>
      </c>
      <c r="D447" s="89">
        <v>45492</v>
      </c>
      <c r="E447" s="71" t="s">
        <v>79</v>
      </c>
      <c r="F447" s="9" t="s">
        <v>1098</v>
      </c>
      <c r="G447" s="160">
        <v>3460.81</v>
      </c>
      <c r="H447" s="160"/>
      <c r="I447" s="160">
        <f t="shared" si="63"/>
        <v>3460.81</v>
      </c>
      <c r="J447" s="160">
        <f t="shared" si="64"/>
        <v>173.04050000000001</v>
      </c>
      <c r="K447" s="160">
        <f t="shared" si="65"/>
        <v>3633.8505</v>
      </c>
      <c r="L447" s="13" t="s">
        <v>25</v>
      </c>
      <c r="M447" s="9"/>
      <c r="N447" s="9"/>
      <c r="O447" s="9"/>
    </row>
    <row r="448" spans="2:15" ht="17.25" customHeight="1" x14ac:dyDescent="0.25">
      <c r="B448" s="9" t="s">
        <v>1101</v>
      </c>
      <c r="C448" s="10" t="s">
        <v>1099</v>
      </c>
      <c r="D448" s="89">
        <v>45495</v>
      </c>
      <c r="E448" s="71" t="s">
        <v>1102</v>
      </c>
      <c r="F448" s="9" t="s">
        <v>588</v>
      </c>
      <c r="G448" s="160">
        <v>380.95</v>
      </c>
      <c r="H448" s="160"/>
      <c r="I448" s="160">
        <f t="shared" si="63"/>
        <v>380.95</v>
      </c>
      <c r="J448" s="160">
        <f t="shared" si="64"/>
        <v>19.047499999999999</v>
      </c>
      <c r="K448" s="160">
        <f t="shared" si="65"/>
        <v>399.9975</v>
      </c>
      <c r="L448" s="13" t="s">
        <v>78</v>
      </c>
    </row>
    <row r="449" spans="2:12" ht="17.25" customHeight="1" x14ac:dyDescent="0.25">
      <c r="B449" s="9" t="s">
        <v>10</v>
      </c>
      <c r="C449" s="10" t="s">
        <v>1100</v>
      </c>
      <c r="D449" s="89">
        <v>45497</v>
      </c>
      <c r="E449" s="71" t="s">
        <v>79</v>
      </c>
      <c r="F449" s="9" t="s">
        <v>1103</v>
      </c>
      <c r="G449" s="160">
        <v>200</v>
      </c>
      <c r="H449" s="160"/>
      <c r="I449" s="160">
        <f t="shared" ref="I449:I469" si="66">G449-H449</f>
        <v>200</v>
      </c>
      <c r="J449" s="160">
        <f t="shared" ref="J449:J469" si="67">G449*5%</f>
        <v>10</v>
      </c>
      <c r="K449" s="160">
        <f t="shared" ref="K449:K469" si="68">G449+J449</f>
        <v>210</v>
      </c>
      <c r="L449" s="13" t="s">
        <v>9</v>
      </c>
    </row>
    <row r="450" spans="2:12" ht="17.25" customHeight="1" x14ac:dyDescent="0.25">
      <c r="B450" s="9" t="s">
        <v>114</v>
      </c>
      <c r="C450" s="10" t="s">
        <v>1104</v>
      </c>
      <c r="D450" s="89">
        <v>45499</v>
      </c>
      <c r="E450" s="71" t="s">
        <v>115</v>
      </c>
      <c r="F450" s="9" t="s">
        <v>134</v>
      </c>
      <c r="G450" s="160">
        <v>2700</v>
      </c>
      <c r="H450" s="160"/>
      <c r="I450" s="160">
        <f t="shared" si="66"/>
        <v>2700</v>
      </c>
      <c r="J450" s="160">
        <f t="shared" si="67"/>
        <v>135</v>
      </c>
      <c r="K450" s="160">
        <f t="shared" si="68"/>
        <v>2835</v>
      </c>
      <c r="L450" s="13" t="s">
        <v>9</v>
      </c>
    </row>
    <row r="451" spans="2:12" ht="17.25" customHeight="1" x14ac:dyDescent="0.25">
      <c r="B451" s="9" t="s">
        <v>1066</v>
      </c>
      <c r="C451" s="10" t="s">
        <v>1105</v>
      </c>
      <c r="D451" s="192">
        <v>45495</v>
      </c>
      <c r="E451" s="71" t="s">
        <v>1067</v>
      </c>
      <c r="F451" s="9" t="s">
        <v>1109</v>
      </c>
      <c r="G451" s="160">
        <v>6976</v>
      </c>
      <c r="H451" s="160"/>
      <c r="I451" s="160">
        <f t="shared" si="66"/>
        <v>6976</v>
      </c>
      <c r="J451" s="160">
        <f t="shared" si="67"/>
        <v>348.8</v>
      </c>
      <c r="K451" s="160">
        <f t="shared" si="68"/>
        <v>7324.8</v>
      </c>
      <c r="L451" s="13" t="s">
        <v>25</v>
      </c>
    </row>
    <row r="452" spans="2:12" ht="17.25" customHeight="1" x14ac:dyDescent="0.25">
      <c r="B452" s="9" t="s">
        <v>1110</v>
      </c>
      <c r="C452" s="10" t="s">
        <v>1106</v>
      </c>
      <c r="D452" s="192">
        <v>45496</v>
      </c>
      <c r="E452" s="71" t="s">
        <v>1111</v>
      </c>
      <c r="F452" s="9" t="s">
        <v>598</v>
      </c>
      <c r="G452" s="160">
        <v>1175</v>
      </c>
      <c r="H452" s="160"/>
      <c r="I452" s="160">
        <f t="shared" si="66"/>
        <v>1175</v>
      </c>
      <c r="J452" s="160">
        <f t="shared" si="67"/>
        <v>58.75</v>
      </c>
      <c r="K452" s="160">
        <f t="shared" si="68"/>
        <v>1233.75</v>
      </c>
      <c r="L452" s="13" t="s">
        <v>78</v>
      </c>
    </row>
    <row r="453" spans="2:12" ht="17.25" customHeight="1" x14ac:dyDescent="0.25">
      <c r="B453" s="9" t="s">
        <v>1112</v>
      </c>
      <c r="C453" s="10" t="s">
        <v>1107</v>
      </c>
      <c r="D453" s="192">
        <v>45497</v>
      </c>
      <c r="E453" s="203" t="s">
        <v>1113</v>
      </c>
      <c r="F453" s="9" t="s">
        <v>1114</v>
      </c>
      <c r="G453" s="160">
        <v>3750</v>
      </c>
      <c r="H453" s="160"/>
      <c r="I453" s="160">
        <f t="shared" si="66"/>
        <v>3750</v>
      </c>
      <c r="J453" s="160">
        <f t="shared" si="67"/>
        <v>187.5</v>
      </c>
      <c r="K453" s="160">
        <f t="shared" si="68"/>
        <v>3937.5</v>
      </c>
      <c r="L453" s="13" t="s">
        <v>1071</v>
      </c>
    </row>
    <row r="454" spans="2:12" ht="17.25" customHeight="1" x14ac:dyDescent="0.25">
      <c r="B454" s="9" t="s">
        <v>81</v>
      </c>
      <c r="C454" s="10" t="s">
        <v>1108</v>
      </c>
      <c r="D454" s="192">
        <v>45497</v>
      </c>
      <c r="E454" s="71" t="s">
        <v>82</v>
      </c>
      <c r="F454" s="9" t="s">
        <v>164</v>
      </c>
      <c r="G454" s="160">
        <v>2675</v>
      </c>
      <c r="H454" s="160"/>
      <c r="I454" s="160">
        <f t="shared" si="66"/>
        <v>2675</v>
      </c>
      <c r="J454" s="160">
        <f t="shared" si="67"/>
        <v>133.75</v>
      </c>
      <c r="K454" s="160">
        <f t="shared" si="68"/>
        <v>2808.75</v>
      </c>
      <c r="L454" s="13" t="s">
        <v>78</v>
      </c>
    </row>
    <row r="455" spans="2:12" ht="17.25" customHeight="1" x14ac:dyDescent="0.25">
      <c r="B455" s="204" t="s">
        <v>10</v>
      </c>
      <c r="C455" s="10" t="s">
        <v>1115</v>
      </c>
      <c r="D455" s="89">
        <v>45502</v>
      </c>
      <c r="E455" s="71" t="s">
        <v>79</v>
      </c>
      <c r="F455" s="9" t="s">
        <v>1123</v>
      </c>
      <c r="G455" s="160">
        <v>810</v>
      </c>
      <c r="H455" s="160"/>
      <c r="I455" s="160">
        <f t="shared" si="66"/>
        <v>810</v>
      </c>
      <c r="J455" s="160">
        <f t="shared" si="67"/>
        <v>40.5</v>
      </c>
      <c r="K455" s="160">
        <f t="shared" si="68"/>
        <v>850.5</v>
      </c>
      <c r="L455" s="13" t="s">
        <v>9</v>
      </c>
    </row>
    <row r="456" spans="2:12" ht="17.25" customHeight="1" x14ac:dyDescent="0.25">
      <c r="B456" s="204" t="s">
        <v>10</v>
      </c>
      <c r="C456" s="10" t="s">
        <v>1116</v>
      </c>
      <c r="D456" s="89">
        <v>45502</v>
      </c>
      <c r="E456" s="71" t="s">
        <v>79</v>
      </c>
      <c r="F456" s="9" t="s">
        <v>433</v>
      </c>
      <c r="G456" s="160">
        <v>1008</v>
      </c>
      <c r="H456" s="160"/>
      <c r="I456" s="160">
        <f t="shared" si="66"/>
        <v>1008</v>
      </c>
      <c r="J456" s="160">
        <f t="shared" si="67"/>
        <v>50.400000000000006</v>
      </c>
      <c r="K456" s="160">
        <f t="shared" si="68"/>
        <v>1058.4000000000001</v>
      </c>
      <c r="L456" s="13" t="s">
        <v>9</v>
      </c>
    </row>
    <row r="457" spans="2:12" ht="17.25" customHeight="1" x14ac:dyDescent="0.25">
      <c r="B457" s="9" t="s">
        <v>102</v>
      </c>
      <c r="C457" s="10" t="s">
        <v>1117</v>
      </c>
      <c r="D457" s="89">
        <v>45499</v>
      </c>
      <c r="E457" s="71" t="s">
        <v>104</v>
      </c>
      <c r="F457" s="9" t="s">
        <v>826</v>
      </c>
      <c r="G457" s="160">
        <v>2040</v>
      </c>
      <c r="H457" s="160"/>
      <c r="I457" s="160">
        <f t="shared" si="66"/>
        <v>2040</v>
      </c>
      <c r="J457" s="160">
        <f t="shared" si="67"/>
        <v>102</v>
      </c>
      <c r="K457" s="160">
        <f t="shared" si="68"/>
        <v>2142</v>
      </c>
      <c r="L457" s="13" t="s">
        <v>9</v>
      </c>
    </row>
    <row r="458" spans="2:12" ht="17.25" customHeight="1" x14ac:dyDescent="0.25">
      <c r="B458" s="239" t="s">
        <v>1124</v>
      </c>
      <c r="C458" s="240" t="s">
        <v>1118</v>
      </c>
      <c r="D458" s="241">
        <v>45498</v>
      </c>
      <c r="E458" s="242"/>
      <c r="F458" s="239" t="s">
        <v>1125</v>
      </c>
      <c r="G458" s="243" t="s">
        <v>1207</v>
      </c>
      <c r="H458" s="243"/>
      <c r="I458" s="243" t="s">
        <v>1207</v>
      </c>
      <c r="J458" s="243" t="s">
        <v>1207</v>
      </c>
      <c r="K458" s="243" t="s">
        <v>1207</v>
      </c>
      <c r="L458" s="244" t="s">
        <v>25</v>
      </c>
    </row>
    <row r="459" spans="2:12" ht="17.25" customHeight="1" x14ac:dyDescent="0.25">
      <c r="B459" s="9" t="s">
        <v>1006</v>
      </c>
      <c r="C459" s="10" t="s">
        <v>1119</v>
      </c>
      <c r="D459" s="89">
        <v>45499</v>
      </c>
      <c r="E459" s="70"/>
      <c r="F459" s="9" t="s">
        <v>1126</v>
      </c>
      <c r="G459" s="160">
        <v>868</v>
      </c>
      <c r="H459" s="160"/>
      <c r="I459" s="160">
        <f t="shared" si="66"/>
        <v>868</v>
      </c>
      <c r="J459" s="160">
        <f t="shared" si="67"/>
        <v>43.400000000000006</v>
      </c>
      <c r="K459" s="160">
        <f t="shared" si="68"/>
        <v>911.4</v>
      </c>
      <c r="L459" s="13" t="s">
        <v>1046</v>
      </c>
    </row>
    <row r="460" spans="2:12" ht="17.25" customHeight="1" x14ac:dyDescent="0.25">
      <c r="B460" s="9" t="s">
        <v>1006</v>
      </c>
      <c r="C460" s="10" t="s">
        <v>1120</v>
      </c>
      <c r="D460" s="89">
        <v>45499</v>
      </c>
      <c r="E460" s="70"/>
      <c r="F460" s="9" t="s">
        <v>1127</v>
      </c>
      <c r="G460" s="160">
        <v>544</v>
      </c>
      <c r="H460" s="160"/>
      <c r="I460" s="160">
        <f t="shared" si="66"/>
        <v>544</v>
      </c>
      <c r="J460" s="160">
        <f t="shared" si="67"/>
        <v>27.200000000000003</v>
      </c>
      <c r="K460" s="160">
        <f t="shared" si="68"/>
        <v>571.20000000000005</v>
      </c>
      <c r="L460" s="13" t="s">
        <v>1046</v>
      </c>
    </row>
    <row r="461" spans="2:12" ht="17.25" customHeight="1" x14ac:dyDescent="0.25">
      <c r="B461" s="9" t="s">
        <v>1128</v>
      </c>
      <c r="C461" s="10" t="s">
        <v>1121</v>
      </c>
      <c r="D461" s="89">
        <v>45499</v>
      </c>
      <c r="E461" s="70"/>
      <c r="F461" s="9" t="s">
        <v>1129</v>
      </c>
      <c r="G461" s="160">
        <v>333.33</v>
      </c>
      <c r="H461" s="160"/>
      <c r="I461" s="160">
        <f t="shared" si="66"/>
        <v>333.33</v>
      </c>
      <c r="J461" s="160">
        <f t="shared" si="67"/>
        <v>16.666499999999999</v>
      </c>
      <c r="K461" s="160">
        <f t="shared" si="68"/>
        <v>349.99649999999997</v>
      </c>
      <c r="L461" s="13" t="s">
        <v>9</v>
      </c>
    </row>
    <row r="462" spans="2:12" ht="17.25" customHeight="1" x14ac:dyDescent="0.25">
      <c r="B462" s="9" t="s">
        <v>142</v>
      </c>
      <c r="C462" s="10" t="s">
        <v>1122</v>
      </c>
      <c r="D462" s="89">
        <v>45499</v>
      </c>
      <c r="E462" s="71" t="s">
        <v>143</v>
      </c>
      <c r="F462" s="9" t="s">
        <v>1130</v>
      </c>
      <c r="G462" s="160">
        <v>5528.75</v>
      </c>
      <c r="H462" s="160"/>
      <c r="I462" s="160">
        <f t="shared" si="66"/>
        <v>5528.75</v>
      </c>
      <c r="J462" s="160">
        <f t="shared" si="67"/>
        <v>276.4375</v>
      </c>
      <c r="K462" s="160">
        <f t="shared" si="68"/>
        <v>5805.1875</v>
      </c>
      <c r="L462" s="13" t="s">
        <v>9</v>
      </c>
    </row>
    <row r="463" spans="2:12" ht="17.25" customHeight="1" x14ac:dyDescent="0.25">
      <c r="B463" s="9" t="s">
        <v>22</v>
      </c>
      <c r="C463" s="10" t="s">
        <v>1131</v>
      </c>
      <c r="D463" s="89">
        <v>45492</v>
      </c>
      <c r="E463" s="71" t="s">
        <v>23</v>
      </c>
      <c r="F463" s="9" t="s">
        <v>598</v>
      </c>
      <c r="G463" s="160">
        <v>760</v>
      </c>
      <c r="H463" s="160"/>
      <c r="I463" s="160">
        <f t="shared" si="66"/>
        <v>760</v>
      </c>
      <c r="J463" s="160">
        <f t="shared" si="67"/>
        <v>38</v>
      </c>
      <c r="K463" s="160">
        <f t="shared" si="68"/>
        <v>798</v>
      </c>
      <c r="L463" s="13" t="s">
        <v>9</v>
      </c>
    </row>
    <row r="464" spans="2:12" ht="17.25" customHeight="1" thickBot="1" x14ac:dyDescent="0.3">
      <c r="B464" s="9" t="s">
        <v>1124</v>
      </c>
      <c r="C464" s="24" t="s">
        <v>1132</v>
      </c>
      <c r="D464" s="192">
        <v>45502</v>
      </c>
      <c r="E464" s="70"/>
      <c r="F464" s="9" t="s">
        <v>1133</v>
      </c>
      <c r="G464" s="160">
        <v>1450</v>
      </c>
      <c r="H464" s="160"/>
      <c r="I464" s="160">
        <f t="shared" si="66"/>
        <v>1450</v>
      </c>
      <c r="J464" s="160">
        <f t="shared" si="67"/>
        <v>72.5</v>
      </c>
      <c r="K464" s="160">
        <f t="shared" si="68"/>
        <v>1522.5</v>
      </c>
      <c r="L464" s="13" t="s">
        <v>25</v>
      </c>
    </row>
    <row r="465" spans="2:20" ht="17.25" customHeight="1" thickBot="1" x14ac:dyDescent="0.3">
      <c r="B465" s="9" t="s">
        <v>43</v>
      </c>
      <c r="C465" s="10" t="s">
        <v>1134</v>
      </c>
      <c r="D465" s="89">
        <v>45504</v>
      </c>
      <c r="E465" s="71" t="s">
        <v>30</v>
      </c>
      <c r="F465" s="9" t="s">
        <v>1135</v>
      </c>
      <c r="G465" s="160">
        <v>275</v>
      </c>
      <c r="H465" s="160"/>
      <c r="I465" s="160">
        <f t="shared" si="66"/>
        <v>275</v>
      </c>
      <c r="J465" s="160">
        <f t="shared" si="67"/>
        <v>13.75</v>
      </c>
      <c r="K465" s="160">
        <f t="shared" si="68"/>
        <v>288.75</v>
      </c>
      <c r="L465" s="13" t="s">
        <v>9</v>
      </c>
      <c r="S465" s="263">
        <v>2024</v>
      </c>
    </row>
    <row r="466" spans="2:20" ht="17.25" customHeight="1" x14ac:dyDescent="0.25">
      <c r="B466" s="9" t="s">
        <v>299</v>
      </c>
      <c r="C466" s="215" t="s">
        <v>1136</v>
      </c>
      <c r="D466" s="216">
        <v>45506</v>
      </c>
      <c r="E466" s="217" t="s">
        <v>302</v>
      </c>
      <c r="F466" s="218" t="s">
        <v>300</v>
      </c>
      <c r="G466" s="219">
        <v>1580</v>
      </c>
      <c r="H466" s="219"/>
      <c r="I466" s="219">
        <f t="shared" si="66"/>
        <v>1580</v>
      </c>
      <c r="J466" s="219">
        <f t="shared" si="67"/>
        <v>79</v>
      </c>
      <c r="K466" s="219">
        <f t="shared" si="68"/>
        <v>1659</v>
      </c>
      <c r="L466" s="220" t="s">
        <v>78</v>
      </c>
      <c r="R466" s="259" t="s">
        <v>1245</v>
      </c>
      <c r="S466" s="264">
        <v>151513.74</v>
      </c>
      <c r="T466" s="270"/>
    </row>
    <row r="467" spans="2:20" ht="17.25" customHeight="1" x14ac:dyDescent="0.25">
      <c r="B467" s="9" t="s">
        <v>664</v>
      </c>
      <c r="C467" s="10" t="s">
        <v>1137</v>
      </c>
      <c r="D467" s="89">
        <v>45495</v>
      </c>
      <c r="E467" s="71" t="s">
        <v>237</v>
      </c>
      <c r="F467" s="9" t="s">
        <v>976</v>
      </c>
      <c r="G467" s="160">
        <v>78.75</v>
      </c>
      <c r="H467" s="160"/>
      <c r="I467" s="160">
        <f t="shared" si="66"/>
        <v>78.75</v>
      </c>
      <c r="J467" s="160">
        <f t="shared" si="67"/>
        <v>3.9375</v>
      </c>
      <c r="K467" s="160">
        <f t="shared" si="68"/>
        <v>82.6875</v>
      </c>
      <c r="L467" s="13" t="s">
        <v>9</v>
      </c>
      <c r="R467" s="260" t="s">
        <v>1244</v>
      </c>
      <c r="S467" s="265">
        <v>267652.46999999997</v>
      </c>
      <c r="T467" s="271"/>
    </row>
    <row r="468" spans="2:20" ht="17.25" customHeight="1" thickBot="1" x14ac:dyDescent="0.3">
      <c r="B468" s="9" t="s">
        <v>666</v>
      </c>
      <c r="C468" s="10" t="s">
        <v>1138</v>
      </c>
      <c r="D468" s="89">
        <v>45477</v>
      </c>
      <c r="E468" s="71" t="s">
        <v>237</v>
      </c>
      <c r="F468" s="9" t="s">
        <v>976</v>
      </c>
      <c r="G468" s="160">
        <v>31.5</v>
      </c>
      <c r="H468" s="160"/>
      <c r="I468" s="160">
        <f t="shared" si="66"/>
        <v>31.5</v>
      </c>
      <c r="J468" s="160">
        <f t="shared" si="67"/>
        <v>1.5750000000000002</v>
      </c>
      <c r="K468" s="160">
        <f t="shared" si="68"/>
        <v>33.075000000000003</v>
      </c>
      <c r="L468" s="13" t="s">
        <v>9</v>
      </c>
      <c r="R468" s="261" t="s">
        <v>1243</v>
      </c>
      <c r="S468" s="266">
        <v>124056.87</v>
      </c>
      <c r="T468" s="272">
        <f>SUM(S466:S468)</f>
        <v>543223.07999999996</v>
      </c>
    </row>
    <row r="469" spans="2:20" ht="17.25" customHeight="1" x14ac:dyDescent="0.25">
      <c r="B469" s="9" t="s">
        <v>29</v>
      </c>
      <c r="C469" s="10" t="s">
        <v>1141</v>
      </c>
      <c r="D469" s="89">
        <v>45504</v>
      </c>
      <c r="E469" s="72">
        <v>100430750800003</v>
      </c>
      <c r="F469" s="9" t="s">
        <v>1151</v>
      </c>
      <c r="G469" s="160">
        <v>915</v>
      </c>
      <c r="H469" s="160"/>
      <c r="I469" s="160">
        <f t="shared" si="66"/>
        <v>915</v>
      </c>
      <c r="J469" s="160">
        <f t="shared" si="67"/>
        <v>45.75</v>
      </c>
      <c r="K469" s="160">
        <f t="shared" si="68"/>
        <v>960.75</v>
      </c>
      <c r="L469" s="13" t="s">
        <v>9</v>
      </c>
      <c r="R469" s="259" t="s">
        <v>1242</v>
      </c>
      <c r="S469" s="264">
        <v>94044.95</v>
      </c>
      <c r="T469" s="270"/>
    </row>
    <row r="470" spans="2:20" ht="17.25" customHeight="1" x14ac:dyDescent="0.25">
      <c r="B470" s="9" t="s">
        <v>29</v>
      </c>
      <c r="C470" s="10" t="s">
        <v>1142</v>
      </c>
      <c r="D470" s="89">
        <v>45504</v>
      </c>
      <c r="E470" s="72">
        <v>100430750800003</v>
      </c>
      <c r="F470" s="9" t="s">
        <v>1152</v>
      </c>
      <c r="G470" s="160">
        <v>1725</v>
      </c>
      <c r="H470" s="160"/>
      <c r="I470" s="160">
        <f t="shared" ref="I470" si="69">G470-H470</f>
        <v>1725</v>
      </c>
      <c r="J470" s="160">
        <f t="shared" ref="J470" si="70">G470*5%</f>
        <v>86.25</v>
      </c>
      <c r="K470" s="160">
        <f t="shared" ref="K470" si="71">G470+J470</f>
        <v>1811.25</v>
      </c>
      <c r="L470" s="13" t="s">
        <v>9</v>
      </c>
      <c r="R470" s="260" t="s">
        <v>680</v>
      </c>
      <c r="S470" s="265">
        <v>132558.95000000001</v>
      </c>
      <c r="T470" s="271"/>
    </row>
    <row r="471" spans="2:20" ht="17.25" customHeight="1" thickBot="1" x14ac:dyDescent="0.3">
      <c r="B471" s="9" t="s">
        <v>10</v>
      </c>
      <c r="C471" s="10" t="s">
        <v>1143</v>
      </c>
      <c r="D471" s="89">
        <v>45504</v>
      </c>
      <c r="E471" s="72">
        <v>100542487200003</v>
      </c>
      <c r="F471" s="9" t="s">
        <v>1153</v>
      </c>
      <c r="G471" s="160">
        <v>1825</v>
      </c>
      <c r="H471" s="160"/>
      <c r="I471" s="160">
        <f t="shared" ref="I471" si="72">G471-H471</f>
        <v>1825</v>
      </c>
      <c r="J471" s="160">
        <f t="shared" ref="J471" si="73">G471*5%</f>
        <v>91.25</v>
      </c>
      <c r="K471" s="160">
        <f t="shared" ref="K471" si="74">G471+J471</f>
        <v>1916.25</v>
      </c>
      <c r="L471" s="13" t="s">
        <v>9</v>
      </c>
      <c r="R471" s="261" t="s">
        <v>1160</v>
      </c>
      <c r="S471" s="266">
        <v>278942.14</v>
      </c>
      <c r="T471" s="272">
        <f>SUM(S469:S471)</f>
        <v>505546.04000000004</v>
      </c>
    </row>
    <row r="472" spans="2:20" ht="17.25" customHeight="1" x14ac:dyDescent="0.25">
      <c r="B472" s="9" t="s">
        <v>142</v>
      </c>
      <c r="C472" s="10" t="s">
        <v>1144</v>
      </c>
      <c r="D472" s="89">
        <v>45504</v>
      </c>
      <c r="E472" s="72">
        <v>100377505100003</v>
      </c>
      <c r="F472" s="9" t="s">
        <v>95</v>
      </c>
      <c r="G472" s="160">
        <v>680</v>
      </c>
      <c r="H472" s="160"/>
      <c r="I472" s="160">
        <f t="shared" ref="I472" si="75">G472-H472</f>
        <v>680</v>
      </c>
      <c r="J472" s="160">
        <f t="shared" ref="J472" si="76">G472*5%</f>
        <v>34</v>
      </c>
      <c r="K472" s="160">
        <f t="shared" ref="K472" si="77">G472+J472</f>
        <v>714</v>
      </c>
      <c r="L472" s="13" t="s">
        <v>9</v>
      </c>
      <c r="R472" s="259" t="s">
        <v>1159</v>
      </c>
      <c r="S472" s="264">
        <f>+G473+G472+G471+G470+G469+G468+G467+G465+G464+G463+G462+G461+G460+G459+G457+G456+G455+G454+G453+G452+G451+G450+G449+G448+G447+G446+G445+G444+G443+G442+G441+G440+G439+G438+G437+G436+G435+G434+G432+G431+G430+G429+G428+G427+G426+G425+G424+G423+G422+G421+G420+G419+G418+G417+G416+G415++G414+G413+G412+G411+G410+G409+G408+G407+G433</f>
        <v>115258.59</v>
      </c>
      <c r="T472" s="270"/>
    </row>
    <row r="473" spans="2:20" ht="17.25" customHeight="1" x14ac:dyDescent="0.25">
      <c r="B473" s="9" t="s">
        <v>1154</v>
      </c>
      <c r="C473" s="10" t="s">
        <v>1145</v>
      </c>
      <c r="D473" s="89">
        <v>45504</v>
      </c>
      <c r="E473" s="72">
        <v>100593105800003</v>
      </c>
      <c r="F473" s="9" t="s">
        <v>1155</v>
      </c>
      <c r="G473" s="160">
        <v>375</v>
      </c>
      <c r="H473" s="160"/>
      <c r="I473" s="160">
        <f t="shared" ref="I473" si="78">G473-H473</f>
        <v>375</v>
      </c>
      <c r="J473" s="160">
        <f t="shared" ref="J473" si="79">G473*5%</f>
        <v>18.75</v>
      </c>
      <c r="K473" s="160">
        <f t="shared" ref="K473" si="80">G473+J473</f>
        <v>393.75</v>
      </c>
      <c r="L473" s="13" t="s">
        <v>9</v>
      </c>
      <c r="R473" s="260" t="s">
        <v>1246</v>
      </c>
      <c r="S473" s="265">
        <f>+G466+G474+G475+G476+G477+G478+G479+G480+G481+G482+G483+G484+G485+G486+G487+G488+G489+G490+G491+G492+G493+G494+G495+G496+G497+G498+G500+G501+G502+G503+G504+G505+G506+G507+G508+G509+G510+G511+G512+G513+G514+G515+G516+G517+G518+G519+G520+G521+G522+G523+G524+G525+G526+G527+G528+G529+G530+G531+G532+G533+G534+G535+G536+G537+G538+G539+G540+G541+G542+G543+G544+G545+G546+G547+G548</f>
        <v>256151.63999999998</v>
      </c>
      <c r="T473" s="271"/>
    </row>
    <row r="474" spans="2:20" ht="17.25" customHeight="1" thickBot="1" x14ac:dyDescent="0.3">
      <c r="B474" s="233" t="s">
        <v>10</v>
      </c>
      <c r="C474" s="215" t="s">
        <v>1146</v>
      </c>
      <c r="D474" s="216">
        <v>45506</v>
      </c>
      <c r="E474" s="221">
        <v>100542487200003</v>
      </c>
      <c r="F474" s="218" t="s">
        <v>1156</v>
      </c>
      <c r="G474" s="219">
        <v>1220</v>
      </c>
      <c r="H474" s="219"/>
      <c r="I474" s="219">
        <f t="shared" ref="I474" si="81">G474-H474</f>
        <v>1220</v>
      </c>
      <c r="J474" s="219">
        <f t="shared" ref="J474" si="82">G474*5%</f>
        <v>61</v>
      </c>
      <c r="K474" s="219">
        <f t="shared" ref="K474" si="83">G474+J474</f>
        <v>1281</v>
      </c>
      <c r="L474" s="220" t="s">
        <v>9</v>
      </c>
      <c r="R474" s="261" t="s">
        <v>1247</v>
      </c>
      <c r="S474" s="272">
        <f>+G550+G551+G552+G553+G554+G555+G556+G557+G558+G559+G560+G561+G562+G563+G564+G565+G566+G569+G570+G571+G572+G573+G575+G576+G577+G578+G579+G580+G581+G582+G583+G549+G567+G568+G574+G584+G585+G586+G587+G588+G589+G590+G591+G592+G593+G595+G594+G596+G597+G598+G599+G600+G601+G602+G603+G604+G605+G606+G607+G608+G609+G610+G611+G612+G613+G614+G615+G616+G617+G618+G619+G620+G621+G622+G623+G624+G625+G626+G627+G628+G629+G630+G631+G632+G633+G634</f>
        <v>308939.3</v>
      </c>
      <c r="T474" s="272">
        <f>SUM(S472:S474)</f>
        <v>680349.53</v>
      </c>
    </row>
    <row r="475" spans="2:20" ht="17.25" customHeight="1" x14ac:dyDescent="0.25">
      <c r="B475" s="233" t="s">
        <v>1060</v>
      </c>
      <c r="C475" s="215" t="s">
        <v>1147</v>
      </c>
      <c r="D475" s="216">
        <v>45506</v>
      </c>
      <c r="E475" s="221">
        <v>100361059700003</v>
      </c>
      <c r="F475" s="218" t="s">
        <v>91</v>
      </c>
      <c r="G475" s="219">
        <v>387.5</v>
      </c>
      <c r="H475" s="219"/>
      <c r="I475" s="219">
        <f t="shared" ref="I475" si="84">G475-H475</f>
        <v>387.5</v>
      </c>
      <c r="J475" s="219">
        <f t="shared" ref="J475" si="85">G475*5%</f>
        <v>19.375</v>
      </c>
      <c r="K475" s="219">
        <f t="shared" ref="K475" si="86">G475+J475</f>
        <v>406.875</v>
      </c>
      <c r="L475" s="222" t="s">
        <v>9</v>
      </c>
      <c r="R475" s="259" t="s">
        <v>1248</v>
      </c>
      <c r="S475" s="320">
        <f>G635+G636+G637+G638+G639+G640+G641+G642+G643+G644+G645+G646+G647+G648+G649+G650+G651+G652+G653+G654+G655+G656+G657+G658+G659+G660+G661+G662+G663+G664+G665+G666+G667+G668+G669+G670+G671+G672+G674+G675+G676+G677+G678+G679+G681+G680+G682+G683+G684+G685+G686+G687+G688+G689+G690+G691+G692+G693+G694+G695+G696+G697+G698+G699+G700+G701+G702+G703+G704+G705+G706+G707+G708+G709+G710+G711+G712+G713+G714+G715+G716+G717+G718+G719+G720+G721+G722+G723+G724+G725+G726</f>
        <v>170558.75</v>
      </c>
      <c r="T475" s="270"/>
    </row>
    <row r="476" spans="2:20" ht="17.25" customHeight="1" x14ac:dyDescent="0.25">
      <c r="B476" s="233" t="s">
        <v>102</v>
      </c>
      <c r="C476" s="215" t="s">
        <v>1148</v>
      </c>
      <c r="D476" s="216">
        <v>45506</v>
      </c>
      <c r="E476" s="221">
        <v>100593105800003</v>
      </c>
      <c r="F476" s="218" t="s">
        <v>828</v>
      </c>
      <c r="G476" s="219">
        <v>533.75</v>
      </c>
      <c r="H476" s="219"/>
      <c r="I476" s="219">
        <f t="shared" ref="I476" si="87">G476-H476</f>
        <v>533.75</v>
      </c>
      <c r="J476" s="219">
        <f t="shared" ref="J476" si="88">G476*5%</f>
        <v>26.6875</v>
      </c>
      <c r="K476" s="219">
        <f t="shared" ref="K476" si="89">G476+J476</f>
        <v>560.4375</v>
      </c>
      <c r="L476" s="220" t="s">
        <v>9</v>
      </c>
      <c r="R476" s="260" t="s">
        <v>1249</v>
      </c>
      <c r="S476" s="336">
        <f>G727+G728+G729+G730+G731+G732+G733+G734+G735+G736+G737+G738+G739+G740+G741+G742+G743+G744+G745+G746+G747+G748+G749+G750+G751+G752+G753+G754+G755+G756+G757+G758+G759+G760+G761+G762+G763+G764+G765+G766+G767+G768+G769+G770+G771+G772+G773+G774+G775+G776+G777+G778+G779+G780+G781+G782+G783+G784+G785+G786+G787+G788+G789+G790+G791+G792+G793+G794+G795+G796+G797</f>
        <v>210446.56999999998</v>
      </c>
      <c r="T476" s="271"/>
    </row>
    <row r="477" spans="2:20" ht="17.25" customHeight="1" thickBot="1" x14ac:dyDescent="0.3">
      <c r="B477" s="233" t="s">
        <v>29</v>
      </c>
      <c r="C477" s="215" t="s">
        <v>1149</v>
      </c>
      <c r="D477" s="216">
        <v>45506</v>
      </c>
      <c r="E477" s="221">
        <v>100430750800003</v>
      </c>
      <c r="F477" s="218" t="s">
        <v>1157</v>
      </c>
      <c r="G477" s="219">
        <v>1305</v>
      </c>
      <c r="H477" s="219"/>
      <c r="I477" s="219">
        <f t="shared" ref="I477" si="90">G477-H477</f>
        <v>1305</v>
      </c>
      <c r="J477" s="219">
        <f t="shared" ref="J477" si="91">G477*5%</f>
        <v>65.25</v>
      </c>
      <c r="K477" s="219">
        <f t="shared" ref="K477" si="92">G477+J477</f>
        <v>1370.25</v>
      </c>
      <c r="L477" s="220" t="s">
        <v>9</v>
      </c>
      <c r="R477" s="261" t="s">
        <v>1250</v>
      </c>
      <c r="S477" s="335">
        <f>G798+G799+G800+G801+G802+G803+G804+G805+G806+G807+G808+G809+G810+G811+G812+G813+G814+G815+G816+G817+G818+G819+G820+G821+G822+G823+G824+G825+G826+G827+G828+G829+G830+G831+G832+G833+G834+G835+G836+G837+G838+G839+G840+G841+G842+G843+G844</f>
        <v>110269.11</v>
      </c>
      <c r="T477" s="273">
        <f>SUM(S475:S477)</f>
        <v>491274.42999999993</v>
      </c>
    </row>
    <row r="478" spans="2:20" ht="17.25" customHeight="1" thickBot="1" x14ac:dyDescent="0.3">
      <c r="B478" s="233" t="s">
        <v>1066</v>
      </c>
      <c r="C478" s="215" t="s">
        <v>1150</v>
      </c>
      <c r="D478" s="216">
        <v>45506</v>
      </c>
      <c r="E478" s="221">
        <v>100386329500003</v>
      </c>
      <c r="F478" s="218" t="s">
        <v>1158</v>
      </c>
      <c r="G478" s="219">
        <v>2250</v>
      </c>
      <c r="H478" s="219"/>
      <c r="I478" s="219">
        <f t="shared" ref="I478:I481" si="93">G478-H478</f>
        <v>2250</v>
      </c>
      <c r="J478" s="219">
        <f t="shared" ref="J478:J481" si="94">G478*5%</f>
        <v>112.5</v>
      </c>
      <c r="K478" s="219">
        <f t="shared" ref="K478:K481" si="95">G478+J478</f>
        <v>2362.5</v>
      </c>
      <c r="L478" s="222" t="s">
        <v>9</v>
      </c>
      <c r="T478" s="262">
        <f>SUM(T468:T477)</f>
        <v>2220393.08</v>
      </c>
    </row>
    <row r="479" spans="2:20" ht="17.25" customHeight="1" x14ac:dyDescent="0.25">
      <c r="B479" s="233" t="s">
        <v>1124</v>
      </c>
      <c r="C479" s="215" t="s">
        <v>1161</v>
      </c>
      <c r="D479" s="216">
        <v>45509</v>
      </c>
      <c r="E479" s="223"/>
      <c r="F479" s="218" t="s">
        <v>1162</v>
      </c>
      <c r="G479" s="238">
        <v>150</v>
      </c>
      <c r="H479" s="219"/>
      <c r="I479" s="219">
        <f t="shared" si="93"/>
        <v>150</v>
      </c>
      <c r="J479" s="219">
        <f t="shared" si="94"/>
        <v>7.5</v>
      </c>
      <c r="K479" s="219">
        <f t="shared" si="95"/>
        <v>157.5</v>
      </c>
      <c r="L479" s="220" t="s">
        <v>1163</v>
      </c>
      <c r="T479" s="26">
        <f>+T478/12</f>
        <v>185032.75666666668</v>
      </c>
    </row>
    <row r="480" spans="2:20" ht="17.25" customHeight="1" x14ac:dyDescent="0.25">
      <c r="B480" s="233" t="s">
        <v>1166</v>
      </c>
      <c r="C480" s="215" t="s">
        <v>1164</v>
      </c>
      <c r="D480" s="216">
        <v>45511</v>
      </c>
      <c r="E480" s="221">
        <v>104143583300003</v>
      </c>
      <c r="F480" s="218" t="s">
        <v>1165</v>
      </c>
      <c r="G480" s="219">
        <v>396</v>
      </c>
      <c r="H480" s="219"/>
      <c r="I480" s="219">
        <f t="shared" si="93"/>
        <v>396</v>
      </c>
      <c r="J480" s="219">
        <f t="shared" si="94"/>
        <v>19.8</v>
      </c>
      <c r="K480" s="219">
        <f t="shared" si="95"/>
        <v>415.8</v>
      </c>
      <c r="L480" s="220" t="s">
        <v>78</v>
      </c>
      <c r="S480" s="267"/>
      <c r="T480" s="268"/>
    </row>
    <row r="481" spans="2:20" ht="17.25" customHeight="1" x14ac:dyDescent="0.25">
      <c r="B481" s="233" t="s">
        <v>1166</v>
      </c>
      <c r="C481" s="215" t="s">
        <v>1167</v>
      </c>
      <c r="D481" s="216">
        <v>45512</v>
      </c>
      <c r="E481" s="221">
        <v>104143583300003</v>
      </c>
      <c r="F481" s="218" t="s">
        <v>598</v>
      </c>
      <c r="G481" s="224">
        <v>555</v>
      </c>
      <c r="H481" s="219"/>
      <c r="I481" s="219">
        <f t="shared" si="93"/>
        <v>555</v>
      </c>
      <c r="J481" s="219">
        <f t="shared" si="94"/>
        <v>27.75</v>
      </c>
      <c r="K481" s="219">
        <f t="shared" si="95"/>
        <v>582.75</v>
      </c>
      <c r="L481" s="220" t="s">
        <v>78</v>
      </c>
      <c r="S481" s="267"/>
      <c r="T481" s="268"/>
    </row>
    <row r="482" spans="2:20" ht="17.25" customHeight="1" x14ac:dyDescent="0.25">
      <c r="B482" s="234" t="s">
        <v>1186</v>
      </c>
      <c r="C482" s="215" t="s">
        <v>1168</v>
      </c>
      <c r="D482" s="216">
        <v>45512</v>
      </c>
      <c r="E482" s="223"/>
      <c r="F482" s="218" t="s">
        <v>598</v>
      </c>
      <c r="G482" s="224">
        <v>175</v>
      </c>
      <c r="H482" s="219"/>
      <c r="I482" s="219">
        <f t="shared" ref="I482:I489" si="96">G482-H482</f>
        <v>175</v>
      </c>
      <c r="J482" s="219">
        <f t="shared" ref="J482:J489" si="97">G482*5%</f>
        <v>8.75</v>
      </c>
      <c r="K482" s="219">
        <f t="shared" ref="K482:K489" si="98">G482+J482</f>
        <v>183.75</v>
      </c>
      <c r="L482" s="220" t="s">
        <v>1046</v>
      </c>
      <c r="S482" s="267"/>
      <c r="T482" s="269"/>
    </row>
    <row r="483" spans="2:20" ht="17.25" customHeight="1" x14ac:dyDescent="0.25">
      <c r="B483" s="234" t="s">
        <v>1185</v>
      </c>
      <c r="C483" s="215" t="s">
        <v>1169</v>
      </c>
      <c r="D483" s="216">
        <v>45512</v>
      </c>
      <c r="E483" s="223"/>
      <c r="F483" s="218" t="s">
        <v>1152</v>
      </c>
      <c r="G483" s="224">
        <v>843.75</v>
      </c>
      <c r="H483" s="219"/>
      <c r="I483" s="219">
        <f t="shared" si="96"/>
        <v>843.75</v>
      </c>
      <c r="J483" s="219">
        <f t="shared" si="97"/>
        <v>42.1875</v>
      </c>
      <c r="K483" s="219">
        <f t="shared" si="98"/>
        <v>885.9375</v>
      </c>
      <c r="L483" s="220" t="s">
        <v>9</v>
      </c>
      <c r="S483" s="267"/>
      <c r="T483" s="269"/>
    </row>
    <row r="484" spans="2:20" ht="17.25" customHeight="1" x14ac:dyDescent="0.25">
      <c r="B484" s="234" t="s">
        <v>1183</v>
      </c>
      <c r="C484" s="215" t="s">
        <v>1170</v>
      </c>
      <c r="D484" s="216">
        <v>45512</v>
      </c>
      <c r="E484" s="223"/>
      <c r="F484" s="225" t="s">
        <v>1184</v>
      </c>
      <c r="G484" s="224">
        <v>585</v>
      </c>
      <c r="H484" s="219"/>
      <c r="I484" s="219">
        <f t="shared" si="96"/>
        <v>585</v>
      </c>
      <c r="J484" s="219">
        <f t="shared" si="97"/>
        <v>29.25</v>
      </c>
      <c r="K484" s="219">
        <f t="shared" si="98"/>
        <v>614.25</v>
      </c>
      <c r="L484" s="220" t="s">
        <v>9</v>
      </c>
    </row>
    <row r="485" spans="2:20" ht="17.25" customHeight="1" x14ac:dyDescent="0.25">
      <c r="B485" s="233" t="s">
        <v>29</v>
      </c>
      <c r="C485" s="215" t="s">
        <v>1171</v>
      </c>
      <c r="D485" s="216">
        <v>45513</v>
      </c>
      <c r="E485" s="221">
        <v>100430750800003</v>
      </c>
      <c r="F485" s="226" t="s">
        <v>1182</v>
      </c>
      <c r="G485" s="224">
        <v>3461.25</v>
      </c>
      <c r="H485" s="219"/>
      <c r="I485" s="219">
        <f t="shared" si="96"/>
        <v>3461.25</v>
      </c>
      <c r="J485" s="219">
        <f t="shared" si="97"/>
        <v>173.0625</v>
      </c>
      <c r="K485" s="219">
        <f t="shared" si="98"/>
        <v>3634.3125</v>
      </c>
      <c r="L485" s="220" t="s">
        <v>9</v>
      </c>
    </row>
    <row r="486" spans="2:20" ht="17.25" customHeight="1" x14ac:dyDescent="0.25">
      <c r="B486" s="235" t="s">
        <v>1124</v>
      </c>
      <c r="C486" s="215" t="s">
        <v>1172</v>
      </c>
      <c r="D486" s="216">
        <v>45517</v>
      </c>
      <c r="E486" s="223"/>
      <c r="F486" s="218" t="s">
        <v>1162</v>
      </c>
      <c r="G486" s="238">
        <v>1140</v>
      </c>
      <c r="H486" s="219"/>
      <c r="I486" s="219">
        <f t="shared" si="96"/>
        <v>1140</v>
      </c>
      <c r="J486" s="219">
        <f t="shared" si="97"/>
        <v>57</v>
      </c>
      <c r="K486" s="219">
        <f t="shared" si="98"/>
        <v>1197</v>
      </c>
      <c r="L486" s="220" t="s">
        <v>9</v>
      </c>
    </row>
    <row r="487" spans="2:20" ht="17.25" customHeight="1" x14ac:dyDescent="0.25">
      <c r="B487" s="236" t="s">
        <v>102</v>
      </c>
      <c r="C487" s="215" t="s">
        <v>1173</v>
      </c>
      <c r="D487" s="216">
        <v>45512</v>
      </c>
      <c r="E487" s="221">
        <v>100593105800003</v>
      </c>
      <c r="F487" s="218" t="s">
        <v>1181</v>
      </c>
      <c r="G487" s="224">
        <v>850</v>
      </c>
      <c r="H487" s="219"/>
      <c r="I487" s="219">
        <f t="shared" si="96"/>
        <v>850</v>
      </c>
      <c r="J487" s="219">
        <f t="shared" si="97"/>
        <v>42.5</v>
      </c>
      <c r="K487" s="219">
        <f t="shared" si="98"/>
        <v>892.5</v>
      </c>
      <c r="L487" s="220" t="s">
        <v>9</v>
      </c>
    </row>
    <row r="488" spans="2:20" ht="17.25" customHeight="1" x14ac:dyDescent="0.25">
      <c r="B488" s="237" t="s">
        <v>1179</v>
      </c>
      <c r="C488" s="215" t="s">
        <v>1174</v>
      </c>
      <c r="D488" s="227">
        <v>45516</v>
      </c>
      <c r="E488" s="221">
        <v>100325231700003</v>
      </c>
      <c r="F488" s="225" t="s">
        <v>1180</v>
      </c>
      <c r="G488" s="224">
        <v>3150</v>
      </c>
      <c r="H488" s="228"/>
      <c r="I488" s="219">
        <f t="shared" si="96"/>
        <v>3150</v>
      </c>
      <c r="J488" s="219">
        <f t="shared" si="97"/>
        <v>157.5</v>
      </c>
      <c r="K488" s="219">
        <f t="shared" si="98"/>
        <v>3307.5</v>
      </c>
      <c r="L488" s="220" t="s">
        <v>9</v>
      </c>
    </row>
    <row r="489" spans="2:20" ht="17.25" customHeight="1" x14ac:dyDescent="0.25">
      <c r="B489" s="233" t="s">
        <v>10</v>
      </c>
      <c r="C489" s="215" t="s">
        <v>1175</v>
      </c>
      <c r="D489" s="216">
        <v>45516</v>
      </c>
      <c r="E489" s="221">
        <v>100542487200003</v>
      </c>
      <c r="F489" s="218" t="s">
        <v>1178</v>
      </c>
      <c r="G489" s="224">
        <v>7213.63</v>
      </c>
      <c r="H489" s="219"/>
      <c r="I489" s="219">
        <f t="shared" si="96"/>
        <v>7213.63</v>
      </c>
      <c r="J489" s="219">
        <f t="shared" si="97"/>
        <v>360.68150000000003</v>
      </c>
      <c r="K489" s="219">
        <f t="shared" si="98"/>
        <v>7574.3114999999998</v>
      </c>
      <c r="L489" s="220" t="s">
        <v>9</v>
      </c>
    </row>
    <row r="490" spans="2:20" ht="17.25" customHeight="1" x14ac:dyDescent="0.25">
      <c r="B490" s="233" t="s">
        <v>43</v>
      </c>
      <c r="C490" s="215" t="s">
        <v>1176</v>
      </c>
      <c r="D490" s="216">
        <v>45518</v>
      </c>
      <c r="E490" s="229" t="s">
        <v>30</v>
      </c>
      <c r="F490" s="218" t="s">
        <v>1177</v>
      </c>
      <c r="G490" s="224">
        <v>100</v>
      </c>
      <c r="H490" s="219"/>
      <c r="I490" s="219">
        <v>100</v>
      </c>
      <c r="J490" s="219">
        <f t="shared" ref="J490:J553" si="99">G490*5%</f>
        <v>5</v>
      </c>
      <c r="K490" s="219">
        <f t="shared" ref="K490:K553" si="100">G490+J490</f>
        <v>105</v>
      </c>
      <c r="L490" s="230" t="s">
        <v>9</v>
      </c>
    </row>
    <row r="491" spans="2:20" ht="17.25" customHeight="1" x14ac:dyDescent="0.25">
      <c r="B491" s="231" t="s">
        <v>1124</v>
      </c>
      <c r="C491" s="215" t="s">
        <v>1187</v>
      </c>
      <c r="D491" s="216">
        <v>45518</v>
      </c>
      <c r="E491" s="223"/>
      <c r="F491" s="218" t="s">
        <v>1196</v>
      </c>
      <c r="G491" s="219">
        <v>760</v>
      </c>
      <c r="H491" s="219"/>
      <c r="I491" s="219">
        <v>760</v>
      </c>
      <c r="J491" s="219">
        <f t="shared" si="99"/>
        <v>38</v>
      </c>
      <c r="K491" s="219">
        <f t="shared" si="100"/>
        <v>798</v>
      </c>
      <c r="L491" s="220" t="s">
        <v>9</v>
      </c>
    </row>
    <row r="492" spans="2:20" ht="17.25" customHeight="1" x14ac:dyDescent="0.25">
      <c r="B492" s="231" t="s">
        <v>1197</v>
      </c>
      <c r="C492" s="215" t="s">
        <v>1188</v>
      </c>
      <c r="D492" s="216">
        <v>45518</v>
      </c>
      <c r="E492" s="223"/>
      <c r="F492" s="218" t="s">
        <v>1198</v>
      </c>
      <c r="G492" s="219">
        <v>1500</v>
      </c>
      <c r="H492" s="219"/>
      <c r="I492" s="219">
        <v>1500</v>
      </c>
      <c r="J492" s="219">
        <f t="shared" si="99"/>
        <v>75</v>
      </c>
      <c r="K492" s="219">
        <f t="shared" si="100"/>
        <v>1575</v>
      </c>
      <c r="L492" s="220" t="s">
        <v>9</v>
      </c>
    </row>
    <row r="493" spans="2:20" ht="17.25" customHeight="1" x14ac:dyDescent="0.25">
      <c r="B493" s="231" t="s">
        <v>1199</v>
      </c>
      <c r="C493" s="215" t="s">
        <v>1189</v>
      </c>
      <c r="D493" s="216">
        <v>45518</v>
      </c>
      <c r="E493" s="221">
        <v>100347786400003</v>
      </c>
      <c r="F493" s="218" t="s">
        <v>1200</v>
      </c>
      <c r="G493" s="219">
        <v>9200</v>
      </c>
      <c r="H493" s="219"/>
      <c r="I493" s="219">
        <v>9200</v>
      </c>
      <c r="J493" s="219">
        <f t="shared" si="99"/>
        <v>460</v>
      </c>
      <c r="K493" s="219">
        <f t="shared" si="100"/>
        <v>9660</v>
      </c>
      <c r="L493" s="220" t="s">
        <v>9</v>
      </c>
    </row>
    <row r="494" spans="2:20" ht="17.25" customHeight="1" x14ac:dyDescent="0.25">
      <c r="B494" s="231" t="s">
        <v>10</v>
      </c>
      <c r="C494" s="215" t="s">
        <v>1190</v>
      </c>
      <c r="D494" s="216">
        <v>45519</v>
      </c>
      <c r="E494" s="221">
        <v>100542487200003</v>
      </c>
      <c r="F494" s="218" t="s">
        <v>1201</v>
      </c>
      <c r="G494" s="219">
        <v>390</v>
      </c>
      <c r="H494" s="219"/>
      <c r="I494" s="219">
        <v>390</v>
      </c>
      <c r="J494" s="219">
        <f t="shared" si="99"/>
        <v>19.5</v>
      </c>
      <c r="K494" s="219">
        <f t="shared" si="100"/>
        <v>409.5</v>
      </c>
      <c r="L494" s="220" t="s">
        <v>9</v>
      </c>
    </row>
    <row r="495" spans="2:20" ht="17.25" customHeight="1" x14ac:dyDescent="0.25">
      <c r="B495" s="231" t="s">
        <v>10</v>
      </c>
      <c r="C495" s="215" t="s">
        <v>1191</v>
      </c>
      <c r="D495" s="216">
        <v>45519</v>
      </c>
      <c r="E495" s="221">
        <v>100542487200003</v>
      </c>
      <c r="F495" s="218" t="s">
        <v>1202</v>
      </c>
      <c r="G495" s="219">
        <v>525</v>
      </c>
      <c r="H495" s="219"/>
      <c r="I495" s="219">
        <v>525</v>
      </c>
      <c r="J495" s="219">
        <f t="shared" si="99"/>
        <v>26.25</v>
      </c>
      <c r="K495" s="219">
        <f t="shared" si="100"/>
        <v>551.25</v>
      </c>
      <c r="L495" s="220" t="s">
        <v>9</v>
      </c>
    </row>
    <row r="496" spans="2:20" ht="17.25" customHeight="1" x14ac:dyDescent="0.25">
      <c r="B496" t="s">
        <v>29</v>
      </c>
      <c r="C496" s="215" t="s">
        <v>1192</v>
      </c>
      <c r="D496" s="216">
        <v>45520</v>
      </c>
      <c r="E496" s="221">
        <v>100430750800003</v>
      </c>
      <c r="F496" s="218" t="s">
        <v>1203</v>
      </c>
      <c r="G496" s="219">
        <v>15410</v>
      </c>
      <c r="H496" s="219"/>
      <c r="I496" s="219">
        <v>15410</v>
      </c>
      <c r="J496" s="219">
        <f t="shared" si="99"/>
        <v>770.5</v>
      </c>
      <c r="K496" s="219">
        <f t="shared" si="100"/>
        <v>16180.5</v>
      </c>
      <c r="L496" s="220" t="s">
        <v>9</v>
      </c>
    </row>
    <row r="497" spans="2:12" ht="17.25" customHeight="1" x14ac:dyDescent="0.25">
      <c r="B497" s="231" t="s">
        <v>535</v>
      </c>
      <c r="C497" s="215" t="s">
        <v>1193</v>
      </c>
      <c r="D497" s="216">
        <v>45519</v>
      </c>
      <c r="E497" s="221">
        <v>100290916400003</v>
      </c>
      <c r="F497" s="218" t="s">
        <v>1204</v>
      </c>
      <c r="G497" s="219">
        <v>195</v>
      </c>
      <c r="H497" s="219"/>
      <c r="I497" s="219">
        <v>195</v>
      </c>
      <c r="J497" s="219">
        <f t="shared" si="99"/>
        <v>9.75</v>
      </c>
      <c r="K497" s="219">
        <f t="shared" si="100"/>
        <v>204.75</v>
      </c>
      <c r="L497" s="220" t="s">
        <v>9</v>
      </c>
    </row>
    <row r="498" spans="2:12" ht="17.25" customHeight="1" x14ac:dyDescent="0.25">
      <c r="B498" s="231" t="s">
        <v>163</v>
      </c>
      <c r="C498" s="215" t="s">
        <v>1194</v>
      </c>
      <c r="D498" s="216">
        <v>45519</v>
      </c>
      <c r="E498" s="223"/>
      <c r="F498" s="218" t="s">
        <v>1205</v>
      </c>
      <c r="G498" s="219">
        <v>785</v>
      </c>
      <c r="H498" s="219"/>
      <c r="I498" s="219">
        <v>785</v>
      </c>
      <c r="J498" s="219">
        <f t="shared" si="99"/>
        <v>39.25</v>
      </c>
      <c r="K498" s="219">
        <f t="shared" si="100"/>
        <v>824.25</v>
      </c>
      <c r="L498" s="220" t="s">
        <v>9</v>
      </c>
    </row>
    <row r="499" spans="2:12" ht="17.25" customHeight="1" x14ac:dyDescent="0.25">
      <c r="B499" s="232" t="s">
        <v>904</v>
      </c>
      <c r="C499" s="337" t="s">
        <v>1195</v>
      </c>
      <c r="D499" s="338"/>
      <c r="E499" s="342"/>
      <c r="F499" s="310" t="s">
        <v>1206</v>
      </c>
      <c r="G499" s="340"/>
      <c r="H499" s="340"/>
      <c r="I499" s="340"/>
      <c r="J499" s="340"/>
      <c r="K499" s="340"/>
      <c r="L499" s="341"/>
    </row>
    <row r="500" spans="2:12" ht="17.25" customHeight="1" x14ac:dyDescent="0.25">
      <c r="B500" s="231" t="s">
        <v>644</v>
      </c>
      <c r="C500" s="246" t="s">
        <v>1208</v>
      </c>
      <c r="D500" s="247">
        <v>45521</v>
      </c>
      <c r="E500" s="248">
        <v>100556794400003</v>
      </c>
      <c r="F500" s="249" t="s">
        <v>1209</v>
      </c>
      <c r="G500" s="250">
        <v>2495</v>
      </c>
      <c r="H500" s="250"/>
      <c r="I500" s="250">
        <v>2495</v>
      </c>
      <c r="J500" s="250">
        <f t="shared" si="99"/>
        <v>124.75</v>
      </c>
      <c r="K500" s="250">
        <f t="shared" si="100"/>
        <v>2619.75</v>
      </c>
      <c r="L500" s="251" t="s">
        <v>9</v>
      </c>
    </row>
    <row r="501" spans="2:12" ht="17.25" customHeight="1" x14ac:dyDescent="0.25">
      <c r="B501" s="252" t="s">
        <v>1210</v>
      </c>
      <c r="C501" s="215" t="s">
        <v>1211</v>
      </c>
      <c r="D501" s="216">
        <v>45524</v>
      </c>
      <c r="E501" s="221">
        <v>100330331800003</v>
      </c>
      <c r="F501" s="218" t="s">
        <v>487</v>
      </c>
      <c r="G501" s="219">
        <v>1755</v>
      </c>
      <c r="H501" s="219"/>
      <c r="I501" s="219">
        <v>1755</v>
      </c>
      <c r="J501" s="219">
        <f t="shared" si="99"/>
        <v>87.75</v>
      </c>
      <c r="K501" s="219">
        <f t="shared" si="100"/>
        <v>1842.75</v>
      </c>
      <c r="L501" s="220" t="s">
        <v>9</v>
      </c>
    </row>
    <row r="502" spans="2:12" ht="17.25" customHeight="1" x14ac:dyDescent="0.25">
      <c r="B502" s="9" t="s">
        <v>266</v>
      </c>
      <c r="C502" s="215" t="s">
        <v>1212</v>
      </c>
      <c r="D502" s="216">
        <v>45524</v>
      </c>
      <c r="E502" s="70">
        <v>100277137400003</v>
      </c>
      <c r="F502" s="218" t="s">
        <v>1213</v>
      </c>
      <c r="G502" s="219">
        <v>2795.5</v>
      </c>
      <c r="H502" s="219"/>
      <c r="I502" s="219">
        <v>2795.5</v>
      </c>
      <c r="J502" s="219">
        <f t="shared" si="99"/>
        <v>139.77500000000001</v>
      </c>
      <c r="K502" s="219">
        <f t="shared" si="100"/>
        <v>2935.2750000000001</v>
      </c>
      <c r="L502" s="220" t="s">
        <v>9</v>
      </c>
    </row>
    <row r="503" spans="2:12" ht="17.25" customHeight="1" x14ac:dyDescent="0.25">
      <c r="B503" s="9" t="s">
        <v>1199</v>
      </c>
      <c r="C503" s="215" t="s">
        <v>1214</v>
      </c>
      <c r="D503" s="216">
        <v>45525</v>
      </c>
      <c r="E503" s="221">
        <v>100347786400003</v>
      </c>
      <c r="F503" s="218" t="s">
        <v>1215</v>
      </c>
      <c r="G503" s="219">
        <v>4600</v>
      </c>
      <c r="H503" s="219"/>
      <c r="I503" s="219">
        <v>4600</v>
      </c>
      <c r="J503" s="219">
        <f t="shared" si="99"/>
        <v>230</v>
      </c>
      <c r="K503" s="219">
        <f t="shared" si="100"/>
        <v>4830</v>
      </c>
      <c r="L503" s="220" t="s">
        <v>9</v>
      </c>
    </row>
    <row r="504" spans="2:12" ht="17.25" customHeight="1" x14ac:dyDescent="0.25">
      <c r="B504" s="252" t="s">
        <v>644</v>
      </c>
      <c r="C504" s="215" t="s">
        <v>1216</v>
      </c>
      <c r="D504" s="216">
        <v>45528</v>
      </c>
      <c r="E504" s="221">
        <v>100556794400003</v>
      </c>
      <c r="F504" s="218" t="s">
        <v>1229</v>
      </c>
      <c r="G504" s="219">
        <v>8000</v>
      </c>
      <c r="H504" s="219"/>
      <c r="I504" s="219">
        <v>8000</v>
      </c>
      <c r="J504" s="219">
        <f t="shared" si="99"/>
        <v>400</v>
      </c>
      <c r="K504" s="219">
        <f t="shared" si="100"/>
        <v>8400</v>
      </c>
      <c r="L504" s="220" t="s">
        <v>9</v>
      </c>
    </row>
    <row r="505" spans="2:12" ht="17.25" customHeight="1" x14ac:dyDescent="0.25">
      <c r="B505" s="253" t="s">
        <v>1230</v>
      </c>
      <c r="C505" s="215" t="s">
        <v>1217</v>
      </c>
      <c r="D505" s="216">
        <v>45528</v>
      </c>
      <c r="E505" s="221">
        <v>100003649900003</v>
      </c>
      <c r="F505" s="218" t="s">
        <v>1231</v>
      </c>
      <c r="G505" s="219">
        <v>225</v>
      </c>
      <c r="H505" s="219"/>
      <c r="I505" s="219">
        <v>225</v>
      </c>
      <c r="J505" s="219">
        <f t="shared" si="99"/>
        <v>11.25</v>
      </c>
      <c r="K505" s="219">
        <f t="shared" si="100"/>
        <v>236.25</v>
      </c>
      <c r="L505" s="220" t="s">
        <v>9</v>
      </c>
    </row>
    <row r="506" spans="2:12" ht="17.25" customHeight="1" x14ac:dyDescent="0.25">
      <c r="B506" s="252" t="s">
        <v>644</v>
      </c>
      <c r="C506" s="215" t="s">
        <v>1218</v>
      </c>
      <c r="D506" s="216">
        <v>45528</v>
      </c>
      <c r="E506" s="221">
        <v>100556794400003</v>
      </c>
      <c r="F506" s="218" t="s">
        <v>1232</v>
      </c>
      <c r="G506" s="219">
        <v>1162.8599999999999</v>
      </c>
      <c r="H506" s="219"/>
      <c r="I506" s="219">
        <v>1162.8599999999999</v>
      </c>
      <c r="J506" s="219">
        <f t="shared" si="99"/>
        <v>58.143000000000001</v>
      </c>
      <c r="K506" s="219">
        <f t="shared" si="100"/>
        <v>1221.0029999999999</v>
      </c>
      <c r="L506" s="220" t="s">
        <v>9</v>
      </c>
    </row>
    <row r="507" spans="2:12" ht="17.25" customHeight="1" x14ac:dyDescent="0.25">
      <c r="B507" s="252" t="s">
        <v>10</v>
      </c>
      <c r="C507" s="215" t="s">
        <v>1219</v>
      </c>
      <c r="D507" s="216">
        <v>45528</v>
      </c>
      <c r="E507" s="221">
        <v>100542487200003</v>
      </c>
      <c r="F507" s="256" t="s">
        <v>1233</v>
      </c>
      <c r="G507" s="219">
        <v>3915</v>
      </c>
      <c r="H507" s="219"/>
      <c r="I507" s="219">
        <v>3915</v>
      </c>
      <c r="J507" s="219">
        <f t="shared" si="99"/>
        <v>195.75</v>
      </c>
      <c r="K507" s="219">
        <f t="shared" si="100"/>
        <v>4110.75</v>
      </c>
      <c r="L507" s="220" t="s">
        <v>9</v>
      </c>
    </row>
    <row r="508" spans="2:12" ht="17.25" customHeight="1" x14ac:dyDescent="0.25">
      <c r="B508" s="252" t="s">
        <v>75</v>
      </c>
      <c r="C508" s="215" t="s">
        <v>1220</v>
      </c>
      <c r="D508" s="216">
        <v>45528</v>
      </c>
      <c r="E508" s="221">
        <v>100540543400003</v>
      </c>
      <c r="F508" s="257" t="s">
        <v>598</v>
      </c>
      <c r="G508" s="219">
        <v>730</v>
      </c>
      <c r="H508" s="219"/>
      <c r="I508" s="219">
        <v>730</v>
      </c>
      <c r="J508" s="219">
        <f t="shared" si="99"/>
        <v>36.5</v>
      </c>
      <c r="K508" s="219">
        <f t="shared" si="100"/>
        <v>766.5</v>
      </c>
      <c r="L508" s="220" t="s">
        <v>9</v>
      </c>
    </row>
    <row r="509" spans="2:12" ht="17.25" customHeight="1" x14ac:dyDescent="0.25">
      <c r="B509" s="252" t="s">
        <v>10</v>
      </c>
      <c r="C509" s="215" t="s">
        <v>1221</v>
      </c>
      <c r="D509" s="216">
        <v>45528</v>
      </c>
      <c r="E509" s="221">
        <v>100542487200003</v>
      </c>
      <c r="F509" s="218" t="s">
        <v>1234</v>
      </c>
      <c r="G509" s="219">
        <v>5790</v>
      </c>
      <c r="H509" s="219"/>
      <c r="I509" s="219">
        <v>5990</v>
      </c>
      <c r="J509" s="219">
        <f t="shared" si="99"/>
        <v>289.5</v>
      </c>
      <c r="K509" s="219">
        <f t="shared" si="100"/>
        <v>6079.5</v>
      </c>
      <c r="L509" s="220" t="s">
        <v>9</v>
      </c>
    </row>
    <row r="510" spans="2:12" ht="17.25" customHeight="1" x14ac:dyDescent="0.25">
      <c r="B510" s="252" t="s">
        <v>10</v>
      </c>
      <c r="C510" s="215" t="s">
        <v>1222</v>
      </c>
      <c r="D510" s="216">
        <v>45528</v>
      </c>
      <c r="E510" s="221">
        <v>100542487200003</v>
      </c>
      <c r="F510" s="218" t="s">
        <v>1235</v>
      </c>
      <c r="G510" s="219">
        <v>5575</v>
      </c>
      <c r="H510" s="219"/>
      <c r="I510" s="219">
        <v>5775</v>
      </c>
      <c r="J510" s="219">
        <f t="shared" si="99"/>
        <v>278.75</v>
      </c>
      <c r="K510" s="219">
        <f t="shared" si="100"/>
        <v>5853.75</v>
      </c>
      <c r="L510" s="220" t="s">
        <v>9</v>
      </c>
    </row>
    <row r="511" spans="2:12" ht="17.25" customHeight="1" x14ac:dyDescent="0.25">
      <c r="B511" s="252" t="s">
        <v>10</v>
      </c>
      <c r="C511" s="215" t="s">
        <v>1223</v>
      </c>
      <c r="D511" s="216">
        <v>45528</v>
      </c>
      <c r="E511" s="221">
        <v>100542487200003</v>
      </c>
      <c r="F511" s="218" t="s">
        <v>1236</v>
      </c>
      <c r="G511" s="219">
        <v>1250</v>
      </c>
      <c r="H511" s="219"/>
      <c r="I511" s="219">
        <v>1250</v>
      </c>
      <c r="J511" s="219">
        <f t="shared" si="99"/>
        <v>62.5</v>
      </c>
      <c r="K511" s="219">
        <f t="shared" si="100"/>
        <v>1312.5</v>
      </c>
      <c r="L511" s="220" t="s">
        <v>9</v>
      </c>
    </row>
    <row r="512" spans="2:12" ht="17.25" customHeight="1" x14ac:dyDescent="0.25">
      <c r="B512" s="252" t="s">
        <v>10</v>
      </c>
      <c r="C512" s="215" t="s">
        <v>1224</v>
      </c>
      <c r="D512" s="216">
        <v>45528</v>
      </c>
      <c r="E512" s="221">
        <v>100542487200003</v>
      </c>
      <c r="F512" s="218" t="s">
        <v>1237</v>
      </c>
      <c r="G512" s="219">
        <v>905</v>
      </c>
      <c r="H512" s="219"/>
      <c r="I512" s="219">
        <v>905</v>
      </c>
      <c r="J512" s="219">
        <f t="shared" si="99"/>
        <v>45.25</v>
      </c>
      <c r="K512" s="219">
        <f t="shared" si="100"/>
        <v>950.25</v>
      </c>
      <c r="L512" s="220" t="s">
        <v>9</v>
      </c>
    </row>
    <row r="513" spans="2:16" ht="17.25" customHeight="1" x14ac:dyDescent="0.25">
      <c r="B513" s="252" t="s">
        <v>297</v>
      </c>
      <c r="C513" s="215" t="s">
        <v>1225</v>
      </c>
      <c r="D513" s="216">
        <v>45528</v>
      </c>
      <c r="E513" s="221">
        <v>104061690400003</v>
      </c>
      <c r="F513" s="256" t="s">
        <v>1238</v>
      </c>
      <c r="G513" s="219">
        <v>1080</v>
      </c>
      <c r="H513" s="219"/>
      <c r="I513" s="219">
        <v>1080</v>
      </c>
      <c r="J513" s="219">
        <f t="shared" si="99"/>
        <v>54</v>
      </c>
      <c r="K513" s="219">
        <f t="shared" si="100"/>
        <v>1134</v>
      </c>
      <c r="L513" s="220" t="s">
        <v>9</v>
      </c>
    </row>
    <row r="514" spans="2:16" ht="17.25" customHeight="1" x14ac:dyDescent="0.25">
      <c r="B514" s="254" t="s">
        <v>29</v>
      </c>
      <c r="C514" s="215" t="s">
        <v>1226</v>
      </c>
      <c r="D514" s="216">
        <v>45528</v>
      </c>
      <c r="E514" s="221">
        <v>100430750800003</v>
      </c>
      <c r="F514" s="258" t="s">
        <v>1239</v>
      </c>
      <c r="G514" s="219">
        <v>2975</v>
      </c>
      <c r="H514" s="219"/>
      <c r="I514" s="219">
        <v>2975</v>
      </c>
      <c r="J514" s="219">
        <f t="shared" si="99"/>
        <v>148.75</v>
      </c>
      <c r="K514" s="219">
        <f t="shared" si="100"/>
        <v>3123.75</v>
      </c>
      <c r="L514" s="220" t="s">
        <v>9</v>
      </c>
    </row>
    <row r="515" spans="2:16" ht="17.25" customHeight="1" x14ac:dyDescent="0.25">
      <c r="B515" s="255" t="s">
        <v>102</v>
      </c>
      <c r="C515" s="215" t="s">
        <v>1227</v>
      </c>
      <c r="D515" s="216">
        <v>45528</v>
      </c>
      <c r="E515" s="221">
        <v>100593105800003</v>
      </c>
      <c r="F515" s="218" t="s">
        <v>1240</v>
      </c>
      <c r="G515" s="219">
        <v>14792.5</v>
      </c>
      <c r="H515" s="219"/>
      <c r="I515" s="219">
        <v>14792.5</v>
      </c>
      <c r="J515" s="219">
        <f t="shared" si="99"/>
        <v>739.625</v>
      </c>
      <c r="K515" s="219">
        <f t="shared" si="100"/>
        <v>15532.125</v>
      </c>
      <c r="L515" s="220" t="s">
        <v>9</v>
      </c>
    </row>
    <row r="516" spans="2:16" ht="17.25" customHeight="1" x14ac:dyDescent="0.25">
      <c r="B516" s="255" t="s">
        <v>102</v>
      </c>
      <c r="C516" s="215" t="s">
        <v>1228</v>
      </c>
      <c r="D516" s="216">
        <v>45528</v>
      </c>
      <c r="E516" s="221">
        <v>100593105800003</v>
      </c>
      <c r="F516" s="218" t="s">
        <v>1241</v>
      </c>
      <c r="G516" s="219">
        <v>4375</v>
      </c>
      <c r="H516" s="219"/>
      <c r="I516" s="219">
        <v>4375</v>
      </c>
      <c r="J516" s="219">
        <f t="shared" si="99"/>
        <v>218.75</v>
      </c>
      <c r="K516" s="219">
        <f t="shared" si="100"/>
        <v>4593.75</v>
      </c>
      <c r="L516" s="220" t="s">
        <v>9</v>
      </c>
    </row>
    <row r="517" spans="2:16" ht="17.25" customHeight="1" x14ac:dyDescent="0.25">
      <c r="B517" s="252" t="s">
        <v>409</v>
      </c>
      <c r="C517" s="215" t="s">
        <v>1251</v>
      </c>
      <c r="D517" s="216">
        <v>45527</v>
      </c>
      <c r="E517" s="221">
        <v>100566746200003</v>
      </c>
      <c r="F517" s="218" t="s">
        <v>1252</v>
      </c>
      <c r="G517" s="219">
        <v>650</v>
      </c>
      <c r="H517" s="219"/>
      <c r="I517" s="219">
        <v>650</v>
      </c>
      <c r="J517" s="219">
        <f t="shared" si="99"/>
        <v>32.5</v>
      </c>
      <c r="K517" s="219">
        <f t="shared" si="100"/>
        <v>682.5</v>
      </c>
      <c r="L517" s="220" t="s">
        <v>9</v>
      </c>
    </row>
    <row r="518" spans="2:16" ht="17.25" customHeight="1" x14ac:dyDescent="0.25">
      <c r="B518" s="252" t="s">
        <v>1124</v>
      </c>
      <c r="C518" s="215" t="s">
        <v>1253</v>
      </c>
      <c r="D518" s="216">
        <v>45530</v>
      </c>
      <c r="E518" s="223"/>
      <c r="F518" s="218" t="s">
        <v>1254</v>
      </c>
      <c r="G518" s="219">
        <v>995</v>
      </c>
      <c r="H518" s="219"/>
      <c r="I518" s="219">
        <v>995</v>
      </c>
      <c r="J518" s="219">
        <f t="shared" si="99"/>
        <v>49.75</v>
      </c>
      <c r="K518" s="219">
        <f t="shared" si="100"/>
        <v>1044.75</v>
      </c>
      <c r="L518" s="220" t="s">
        <v>9</v>
      </c>
    </row>
    <row r="519" spans="2:16" ht="17.25" customHeight="1" x14ac:dyDescent="0.25">
      <c r="B519" s="9" t="s">
        <v>1255</v>
      </c>
      <c r="C519" s="215" t="s">
        <v>1256</v>
      </c>
      <c r="D519" s="216">
        <v>45505</v>
      </c>
      <c r="E519" s="223"/>
      <c r="F519" s="218" t="s">
        <v>1257</v>
      </c>
      <c r="G519" s="219">
        <v>20050</v>
      </c>
      <c r="H519" s="219"/>
      <c r="I519" s="219">
        <v>20050</v>
      </c>
      <c r="J519" s="219">
        <f t="shared" si="99"/>
        <v>1002.5</v>
      </c>
      <c r="K519" s="219">
        <f t="shared" si="100"/>
        <v>21052.5</v>
      </c>
      <c r="L519" s="220" t="s">
        <v>9</v>
      </c>
    </row>
    <row r="520" spans="2:16" ht="17.25" customHeight="1" x14ac:dyDescent="0.25">
      <c r="B520" s="252" t="s">
        <v>1258</v>
      </c>
      <c r="C520" s="215" t="s">
        <v>1259</v>
      </c>
      <c r="D520" s="216">
        <v>45531</v>
      </c>
      <c r="E520" s="221">
        <v>100448477800003</v>
      </c>
      <c r="F520" s="218" t="s">
        <v>1270</v>
      </c>
      <c r="G520" s="219">
        <v>1885</v>
      </c>
      <c r="H520" s="219"/>
      <c r="I520" s="219">
        <v>1885</v>
      </c>
      <c r="J520" s="219">
        <f t="shared" si="99"/>
        <v>94.25</v>
      </c>
      <c r="K520" s="219">
        <f t="shared" si="100"/>
        <v>1979.25</v>
      </c>
      <c r="L520" s="220" t="s">
        <v>9</v>
      </c>
    </row>
    <row r="521" spans="2:16" ht="17.25" customHeight="1" x14ac:dyDescent="0.25">
      <c r="B521" s="252" t="s">
        <v>1260</v>
      </c>
      <c r="C521" s="215" t="s">
        <v>1261</v>
      </c>
      <c r="D521" s="216">
        <v>45531</v>
      </c>
      <c r="E521" s="221">
        <v>100277961700003</v>
      </c>
      <c r="F521" s="218" t="s">
        <v>598</v>
      </c>
      <c r="G521" s="219">
        <v>675</v>
      </c>
      <c r="H521" s="219"/>
      <c r="I521" s="219">
        <v>675</v>
      </c>
      <c r="J521" s="219">
        <f t="shared" si="99"/>
        <v>33.75</v>
      </c>
      <c r="K521" s="219">
        <f t="shared" si="100"/>
        <v>708.75</v>
      </c>
      <c r="L521" s="220" t="s">
        <v>9</v>
      </c>
    </row>
    <row r="522" spans="2:16" ht="17.25" customHeight="1" x14ac:dyDescent="0.25">
      <c r="B522" s="252" t="s">
        <v>10</v>
      </c>
      <c r="C522" s="215" t="s">
        <v>1262</v>
      </c>
      <c r="D522" s="216">
        <v>45531</v>
      </c>
      <c r="E522" s="221">
        <v>100542487200003</v>
      </c>
      <c r="F522" s="218" t="s">
        <v>1263</v>
      </c>
      <c r="G522" s="219">
        <v>2934.5</v>
      </c>
      <c r="H522" s="219"/>
      <c r="I522" s="219">
        <v>2934.5</v>
      </c>
      <c r="J522" s="219">
        <f t="shared" si="99"/>
        <v>146.72499999999999</v>
      </c>
      <c r="K522" s="219">
        <f t="shared" si="100"/>
        <v>3081.2249999999999</v>
      </c>
      <c r="L522" s="220" t="s">
        <v>9</v>
      </c>
    </row>
    <row r="523" spans="2:16" ht="17.25" customHeight="1" x14ac:dyDescent="0.25">
      <c r="B523" s="255" t="s">
        <v>142</v>
      </c>
      <c r="C523" s="215" t="s">
        <v>1264</v>
      </c>
      <c r="D523" s="216">
        <v>45531</v>
      </c>
      <c r="E523" s="221">
        <v>100377505100003</v>
      </c>
      <c r="F523" s="218" t="s">
        <v>1265</v>
      </c>
      <c r="G523" s="219">
        <v>7565</v>
      </c>
      <c r="H523" s="219"/>
      <c r="I523" s="219">
        <v>7565</v>
      </c>
      <c r="J523" s="219">
        <f t="shared" si="99"/>
        <v>378.25</v>
      </c>
      <c r="K523" s="219">
        <f t="shared" si="100"/>
        <v>7943.25</v>
      </c>
      <c r="L523" s="220" t="s">
        <v>25</v>
      </c>
    </row>
    <row r="524" spans="2:16" ht="17.25" customHeight="1" x14ac:dyDescent="0.25">
      <c r="B524" s="255" t="s">
        <v>142</v>
      </c>
      <c r="C524" s="215" t="s">
        <v>1267</v>
      </c>
      <c r="D524" s="216">
        <v>45531</v>
      </c>
      <c r="E524" s="221">
        <v>100377505100003</v>
      </c>
      <c r="F524" s="218" t="s">
        <v>1266</v>
      </c>
      <c r="G524" s="219">
        <v>19875</v>
      </c>
      <c r="H524" s="219"/>
      <c r="I524" s="219">
        <v>19875</v>
      </c>
      <c r="J524" s="219">
        <f t="shared" si="99"/>
        <v>993.75</v>
      </c>
      <c r="K524" s="219">
        <f t="shared" si="100"/>
        <v>20868.75</v>
      </c>
      <c r="L524" s="220" t="s">
        <v>25</v>
      </c>
    </row>
    <row r="525" spans="2:16" ht="17.25" customHeight="1" x14ac:dyDescent="0.25">
      <c r="B525" s="252" t="s">
        <v>122</v>
      </c>
      <c r="C525" s="215" t="s">
        <v>1268</v>
      </c>
      <c r="D525" s="216">
        <v>45531</v>
      </c>
      <c r="E525" s="223"/>
      <c r="F525" s="218" t="s">
        <v>1269</v>
      </c>
      <c r="G525" s="219">
        <v>11740</v>
      </c>
      <c r="H525" s="219"/>
      <c r="I525" s="219">
        <v>11740</v>
      </c>
      <c r="J525" s="219">
        <f t="shared" si="99"/>
        <v>587</v>
      </c>
      <c r="K525" s="219">
        <f t="shared" si="100"/>
        <v>12327</v>
      </c>
      <c r="L525" s="220" t="s">
        <v>9</v>
      </c>
      <c r="P525" s="274"/>
    </row>
    <row r="526" spans="2:16" ht="17.25" customHeight="1" x14ac:dyDescent="0.25">
      <c r="B526" s="252" t="s">
        <v>524</v>
      </c>
      <c r="C526" s="215" t="s">
        <v>1271</v>
      </c>
      <c r="D526" s="216">
        <v>45533</v>
      </c>
      <c r="E526" s="221">
        <v>104146932900003</v>
      </c>
      <c r="F526" s="218" t="s">
        <v>1272</v>
      </c>
      <c r="G526" s="219">
        <v>5910</v>
      </c>
      <c r="H526" s="219"/>
      <c r="I526" s="219">
        <v>5910</v>
      </c>
      <c r="J526" s="219">
        <f t="shared" si="99"/>
        <v>295.5</v>
      </c>
      <c r="K526" s="219">
        <f t="shared" si="100"/>
        <v>6205.5</v>
      </c>
      <c r="L526" s="220" t="s">
        <v>25</v>
      </c>
    </row>
    <row r="527" spans="2:16" ht="17.25" customHeight="1" x14ac:dyDescent="0.25">
      <c r="B527" s="193" t="s">
        <v>48</v>
      </c>
      <c r="C527" s="215" t="s">
        <v>1273</v>
      </c>
      <c r="D527" s="216">
        <v>45531</v>
      </c>
      <c r="E527" s="221">
        <v>100522321700003</v>
      </c>
      <c r="F527" s="218" t="s">
        <v>1274</v>
      </c>
      <c r="G527" s="219">
        <v>675</v>
      </c>
      <c r="H527" s="219"/>
      <c r="I527" s="219">
        <v>675</v>
      </c>
      <c r="J527" s="219">
        <f t="shared" si="99"/>
        <v>33.75</v>
      </c>
      <c r="K527" s="219">
        <f t="shared" si="100"/>
        <v>708.75</v>
      </c>
      <c r="L527" s="220" t="s">
        <v>9</v>
      </c>
    </row>
    <row r="528" spans="2:16" ht="17.25" customHeight="1" x14ac:dyDescent="0.25">
      <c r="B528" s="275" t="s">
        <v>43</v>
      </c>
      <c r="C528" s="215" t="s">
        <v>1275</v>
      </c>
      <c r="D528" s="216">
        <v>45533</v>
      </c>
      <c r="E528" s="221">
        <v>104166051300003</v>
      </c>
      <c r="F528" s="218" t="s">
        <v>1296</v>
      </c>
      <c r="G528" s="219">
        <v>1082.5</v>
      </c>
      <c r="H528" s="219"/>
      <c r="I528" s="219">
        <v>1082.5</v>
      </c>
      <c r="J528" s="219">
        <f t="shared" si="99"/>
        <v>54.125</v>
      </c>
      <c r="K528" s="219">
        <f t="shared" si="100"/>
        <v>1136.625</v>
      </c>
      <c r="L528" s="220" t="s">
        <v>9</v>
      </c>
    </row>
    <row r="529" spans="2:12" ht="17.25" customHeight="1" x14ac:dyDescent="0.25">
      <c r="B529" s="252" t="s">
        <v>357</v>
      </c>
      <c r="C529" s="215" t="s">
        <v>1276</v>
      </c>
      <c r="D529" s="216">
        <v>45533</v>
      </c>
      <c r="E529" s="221">
        <v>100484375900003</v>
      </c>
      <c r="F529" s="218" t="s">
        <v>491</v>
      </c>
      <c r="G529" s="219">
        <v>210</v>
      </c>
      <c r="H529" s="219"/>
      <c r="I529" s="219">
        <v>210</v>
      </c>
      <c r="J529" s="219">
        <f t="shared" si="99"/>
        <v>10.5</v>
      </c>
      <c r="K529" s="219">
        <f t="shared" si="100"/>
        <v>220.5</v>
      </c>
      <c r="L529" s="220" t="s">
        <v>9</v>
      </c>
    </row>
    <row r="530" spans="2:12" ht="17.25" customHeight="1" x14ac:dyDescent="0.25">
      <c r="B530" s="275" t="s">
        <v>43</v>
      </c>
      <c r="C530" s="215" t="s">
        <v>1277</v>
      </c>
      <c r="D530" s="216">
        <v>45533</v>
      </c>
      <c r="E530" s="221">
        <v>104166051300003</v>
      </c>
      <c r="F530" s="218" t="s">
        <v>491</v>
      </c>
      <c r="G530" s="219">
        <v>595</v>
      </c>
      <c r="H530" s="219"/>
      <c r="I530" s="219">
        <v>595</v>
      </c>
      <c r="J530" s="219">
        <f t="shared" si="99"/>
        <v>29.75</v>
      </c>
      <c r="K530" s="219">
        <f t="shared" si="100"/>
        <v>624.75</v>
      </c>
      <c r="L530" s="220" t="s">
        <v>9</v>
      </c>
    </row>
    <row r="531" spans="2:12" ht="17.25" customHeight="1" x14ac:dyDescent="0.25">
      <c r="B531" s="278" t="s">
        <v>102</v>
      </c>
      <c r="C531" s="337" t="s">
        <v>1278</v>
      </c>
      <c r="D531" s="338">
        <v>45535</v>
      </c>
      <c r="E531" s="339">
        <v>100593105800003</v>
      </c>
      <c r="F531" s="310" t="s">
        <v>1310</v>
      </c>
      <c r="G531" s="340"/>
      <c r="H531" s="340"/>
      <c r="I531" s="340"/>
      <c r="J531" s="340">
        <f t="shared" si="99"/>
        <v>0</v>
      </c>
      <c r="K531" s="340">
        <f t="shared" si="100"/>
        <v>0</v>
      </c>
      <c r="L531" s="341" t="s">
        <v>9</v>
      </c>
    </row>
    <row r="532" spans="2:12" ht="17.25" customHeight="1" x14ac:dyDescent="0.25">
      <c r="B532" s="252" t="s">
        <v>1297</v>
      </c>
      <c r="C532" s="215" t="s">
        <v>1279</v>
      </c>
      <c r="D532" s="216">
        <v>45535</v>
      </c>
      <c r="E532" s="221">
        <v>100290916400003</v>
      </c>
      <c r="F532" s="218" t="s">
        <v>1298</v>
      </c>
      <c r="G532" s="219">
        <v>5250</v>
      </c>
      <c r="H532" s="219"/>
      <c r="I532" s="219">
        <v>5250</v>
      </c>
      <c r="J532" s="219">
        <f t="shared" si="99"/>
        <v>262.5</v>
      </c>
      <c r="K532" s="219">
        <f t="shared" si="100"/>
        <v>5512.5</v>
      </c>
      <c r="L532" s="220" t="s">
        <v>9</v>
      </c>
    </row>
    <row r="533" spans="2:12" ht="17.25" customHeight="1" x14ac:dyDescent="0.25">
      <c r="B533" s="255" t="s">
        <v>664</v>
      </c>
      <c r="C533" s="215" t="s">
        <v>1280</v>
      </c>
      <c r="D533" s="216">
        <v>45535</v>
      </c>
      <c r="E533" s="221">
        <v>100048520900003</v>
      </c>
      <c r="F533" s="218" t="s">
        <v>1299</v>
      </c>
      <c r="G533" s="219">
        <v>210</v>
      </c>
      <c r="H533" s="219"/>
      <c r="I533" s="219">
        <v>210</v>
      </c>
      <c r="J533" s="219">
        <f t="shared" si="99"/>
        <v>10.5</v>
      </c>
      <c r="K533" s="219">
        <f t="shared" si="100"/>
        <v>220.5</v>
      </c>
      <c r="L533" s="220" t="s">
        <v>9</v>
      </c>
    </row>
    <row r="534" spans="2:12" ht="17.25" customHeight="1" x14ac:dyDescent="0.25">
      <c r="B534" s="255" t="s">
        <v>666</v>
      </c>
      <c r="C534" s="215" t="s">
        <v>1281</v>
      </c>
      <c r="D534" s="216">
        <v>45535</v>
      </c>
      <c r="E534" s="221">
        <v>100048520900003</v>
      </c>
      <c r="F534" s="218" t="s">
        <v>1299</v>
      </c>
      <c r="G534" s="219">
        <v>105</v>
      </c>
      <c r="H534" s="219"/>
      <c r="I534" s="219">
        <v>105</v>
      </c>
      <c r="J534" s="219">
        <f t="shared" si="99"/>
        <v>5.25</v>
      </c>
      <c r="K534" s="219">
        <f t="shared" si="100"/>
        <v>110.25</v>
      </c>
      <c r="L534" s="220" t="s">
        <v>9</v>
      </c>
    </row>
    <row r="535" spans="2:12" ht="17.25" customHeight="1" x14ac:dyDescent="0.25">
      <c r="B535" s="252" t="s">
        <v>10</v>
      </c>
      <c r="C535" s="215" t="s">
        <v>1282</v>
      </c>
      <c r="D535" s="216">
        <v>45535</v>
      </c>
      <c r="E535" s="221">
        <v>100542487200003</v>
      </c>
      <c r="F535" s="218" t="s">
        <v>1300</v>
      </c>
      <c r="G535" s="219">
        <v>3540</v>
      </c>
      <c r="H535" s="219"/>
      <c r="I535" s="219">
        <v>3540</v>
      </c>
      <c r="J535" s="219">
        <f t="shared" si="99"/>
        <v>177</v>
      </c>
      <c r="K535" s="219">
        <f t="shared" si="100"/>
        <v>3717</v>
      </c>
      <c r="L535" s="220" t="s">
        <v>9</v>
      </c>
    </row>
    <row r="536" spans="2:12" ht="17.25" customHeight="1" x14ac:dyDescent="0.25">
      <c r="B536" s="252" t="s">
        <v>10</v>
      </c>
      <c r="C536" s="215" t="s">
        <v>1283</v>
      </c>
      <c r="D536" s="216">
        <v>45535</v>
      </c>
      <c r="E536" s="221">
        <v>100542487200003</v>
      </c>
      <c r="F536" s="218" t="s">
        <v>1301</v>
      </c>
      <c r="G536" s="219">
        <v>4777.5</v>
      </c>
      <c r="H536" s="219"/>
      <c r="I536" s="219">
        <v>4777.5</v>
      </c>
      <c r="J536" s="219">
        <f t="shared" si="99"/>
        <v>238.875</v>
      </c>
      <c r="K536" s="219">
        <f t="shared" si="100"/>
        <v>5016.375</v>
      </c>
      <c r="L536" s="220" t="s">
        <v>9</v>
      </c>
    </row>
    <row r="537" spans="2:12" ht="17.25" customHeight="1" x14ac:dyDescent="0.25">
      <c r="B537" s="252" t="s">
        <v>10</v>
      </c>
      <c r="C537" s="215" t="s">
        <v>1284</v>
      </c>
      <c r="D537" s="216">
        <v>45535</v>
      </c>
      <c r="E537" s="221">
        <v>100542487200003</v>
      </c>
      <c r="F537" s="218" t="s">
        <v>1302</v>
      </c>
      <c r="G537" s="219">
        <v>1075</v>
      </c>
      <c r="H537" s="219"/>
      <c r="I537" s="219">
        <v>1075</v>
      </c>
      <c r="J537" s="219">
        <f t="shared" si="99"/>
        <v>53.75</v>
      </c>
      <c r="K537" s="219">
        <f t="shared" si="100"/>
        <v>1128.75</v>
      </c>
      <c r="L537" s="220" t="s">
        <v>9</v>
      </c>
    </row>
    <row r="538" spans="2:12" ht="17.25" customHeight="1" x14ac:dyDescent="0.25">
      <c r="B538" s="252" t="s">
        <v>10</v>
      </c>
      <c r="C538" s="215" t="s">
        <v>1285</v>
      </c>
      <c r="D538" s="216">
        <v>45535</v>
      </c>
      <c r="E538" s="221">
        <v>100542487200003</v>
      </c>
      <c r="F538" s="218" t="s">
        <v>1303</v>
      </c>
      <c r="G538" s="219">
        <v>1925</v>
      </c>
      <c r="H538" s="219"/>
      <c r="I538" s="219">
        <v>1925</v>
      </c>
      <c r="J538" s="219">
        <f t="shared" si="99"/>
        <v>96.25</v>
      </c>
      <c r="K538" s="219">
        <f t="shared" si="100"/>
        <v>2021.25</v>
      </c>
      <c r="L538" s="220" t="s">
        <v>9</v>
      </c>
    </row>
    <row r="539" spans="2:12" ht="17.25" customHeight="1" x14ac:dyDescent="0.25">
      <c r="B539" s="276" t="s">
        <v>1154</v>
      </c>
      <c r="C539" s="215" t="s">
        <v>1286</v>
      </c>
      <c r="D539" s="216">
        <v>45535</v>
      </c>
      <c r="E539" s="221">
        <v>100593105800003</v>
      </c>
      <c r="F539" s="277" t="s">
        <v>1304</v>
      </c>
      <c r="G539" s="219">
        <v>375</v>
      </c>
      <c r="H539" s="219"/>
      <c r="I539" s="219">
        <v>375</v>
      </c>
      <c r="J539" s="219">
        <f t="shared" si="99"/>
        <v>18.75</v>
      </c>
      <c r="K539" s="219">
        <f t="shared" si="100"/>
        <v>393.75</v>
      </c>
      <c r="L539" s="220" t="s">
        <v>9</v>
      </c>
    </row>
    <row r="540" spans="2:12" ht="17.25" customHeight="1" x14ac:dyDescent="0.25">
      <c r="B540" s="252" t="s">
        <v>114</v>
      </c>
      <c r="C540" s="215" t="s">
        <v>1287</v>
      </c>
      <c r="D540" s="216">
        <v>45535</v>
      </c>
      <c r="E540" s="221">
        <v>100235699400003</v>
      </c>
      <c r="F540" s="218" t="s">
        <v>850</v>
      </c>
      <c r="G540" s="219">
        <v>144</v>
      </c>
      <c r="H540" s="219"/>
      <c r="I540" s="219">
        <v>144</v>
      </c>
      <c r="J540" s="219">
        <f t="shared" si="99"/>
        <v>7.2</v>
      </c>
      <c r="K540" s="219">
        <f t="shared" si="100"/>
        <v>151.19999999999999</v>
      </c>
      <c r="L540" s="220" t="s">
        <v>9</v>
      </c>
    </row>
    <row r="541" spans="2:12" ht="17.25" customHeight="1" x14ac:dyDescent="0.25">
      <c r="B541" s="252" t="s">
        <v>114</v>
      </c>
      <c r="C541" s="215" t="s">
        <v>1288</v>
      </c>
      <c r="D541" s="216">
        <v>45535</v>
      </c>
      <c r="E541" s="221">
        <v>100235699400003</v>
      </c>
      <c r="F541" s="218" t="s">
        <v>491</v>
      </c>
      <c r="G541" s="219">
        <v>405</v>
      </c>
      <c r="H541" s="219"/>
      <c r="I541" s="219">
        <v>405</v>
      </c>
      <c r="J541" s="219">
        <f t="shared" si="99"/>
        <v>20.25</v>
      </c>
      <c r="K541" s="219">
        <f t="shared" si="100"/>
        <v>425.25</v>
      </c>
      <c r="L541" s="220" t="s">
        <v>9</v>
      </c>
    </row>
    <row r="542" spans="2:12" ht="17.25" customHeight="1" x14ac:dyDescent="0.25">
      <c r="B542" s="252" t="s">
        <v>10</v>
      </c>
      <c r="C542" s="215" t="s">
        <v>1289</v>
      </c>
      <c r="D542" s="216">
        <v>45535</v>
      </c>
      <c r="E542" s="221">
        <v>100542487200003</v>
      </c>
      <c r="F542" s="218" t="s">
        <v>1305</v>
      </c>
      <c r="G542" s="219">
        <v>978.9</v>
      </c>
      <c r="H542" s="219"/>
      <c r="I542" s="219">
        <v>978.9</v>
      </c>
      <c r="J542" s="219">
        <f t="shared" si="99"/>
        <v>48.945</v>
      </c>
      <c r="K542" s="219">
        <f t="shared" si="100"/>
        <v>1027.845</v>
      </c>
      <c r="L542" s="220" t="s">
        <v>9</v>
      </c>
    </row>
    <row r="543" spans="2:12" ht="17.25" customHeight="1" x14ac:dyDescent="0.25">
      <c r="B543" s="252" t="s">
        <v>122</v>
      </c>
      <c r="C543" s="215" t="s">
        <v>1290</v>
      </c>
      <c r="D543" s="216">
        <v>45535</v>
      </c>
      <c r="E543" s="223"/>
      <c r="F543" s="218" t="s">
        <v>1306</v>
      </c>
      <c r="G543" s="219">
        <v>4175</v>
      </c>
      <c r="H543" s="219"/>
      <c r="I543" s="219">
        <v>4175</v>
      </c>
      <c r="J543" s="219">
        <f t="shared" si="99"/>
        <v>208.75</v>
      </c>
      <c r="K543" s="219">
        <f t="shared" si="100"/>
        <v>4383.75</v>
      </c>
      <c r="L543" s="220" t="s">
        <v>9</v>
      </c>
    </row>
    <row r="544" spans="2:12" ht="17.25" customHeight="1" x14ac:dyDescent="0.25">
      <c r="B544" s="252" t="s">
        <v>957</v>
      </c>
      <c r="C544" s="215" t="s">
        <v>1291</v>
      </c>
      <c r="D544" s="216">
        <v>45535</v>
      </c>
      <c r="E544" s="221">
        <v>100596449700003</v>
      </c>
      <c r="F544" s="218" t="s">
        <v>462</v>
      </c>
      <c r="G544" s="219">
        <v>687.5</v>
      </c>
      <c r="H544" s="219"/>
      <c r="I544" s="219">
        <v>687.5</v>
      </c>
      <c r="J544" s="219">
        <f t="shared" si="99"/>
        <v>34.375</v>
      </c>
      <c r="K544" s="219">
        <f t="shared" si="100"/>
        <v>721.875</v>
      </c>
      <c r="L544" s="220" t="s">
        <v>1046</v>
      </c>
    </row>
    <row r="545" spans="2:12" ht="17.25" customHeight="1" x14ac:dyDescent="0.25">
      <c r="B545" s="252" t="s">
        <v>1060</v>
      </c>
      <c r="C545" s="215" t="s">
        <v>1292</v>
      </c>
      <c r="D545" s="216">
        <v>45535</v>
      </c>
      <c r="E545" s="221">
        <v>100361059700003</v>
      </c>
      <c r="F545" s="225" t="s">
        <v>73</v>
      </c>
      <c r="G545" s="219">
        <v>1980</v>
      </c>
      <c r="H545" s="219"/>
      <c r="I545" s="219">
        <v>1980</v>
      </c>
      <c r="J545" s="219">
        <f t="shared" si="99"/>
        <v>99</v>
      </c>
      <c r="K545" s="219">
        <f t="shared" si="100"/>
        <v>2079</v>
      </c>
      <c r="L545" s="220" t="s">
        <v>9</v>
      </c>
    </row>
    <row r="546" spans="2:12" ht="17.25" customHeight="1" x14ac:dyDescent="0.25">
      <c r="B546" s="275" t="s">
        <v>299</v>
      </c>
      <c r="C546" s="215" t="s">
        <v>1293</v>
      </c>
      <c r="D546" s="216">
        <v>45535</v>
      </c>
      <c r="E546" s="221">
        <v>100433257100003</v>
      </c>
      <c r="F546" s="256" t="s">
        <v>1307</v>
      </c>
      <c r="G546" s="219">
        <v>475</v>
      </c>
      <c r="H546" s="219"/>
      <c r="I546" s="219">
        <v>475</v>
      </c>
      <c r="J546" s="219">
        <f t="shared" si="99"/>
        <v>23.75</v>
      </c>
      <c r="K546" s="219">
        <f t="shared" si="100"/>
        <v>498.75</v>
      </c>
      <c r="L546" s="220" t="s">
        <v>9</v>
      </c>
    </row>
    <row r="547" spans="2:12" ht="17.25" customHeight="1" x14ac:dyDescent="0.25">
      <c r="B547" s="254" t="s">
        <v>29</v>
      </c>
      <c r="C547" s="215" t="s">
        <v>1294</v>
      </c>
      <c r="D547" s="216">
        <v>45535</v>
      </c>
      <c r="E547" s="221">
        <v>100430750800003</v>
      </c>
      <c r="F547" s="256" t="s">
        <v>1308</v>
      </c>
      <c r="G547" s="219">
        <v>325</v>
      </c>
      <c r="H547" s="219"/>
      <c r="I547" s="219">
        <v>325</v>
      </c>
      <c r="J547" s="219">
        <f t="shared" si="99"/>
        <v>16.25</v>
      </c>
      <c r="K547" s="219">
        <f t="shared" si="100"/>
        <v>341.25</v>
      </c>
      <c r="L547" s="220" t="s">
        <v>9</v>
      </c>
    </row>
    <row r="548" spans="2:12" ht="17.25" customHeight="1" x14ac:dyDescent="0.25">
      <c r="B548" s="280" t="s">
        <v>10</v>
      </c>
      <c r="C548" s="215" t="s">
        <v>1295</v>
      </c>
      <c r="D548" s="216">
        <v>45535</v>
      </c>
      <c r="E548" s="221">
        <v>100542487200003</v>
      </c>
      <c r="F548" s="218" t="s">
        <v>1309</v>
      </c>
      <c r="G548" s="219">
        <v>37800</v>
      </c>
      <c r="H548" s="219"/>
      <c r="I548" s="219">
        <v>37800</v>
      </c>
      <c r="J548" s="219">
        <f t="shared" si="99"/>
        <v>1890</v>
      </c>
      <c r="K548" s="219">
        <f t="shared" si="100"/>
        <v>39690</v>
      </c>
      <c r="L548" s="220" t="s">
        <v>9</v>
      </c>
    </row>
    <row r="549" spans="2:12" ht="17.25" customHeight="1" x14ac:dyDescent="0.25">
      <c r="B549" s="281" t="s">
        <v>1311</v>
      </c>
      <c r="C549" s="279" t="s">
        <v>1312</v>
      </c>
      <c r="D549" s="283">
        <v>45539</v>
      </c>
      <c r="E549" s="285">
        <v>104464271600003</v>
      </c>
      <c r="F549" s="289" t="s">
        <v>1323</v>
      </c>
      <c r="G549" s="286">
        <v>825</v>
      </c>
      <c r="H549" s="250"/>
      <c r="I549" s="290">
        <v>825</v>
      </c>
      <c r="J549" s="219">
        <f t="shared" si="99"/>
        <v>41.25</v>
      </c>
      <c r="K549" s="219">
        <f t="shared" si="100"/>
        <v>866.25</v>
      </c>
      <c r="L549" s="220" t="s">
        <v>9</v>
      </c>
    </row>
    <row r="550" spans="2:12" ht="17.25" customHeight="1" x14ac:dyDescent="0.25">
      <c r="B550" s="281" t="s">
        <v>142</v>
      </c>
      <c r="C550" s="279" t="s">
        <v>1313</v>
      </c>
      <c r="D550" s="282">
        <v>45538</v>
      </c>
      <c r="E550" s="285">
        <v>100377505100003</v>
      </c>
      <c r="F550" s="218" t="s">
        <v>1324</v>
      </c>
      <c r="G550" s="288">
        <v>4425</v>
      </c>
      <c r="H550" s="219"/>
      <c r="I550" s="288">
        <v>4425</v>
      </c>
      <c r="J550" s="219">
        <f t="shared" si="99"/>
        <v>221.25</v>
      </c>
      <c r="K550" s="219">
        <f t="shared" si="100"/>
        <v>4646.25</v>
      </c>
      <c r="L550" s="220" t="s">
        <v>9</v>
      </c>
    </row>
    <row r="551" spans="2:12" ht="17.25" customHeight="1" x14ac:dyDescent="0.25">
      <c r="B551" s="281" t="s">
        <v>1124</v>
      </c>
      <c r="C551" s="279" t="s">
        <v>1314</v>
      </c>
      <c r="D551" s="282">
        <v>45539</v>
      </c>
      <c r="E551" s="284"/>
      <c r="F551" s="291" t="s">
        <v>1325</v>
      </c>
      <c r="G551" s="288">
        <v>2992</v>
      </c>
      <c r="H551" s="219"/>
      <c r="I551" s="286">
        <v>2992</v>
      </c>
      <c r="J551" s="219">
        <f t="shared" si="99"/>
        <v>149.6</v>
      </c>
      <c r="K551" s="219">
        <f t="shared" si="100"/>
        <v>3141.6</v>
      </c>
      <c r="L551" s="220" t="s">
        <v>9</v>
      </c>
    </row>
    <row r="552" spans="2:12" ht="17.25" customHeight="1" x14ac:dyDescent="0.25">
      <c r="B552" s="281" t="s">
        <v>1326</v>
      </c>
      <c r="C552" s="279" t="s">
        <v>1315</v>
      </c>
      <c r="D552" s="282">
        <v>45540</v>
      </c>
      <c r="E552" s="284"/>
      <c r="F552" s="287" t="s">
        <v>1327</v>
      </c>
      <c r="G552" s="290">
        <v>5975</v>
      </c>
      <c r="H552" s="250"/>
      <c r="I552" s="290">
        <v>5975</v>
      </c>
      <c r="J552" s="219">
        <f t="shared" si="99"/>
        <v>298.75</v>
      </c>
      <c r="K552" s="219">
        <f t="shared" si="100"/>
        <v>6273.75</v>
      </c>
      <c r="L552" s="220" t="s">
        <v>9</v>
      </c>
    </row>
    <row r="553" spans="2:12" ht="17.25" customHeight="1" x14ac:dyDescent="0.25">
      <c r="B553" s="281" t="s">
        <v>1311</v>
      </c>
      <c r="C553" s="279" t="s">
        <v>1316</v>
      </c>
      <c r="D553" s="282">
        <v>45540</v>
      </c>
      <c r="E553" s="292">
        <v>104464271600003</v>
      </c>
      <c r="F553" s="218" t="s">
        <v>1328</v>
      </c>
      <c r="G553" s="288">
        <v>685</v>
      </c>
      <c r="H553" s="219"/>
      <c r="I553" s="288">
        <v>685</v>
      </c>
      <c r="J553" s="219">
        <f t="shared" si="99"/>
        <v>34.25</v>
      </c>
      <c r="K553" s="219">
        <f t="shared" si="100"/>
        <v>719.25</v>
      </c>
      <c r="L553" s="220" t="s">
        <v>9</v>
      </c>
    </row>
    <row r="554" spans="2:12" ht="17.25" customHeight="1" x14ac:dyDescent="0.25">
      <c r="B554" s="293" t="s">
        <v>1329</v>
      </c>
      <c r="C554" s="279" t="s">
        <v>1317</v>
      </c>
      <c r="D554" s="282">
        <v>45541</v>
      </c>
      <c r="E554" s="284"/>
      <c r="F554" s="294" t="s">
        <v>1334</v>
      </c>
      <c r="G554" s="219">
        <v>225</v>
      </c>
      <c r="H554" s="219"/>
      <c r="I554" s="219">
        <v>225</v>
      </c>
      <c r="J554" s="219">
        <f t="shared" ref="J554:J617" si="101">G554*5%</f>
        <v>11.25</v>
      </c>
      <c r="K554" s="219">
        <f t="shared" ref="K554:K617" si="102">G554+J554</f>
        <v>236.25</v>
      </c>
      <c r="L554" s="220" t="s">
        <v>9</v>
      </c>
    </row>
    <row r="555" spans="2:12" ht="17.25" customHeight="1" x14ac:dyDescent="0.25">
      <c r="B555" s="281" t="s">
        <v>1335</v>
      </c>
      <c r="C555" s="279" t="s">
        <v>1318</v>
      </c>
      <c r="D555" s="282">
        <v>45541</v>
      </c>
      <c r="E555" s="285">
        <v>104116463100003</v>
      </c>
      <c r="F555" s="218" t="s">
        <v>1336</v>
      </c>
      <c r="G555" s="219">
        <v>2982.5</v>
      </c>
      <c r="H555" s="219"/>
      <c r="I555" s="219">
        <v>2982.5</v>
      </c>
      <c r="J555" s="219">
        <f t="shared" si="101"/>
        <v>149.125</v>
      </c>
      <c r="K555" s="219">
        <f t="shared" si="102"/>
        <v>3131.625</v>
      </c>
      <c r="L555" s="220" t="s">
        <v>9</v>
      </c>
    </row>
    <row r="556" spans="2:12" ht="17.25" customHeight="1" x14ac:dyDescent="0.25">
      <c r="B556" s="252" t="s">
        <v>163</v>
      </c>
      <c r="C556" s="279" t="s">
        <v>1319</v>
      </c>
      <c r="D556" s="282">
        <v>45540</v>
      </c>
      <c r="E556" s="284"/>
      <c r="F556" s="294" t="s">
        <v>148</v>
      </c>
      <c r="G556" s="219">
        <v>225</v>
      </c>
      <c r="H556" s="219"/>
      <c r="I556" s="219">
        <v>225</v>
      </c>
      <c r="J556" s="219">
        <f t="shared" si="101"/>
        <v>11.25</v>
      </c>
      <c r="K556" s="219">
        <f t="shared" si="102"/>
        <v>236.25</v>
      </c>
      <c r="L556" s="220" t="s">
        <v>9</v>
      </c>
    </row>
    <row r="557" spans="2:12" ht="17.25" customHeight="1" x14ac:dyDescent="0.25">
      <c r="B557" s="193" t="s">
        <v>398</v>
      </c>
      <c r="C557" s="279" t="s">
        <v>1320</v>
      </c>
      <c r="D557" s="282">
        <v>45537</v>
      </c>
      <c r="E557" s="285">
        <v>100282822400003</v>
      </c>
      <c r="F557" s="218" t="s">
        <v>1337</v>
      </c>
      <c r="G557" s="219">
        <v>505</v>
      </c>
      <c r="H557" s="219"/>
      <c r="I557" s="219">
        <v>505</v>
      </c>
      <c r="J557" s="219">
        <f t="shared" si="101"/>
        <v>25.25</v>
      </c>
      <c r="K557" s="219">
        <f t="shared" si="102"/>
        <v>530.25</v>
      </c>
      <c r="L557" s="220" t="s">
        <v>9</v>
      </c>
    </row>
    <row r="558" spans="2:12" ht="17.25" customHeight="1" x14ac:dyDescent="0.25">
      <c r="B558" s="281" t="s">
        <v>595</v>
      </c>
      <c r="C558" s="279" t="s">
        <v>1321</v>
      </c>
      <c r="D558" s="282">
        <v>45540</v>
      </c>
      <c r="E558" s="284"/>
      <c r="F558" s="218" t="s">
        <v>1338</v>
      </c>
      <c r="G558" s="219">
        <v>3410</v>
      </c>
      <c r="H558" s="219"/>
      <c r="I558" s="219">
        <v>3410</v>
      </c>
      <c r="J558" s="219">
        <f t="shared" si="101"/>
        <v>170.5</v>
      </c>
      <c r="K558" s="219">
        <f t="shared" si="102"/>
        <v>3580.5</v>
      </c>
      <c r="L558" s="220" t="s">
        <v>9</v>
      </c>
    </row>
    <row r="559" spans="2:12" ht="17.25" customHeight="1" x14ac:dyDescent="0.25">
      <c r="B559" s="281" t="s">
        <v>10</v>
      </c>
      <c r="C559" s="279" t="s">
        <v>1322</v>
      </c>
      <c r="D559" s="282">
        <v>45544</v>
      </c>
      <c r="E559" s="285">
        <v>100542487200003</v>
      </c>
      <c r="F559" s="218" t="s">
        <v>417</v>
      </c>
      <c r="G559" s="219">
        <v>550</v>
      </c>
      <c r="H559" s="219"/>
      <c r="I559" s="219">
        <v>550</v>
      </c>
      <c r="J559" s="219">
        <f t="shared" si="101"/>
        <v>27.5</v>
      </c>
      <c r="K559" s="219">
        <f t="shared" si="102"/>
        <v>577.5</v>
      </c>
      <c r="L559" s="220" t="s">
        <v>9</v>
      </c>
    </row>
    <row r="560" spans="2:12" ht="17.25" customHeight="1" x14ac:dyDescent="0.25">
      <c r="B560" s="281" t="s">
        <v>10</v>
      </c>
      <c r="C560" s="279" t="s">
        <v>1330</v>
      </c>
      <c r="D560" s="282">
        <v>45544</v>
      </c>
      <c r="E560" s="285">
        <v>100542487200003</v>
      </c>
      <c r="F560" s="218" t="s">
        <v>1339</v>
      </c>
      <c r="G560" s="219">
        <v>2550</v>
      </c>
      <c r="H560" s="219"/>
      <c r="I560" s="219">
        <v>2550</v>
      </c>
      <c r="J560" s="219">
        <f t="shared" si="101"/>
        <v>127.5</v>
      </c>
      <c r="K560" s="219">
        <f t="shared" si="102"/>
        <v>2677.5</v>
      </c>
      <c r="L560" s="220" t="s">
        <v>9</v>
      </c>
    </row>
    <row r="561" spans="2:12" ht="17.25" customHeight="1" x14ac:dyDescent="0.25">
      <c r="B561" s="281" t="s">
        <v>1340</v>
      </c>
      <c r="C561" s="279" t="s">
        <v>1331</v>
      </c>
      <c r="D561" s="216">
        <v>45545</v>
      </c>
      <c r="E561" s="284"/>
      <c r="F561" s="218" t="s">
        <v>1341</v>
      </c>
      <c r="G561" s="219">
        <v>510</v>
      </c>
      <c r="H561" s="219"/>
      <c r="I561" s="219">
        <v>510</v>
      </c>
      <c r="J561" s="219">
        <f t="shared" si="101"/>
        <v>25.5</v>
      </c>
      <c r="K561" s="219">
        <f t="shared" si="102"/>
        <v>535.5</v>
      </c>
      <c r="L561" s="220" t="s">
        <v>9</v>
      </c>
    </row>
    <row r="562" spans="2:12" ht="17.25" customHeight="1" x14ac:dyDescent="0.25">
      <c r="B562" s="193" t="s">
        <v>398</v>
      </c>
      <c r="C562" s="279" t="s">
        <v>1332</v>
      </c>
      <c r="D562" s="216">
        <v>45545</v>
      </c>
      <c r="E562" s="285">
        <v>100282822400003</v>
      </c>
      <c r="F562" s="218" t="s">
        <v>1342</v>
      </c>
      <c r="G562" s="219">
        <v>1170</v>
      </c>
      <c r="H562" s="219"/>
      <c r="I562" s="219">
        <v>1170</v>
      </c>
      <c r="J562" s="219">
        <f t="shared" si="101"/>
        <v>58.5</v>
      </c>
      <c r="K562" s="219">
        <f t="shared" si="102"/>
        <v>1228.5</v>
      </c>
      <c r="L562" s="220" t="s">
        <v>9</v>
      </c>
    </row>
    <row r="563" spans="2:12" ht="17.25" customHeight="1" x14ac:dyDescent="0.25">
      <c r="B563" s="252" t="s">
        <v>86</v>
      </c>
      <c r="C563" s="279" t="s">
        <v>1333</v>
      </c>
      <c r="D563" s="216">
        <v>45545</v>
      </c>
      <c r="E563" s="285">
        <v>100482284500003</v>
      </c>
      <c r="F563" s="218" t="s">
        <v>95</v>
      </c>
      <c r="G563" s="219">
        <v>325</v>
      </c>
      <c r="H563" s="219"/>
      <c r="I563" s="219">
        <v>325</v>
      </c>
      <c r="J563" s="219">
        <f t="shared" si="101"/>
        <v>16.25</v>
      </c>
      <c r="K563" s="219">
        <f t="shared" si="102"/>
        <v>341.25</v>
      </c>
      <c r="L563" s="220" t="s">
        <v>9</v>
      </c>
    </row>
    <row r="564" spans="2:12" ht="17.25" customHeight="1" x14ac:dyDescent="0.25">
      <c r="B564" s="281" t="s">
        <v>199</v>
      </c>
      <c r="C564" s="279" t="s">
        <v>1343</v>
      </c>
      <c r="D564" s="216">
        <v>45547</v>
      </c>
      <c r="E564" s="285">
        <v>100349055200003</v>
      </c>
      <c r="F564" s="218" t="s">
        <v>1356</v>
      </c>
      <c r="G564" s="219">
        <v>240</v>
      </c>
      <c r="H564" s="219"/>
      <c r="I564" s="219">
        <v>240</v>
      </c>
      <c r="J564" s="219">
        <f t="shared" si="101"/>
        <v>12</v>
      </c>
      <c r="K564" s="219">
        <f t="shared" si="102"/>
        <v>252</v>
      </c>
      <c r="L564" s="220" t="s">
        <v>9</v>
      </c>
    </row>
    <row r="565" spans="2:12" ht="17.25" customHeight="1" x14ac:dyDescent="0.25">
      <c r="B565" s="281" t="s">
        <v>297</v>
      </c>
      <c r="C565" s="279" t="s">
        <v>1344</v>
      </c>
      <c r="D565" s="216">
        <v>45547</v>
      </c>
      <c r="E565" s="285">
        <v>104061690400003</v>
      </c>
      <c r="F565" s="218" t="s">
        <v>1357</v>
      </c>
      <c r="G565" s="219">
        <v>2475</v>
      </c>
      <c r="H565" s="219"/>
      <c r="I565" s="219">
        <v>2475</v>
      </c>
      <c r="J565" s="219">
        <f t="shared" si="101"/>
        <v>123.75</v>
      </c>
      <c r="K565" s="219">
        <f t="shared" si="102"/>
        <v>2598.75</v>
      </c>
      <c r="L565" s="220" t="s">
        <v>9</v>
      </c>
    </row>
    <row r="566" spans="2:12" ht="17.25" customHeight="1" x14ac:dyDescent="0.25">
      <c r="B566" s="281" t="s">
        <v>1358</v>
      </c>
      <c r="C566" s="279" t="s">
        <v>1345</v>
      </c>
      <c r="D566" s="216">
        <v>45548</v>
      </c>
      <c r="E566" s="296">
        <v>100350085500003</v>
      </c>
      <c r="F566" s="218" t="s">
        <v>1359</v>
      </c>
      <c r="G566" s="288">
        <v>7500</v>
      </c>
      <c r="H566" s="219"/>
      <c r="I566" s="288">
        <v>7500</v>
      </c>
      <c r="J566" s="219">
        <f t="shared" si="101"/>
        <v>375</v>
      </c>
      <c r="K566" s="219">
        <f t="shared" si="102"/>
        <v>7875</v>
      </c>
      <c r="L566" s="220" t="s">
        <v>1046</v>
      </c>
    </row>
    <row r="567" spans="2:12" ht="17.25" customHeight="1" x14ac:dyDescent="0.25">
      <c r="B567" s="281" t="s">
        <v>290</v>
      </c>
      <c r="C567" s="279" t="s">
        <v>1346</v>
      </c>
      <c r="D567" s="216">
        <v>45547</v>
      </c>
      <c r="E567" s="292">
        <v>100601936600003</v>
      </c>
      <c r="F567" s="218" t="s">
        <v>1360</v>
      </c>
      <c r="G567" s="288">
        <v>2875</v>
      </c>
      <c r="H567" s="219"/>
      <c r="I567" s="288">
        <v>2875</v>
      </c>
      <c r="J567" s="219">
        <f t="shared" si="101"/>
        <v>143.75</v>
      </c>
      <c r="K567" s="219">
        <f t="shared" si="102"/>
        <v>3018.75</v>
      </c>
      <c r="L567" s="220" t="s">
        <v>9</v>
      </c>
    </row>
    <row r="568" spans="2:12" ht="17.25" customHeight="1" x14ac:dyDescent="0.25">
      <c r="B568" s="281" t="s">
        <v>1361</v>
      </c>
      <c r="C568" s="279" t="s">
        <v>1347</v>
      </c>
      <c r="D568" s="216">
        <v>45549</v>
      </c>
      <c r="E568" s="285">
        <v>100448477800003</v>
      </c>
      <c r="F568" s="218" t="s">
        <v>1362</v>
      </c>
      <c r="G568" s="219">
        <v>1885</v>
      </c>
      <c r="H568" s="219"/>
      <c r="I568" s="219">
        <v>1885</v>
      </c>
      <c r="J568" s="219">
        <f t="shared" si="101"/>
        <v>94.25</v>
      </c>
      <c r="K568" s="219">
        <f t="shared" si="102"/>
        <v>1979.25</v>
      </c>
      <c r="L568" s="220" t="s">
        <v>9</v>
      </c>
    </row>
    <row r="569" spans="2:12" ht="17.25" customHeight="1" x14ac:dyDescent="0.25">
      <c r="B569" s="281" t="s">
        <v>114</v>
      </c>
      <c r="C569" s="279" t="s">
        <v>1348</v>
      </c>
      <c r="D569" s="216">
        <v>45549</v>
      </c>
      <c r="E569" s="285">
        <v>100235699400003</v>
      </c>
      <c r="F569" s="218" t="s">
        <v>1363</v>
      </c>
      <c r="G569" s="219">
        <v>1275</v>
      </c>
      <c r="H569" s="219"/>
      <c r="I569" s="219">
        <v>1275</v>
      </c>
      <c r="J569" s="219">
        <f t="shared" si="101"/>
        <v>63.75</v>
      </c>
      <c r="K569" s="219">
        <f t="shared" si="102"/>
        <v>1338.75</v>
      </c>
      <c r="L569" s="220" t="s">
        <v>9</v>
      </c>
    </row>
    <row r="570" spans="2:12" ht="17.25" customHeight="1" x14ac:dyDescent="0.25">
      <c r="B570" s="281" t="s">
        <v>114</v>
      </c>
      <c r="C570" s="279" t="s">
        <v>1349</v>
      </c>
      <c r="D570" s="216">
        <v>45549</v>
      </c>
      <c r="E570" s="285">
        <v>100235699400003</v>
      </c>
      <c r="F570" s="218" t="s">
        <v>598</v>
      </c>
      <c r="G570" s="219">
        <v>405</v>
      </c>
      <c r="H570" s="219"/>
      <c r="I570" s="219">
        <v>405</v>
      </c>
      <c r="J570" s="219">
        <f t="shared" si="101"/>
        <v>20.25</v>
      </c>
      <c r="K570" s="219">
        <f t="shared" si="102"/>
        <v>425.25</v>
      </c>
      <c r="L570" s="220" t="s">
        <v>9</v>
      </c>
    </row>
    <row r="571" spans="2:12" ht="17.25" customHeight="1" x14ac:dyDescent="0.25">
      <c r="B571" s="281" t="s">
        <v>10</v>
      </c>
      <c r="C571" s="279" t="s">
        <v>1350</v>
      </c>
      <c r="D571" s="216">
        <v>45549</v>
      </c>
      <c r="E571" s="285">
        <v>100542487200003</v>
      </c>
      <c r="F571" s="294" t="s">
        <v>1364</v>
      </c>
      <c r="G571" s="219">
        <v>2135</v>
      </c>
      <c r="H571" s="219"/>
      <c r="I571" s="219">
        <v>2135</v>
      </c>
      <c r="J571" s="219">
        <f t="shared" si="101"/>
        <v>106.75</v>
      </c>
      <c r="K571" s="219">
        <f t="shared" si="102"/>
        <v>2241.75</v>
      </c>
      <c r="L571" s="220" t="s">
        <v>9</v>
      </c>
    </row>
    <row r="572" spans="2:12" ht="17.25" customHeight="1" x14ac:dyDescent="0.25">
      <c r="B572" s="281" t="s">
        <v>10</v>
      </c>
      <c r="C572" s="279" t="s">
        <v>1351</v>
      </c>
      <c r="D572" s="216">
        <v>45549</v>
      </c>
      <c r="E572" s="285">
        <v>100542487200003</v>
      </c>
      <c r="F572" s="218" t="s">
        <v>1365</v>
      </c>
      <c r="G572" s="219">
        <v>2845</v>
      </c>
      <c r="H572" s="219"/>
      <c r="I572" s="219">
        <v>2845</v>
      </c>
      <c r="J572" s="219">
        <f t="shared" si="101"/>
        <v>142.25</v>
      </c>
      <c r="K572" s="219">
        <f t="shared" si="102"/>
        <v>2987.25</v>
      </c>
      <c r="L572" s="220" t="s">
        <v>9</v>
      </c>
    </row>
    <row r="573" spans="2:12" ht="17.25" customHeight="1" x14ac:dyDescent="0.25">
      <c r="B573" s="281" t="s">
        <v>10</v>
      </c>
      <c r="C573" s="279" t="s">
        <v>1352</v>
      </c>
      <c r="D573" s="216">
        <v>45549</v>
      </c>
      <c r="E573" s="285">
        <v>100542487200003</v>
      </c>
      <c r="F573" s="218" t="s">
        <v>1366</v>
      </c>
      <c r="G573" s="219">
        <v>4002.5</v>
      </c>
      <c r="H573" s="219"/>
      <c r="I573" s="219">
        <v>4002.5</v>
      </c>
      <c r="J573" s="219">
        <f t="shared" si="101"/>
        <v>200.125</v>
      </c>
      <c r="K573" s="219">
        <f t="shared" si="102"/>
        <v>4202.625</v>
      </c>
      <c r="L573" s="220" t="s">
        <v>9</v>
      </c>
    </row>
    <row r="574" spans="2:12" ht="17.25" customHeight="1" x14ac:dyDescent="0.25">
      <c r="B574" s="281" t="s">
        <v>1128</v>
      </c>
      <c r="C574" s="279" t="s">
        <v>1353</v>
      </c>
      <c r="D574" s="216">
        <v>45549</v>
      </c>
      <c r="E574" s="285">
        <v>100606938700003</v>
      </c>
      <c r="F574" s="218" t="s">
        <v>483</v>
      </c>
      <c r="G574" s="219">
        <v>2150</v>
      </c>
      <c r="H574" s="219"/>
      <c r="I574" s="219">
        <v>2150</v>
      </c>
      <c r="J574" s="219">
        <f t="shared" si="101"/>
        <v>107.5</v>
      </c>
      <c r="K574" s="219">
        <f t="shared" si="102"/>
        <v>2257.5</v>
      </c>
      <c r="L574" s="220" t="s">
        <v>9</v>
      </c>
    </row>
    <row r="575" spans="2:12" ht="17.25" customHeight="1" x14ac:dyDescent="0.25">
      <c r="B575" s="281" t="s">
        <v>49</v>
      </c>
      <c r="C575" s="279" t="s">
        <v>1354</v>
      </c>
      <c r="D575" s="216">
        <v>45549</v>
      </c>
      <c r="E575" s="285">
        <v>104037069200003</v>
      </c>
      <c r="F575" s="218" t="s">
        <v>598</v>
      </c>
      <c r="G575" s="219">
        <v>385</v>
      </c>
      <c r="H575" s="219"/>
      <c r="I575" s="219">
        <v>385</v>
      </c>
      <c r="J575" s="219">
        <f t="shared" si="101"/>
        <v>19.25</v>
      </c>
      <c r="K575" s="219">
        <f t="shared" si="102"/>
        <v>404.25</v>
      </c>
      <c r="L575" s="220" t="s">
        <v>9</v>
      </c>
    </row>
    <row r="576" spans="2:12" ht="17.25" customHeight="1" x14ac:dyDescent="0.25">
      <c r="B576" s="281" t="s">
        <v>770</v>
      </c>
      <c r="C576" s="279" t="s">
        <v>1355</v>
      </c>
      <c r="D576" s="216">
        <v>45549</v>
      </c>
      <c r="E576" s="284"/>
      <c r="F576" s="218" t="s">
        <v>1367</v>
      </c>
      <c r="G576" s="219">
        <v>7769.28</v>
      </c>
      <c r="H576" s="219"/>
      <c r="I576" s="219">
        <v>7769.28</v>
      </c>
      <c r="J576" s="219">
        <f t="shared" si="101"/>
        <v>388.464</v>
      </c>
      <c r="K576" s="219">
        <f t="shared" si="102"/>
        <v>8157.7439999999997</v>
      </c>
      <c r="L576" s="220" t="s">
        <v>9</v>
      </c>
    </row>
    <row r="577" spans="2:12" ht="17.25" customHeight="1" x14ac:dyDescent="0.25">
      <c r="B577" s="281" t="s">
        <v>1368</v>
      </c>
      <c r="C577" s="279" t="s">
        <v>1370</v>
      </c>
      <c r="D577" s="216">
        <v>45550</v>
      </c>
      <c r="E577" s="295">
        <v>100290916400003</v>
      </c>
      <c r="F577" s="218" t="s">
        <v>1369</v>
      </c>
      <c r="G577" s="288">
        <v>525</v>
      </c>
      <c r="H577" s="219"/>
      <c r="I577" s="288">
        <v>525</v>
      </c>
      <c r="J577" s="219">
        <f t="shared" si="101"/>
        <v>26.25</v>
      </c>
      <c r="K577" s="219">
        <f t="shared" si="102"/>
        <v>551.25</v>
      </c>
      <c r="L577" s="220" t="s">
        <v>9</v>
      </c>
    </row>
    <row r="578" spans="2:12" ht="17.25" customHeight="1" x14ac:dyDescent="0.25">
      <c r="B578" s="281" t="s">
        <v>1368</v>
      </c>
      <c r="C578" s="279" t="s">
        <v>1371</v>
      </c>
      <c r="D578" s="216">
        <v>45550</v>
      </c>
      <c r="E578" s="295">
        <v>100290916400003</v>
      </c>
      <c r="F578" s="218" t="s">
        <v>1369</v>
      </c>
      <c r="G578" s="219">
        <v>157.5</v>
      </c>
      <c r="H578" s="219"/>
      <c r="I578" s="219">
        <v>157.5</v>
      </c>
      <c r="J578" s="219">
        <f t="shared" si="101"/>
        <v>7.875</v>
      </c>
      <c r="K578" s="219">
        <f t="shared" si="102"/>
        <v>165.375</v>
      </c>
      <c r="L578" s="220" t="s">
        <v>9</v>
      </c>
    </row>
    <row r="579" spans="2:12" ht="17.25" customHeight="1" x14ac:dyDescent="0.25">
      <c r="B579" s="281" t="s">
        <v>1377</v>
      </c>
      <c r="C579" s="279" t="s">
        <v>1372</v>
      </c>
      <c r="D579" s="216">
        <v>45550</v>
      </c>
      <c r="E579" s="295">
        <v>100290916400003</v>
      </c>
      <c r="F579" s="218" t="s">
        <v>1369</v>
      </c>
      <c r="G579" s="288">
        <v>2415</v>
      </c>
      <c r="H579" s="219"/>
      <c r="I579" s="288">
        <v>2415</v>
      </c>
      <c r="J579" s="219">
        <f t="shared" si="101"/>
        <v>120.75</v>
      </c>
      <c r="K579" s="219">
        <f t="shared" si="102"/>
        <v>2535.75</v>
      </c>
      <c r="L579" s="220" t="s">
        <v>9</v>
      </c>
    </row>
    <row r="580" spans="2:12" ht="17.25" customHeight="1" x14ac:dyDescent="0.25">
      <c r="B580" s="281" t="s">
        <v>1377</v>
      </c>
      <c r="C580" s="279" t="s">
        <v>1373</v>
      </c>
      <c r="D580" s="216">
        <v>45550</v>
      </c>
      <c r="E580" s="295">
        <v>100290916400003</v>
      </c>
      <c r="F580" s="218" t="s">
        <v>1369</v>
      </c>
      <c r="G580" s="286">
        <v>5512.5</v>
      </c>
      <c r="H580" s="219"/>
      <c r="I580" s="286">
        <v>5512.5</v>
      </c>
      <c r="J580" s="219">
        <f t="shared" si="101"/>
        <v>275.625</v>
      </c>
      <c r="K580" s="219">
        <f t="shared" si="102"/>
        <v>5788.125</v>
      </c>
      <c r="L580" s="220" t="s">
        <v>9</v>
      </c>
    </row>
    <row r="581" spans="2:12" ht="17.25" customHeight="1" x14ac:dyDescent="0.25">
      <c r="B581" s="281" t="s">
        <v>1378</v>
      </c>
      <c r="C581" s="279" t="s">
        <v>1374</v>
      </c>
      <c r="D581" s="216">
        <v>45550</v>
      </c>
      <c r="E581" s="297"/>
      <c r="F581" s="218" t="s">
        <v>1369</v>
      </c>
      <c r="G581" s="288">
        <v>1050</v>
      </c>
      <c r="H581" s="219"/>
      <c r="I581" s="288">
        <v>1050</v>
      </c>
      <c r="J581" s="219">
        <f t="shared" si="101"/>
        <v>52.5</v>
      </c>
      <c r="K581" s="219">
        <f t="shared" si="102"/>
        <v>1102.5</v>
      </c>
      <c r="L581" s="220" t="s">
        <v>9</v>
      </c>
    </row>
    <row r="582" spans="2:12" ht="17.25" customHeight="1" x14ac:dyDescent="0.25">
      <c r="B582" s="281" t="s">
        <v>1379</v>
      </c>
      <c r="C582" s="279" t="s">
        <v>1375</v>
      </c>
      <c r="D582" s="216">
        <v>45553</v>
      </c>
      <c r="E582" s="292">
        <v>100476865900003</v>
      </c>
      <c r="F582" s="218" t="s">
        <v>1380</v>
      </c>
      <c r="G582" s="286">
        <v>1665</v>
      </c>
      <c r="H582" s="219"/>
      <c r="I582" s="288">
        <v>1665</v>
      </c>
      <c r="J582" s="219">
        <f t="shared" si="101"/>
        <v>83.25</v>
      </c>
      <c r="K582" s="219">
        <f t="shared" si="102"/>
        <v>1748.25</v>
      </c>
      <c r="L582" s="220" t="s">
        <v>9</v>
      </c>
    </row>
    <row r="583" spans="2:12" ht="17.25" customHeight="1" x14ac:dyDescent="0.25">
      <c r="B583" s="281" t="s">
        <v>1381</v>
      </c>
      <c r="C583" s="279" t="s">
        <v>1376</v>
      </c>
      <c r="D583" s="216">
        <v>45554</v>
      </c>
      <c r="E583" s="299"/>
      <c r="F583" s="218" t="s">
        <v>1382</v>
      </c>
      <c r="G583" s="219">
        <v>47.62</v>
      </c>
      <c r="H583" s="219"/>
      <c r="I583" s="219">
        <v>47.62</v>
      </c>
      <c r="J583" s="219">
        <f t="shared" si="101"/>
        <v>2.3809999999999998</v>
      </c>
      <c r="K583" s="219">
        <f t="shared" si="102"/>
        <v>50.000999999999998</v>
      </c>
      <c r="L583" s="220" t="s">
        <v>9</v>
      </c>
    </row>
    <row r="584" spans="2:12" ht="17.25" customHeight="1" x14ac:dyDescent="0.25">
      <c r="B584" s="298" t="s">
        <v>1377</v>
      </c>
      <c r="C584" s="279" t="s">
        <v>1383</v>
      </c>
      <c r="D584" s="216">
        <v>45554</v>
      </c>
      <c r="E584" s="300">
        <v>100290916400003</v>
      </c>
      <c r="F584" s="287" t="s">
        <v>1369</v>
      </c>
      <c r="G584" s="288">
        <v>525</v>
      </c>
      <c r="H584" s="219"/>
      <c r="I584" s="288">
        <v>525</v>
      </c>
      <c r="J584" s="219">
        <f t="shared" si="101"/>
        <v>26.25</v>
      </c>
      <c r="K584" s="219">
        <f t="shared" si="102"/>
        <v>551.25</v>
      </c>
      <c r="L584" s="220" t="s">
        <v>9</v>
      </c>
    </row>
    <row r="585" spans="2:12" ht="17.25" customHeight="1" x14ac:dyDescent="0.25">
      <c r="B585" s="298" t="s">
        <v>102</v>
      </c>
      <c r="C585" s="279" t="s">
        <v>1384</v>
      </c>
      <c r="D585" s="303">
        <v>45554</v>
      </c>
      <c r="E585" s="302">
        <v>100593105800003</v>
      </c>
      <c r="F585" s="218" t="s">
        <v>1406</v>
      </c>
      <c r="G585" s="301">
        <v>5900</v>
      </c>
      <c r="H585" s="219"/>
      <c r="I585" s="301">
        <v>5900</v>
      </c>
      <c r="J585" s="219">
        <f t="shared" si="101"/>
        <v>295</v>
      </c>
      <c r="K585" s="219">
        <f t="shared" si="102"/>
        <v>6195</v>
      </c>
      <c r="L585" s="220" t="s">
        <v>9</v>
      </c>
    </row>
    <row r="586" spans="2:12" ht="17.25" customHeight="1" x14ac:dyDescent="0.25">
      <c r="B586" s="298" t="s">
        <v>86</v>
      </c>
      <c r="C586" s="279" t="s">
        <v>1385</v>
      </c>
      <c r="D586" s="216">
        <v>45556</v>
      </c>
      <c r="E586" s="302">
        <v>100482284500003</v>
      </c>
      <c r="F586" s="218" t="s">
        <v>95</v>
      </c>
      <c r="G586" s="219">
        <v>325</v>
      </c>
      <c r="H586" s="219"/>
      <c r="I586" s="219">
        <v>325</v>
      </c>
      <c r="J586" s="219">
        <f t="shared" si="101"/>
        <v>16.25</v>
      </c>
      <c r="K586" s="219">
        <f t="shared" si="102"/>
        <v>341.25</v>
      </c>
      <c r="L586" s="220" t="s">
        <v>9</v>
      </c>
    </row>
    <row r="587" spans="2:12" ht="17.25" customHeight="1" x14ac:dyDescent="0.25">
      <c r="B587" s="298" t="s">
        <v>1407</v>
      </c>
      <c r="C587" s="279" t="s">
        <v>1386</v>
      </c>
      <c r="D587" s="216">
        <v>45556</v>
      </c>
      <c r="E587" s="299"/>
      <c r="F587" s="218" t="s">
        <v>1408</v>
      </c>
      <c r="G587" s="219">
        <v>1610</v>
      </c>
      <c r="H587" s="219"/>
      <c r="I587" s="219">
        <v>1610</v>
      </c>
      <c r="J587" s="219">
        <f t="shared" si="101"/>
        <v>80.5</v>
      </c>
      <c r="K587" s="219">
        <f t="shared" si="102"/>
        <v>1690.5</v>
      </c>
      <c r="L587" s="220" t="s">
        <v>9</v>
      </c>
    </row>
    <row r="588" spans="2:12" ht="17.25" customHeight="1" x14ac:dyDescent="0.25">
      <c r="B588" s="298" t="s">
        <v>1409</v>
      </c>
      <c r="C588" s="279" t="s">
        <v>1387</v>
      </c>
      <c r="D588" s="216">
        <v>45556</v>
      </c>
      <c r="E588" s="299"/>
      <c r="F588" s="218" t="s">
        <v>1410</v>
      </c>
      <c r="G588" s="219">
        <v>1535</v>
      </c>
      <c r="H588" s="219"/>
      <c r="I588" s="219">
        <v>1535</v>
      </c>
      <c r="J588" s="219">
        <f t="shared" si="101"/>
        <v>76.75</v>
      </c>
      <c r="K588" s="219">
        <f t="shared" si="102"/>
        <v>1611.75</v>
      </c>
      <c r="L588" s="220" t="s">
        <v>9</v>
      </c>
    </row>
    <row r="589" spans="2:12" ht="17.25" customHeight="1" x14ac:dyDescent="0.25">
      <c r="B589" s="298" t="s">
        <v>10</v>
      </c>
      <c r="C589" s="279" t="s">
        <v>1388</v>
      </c>
      <c r="D589" s="216">
        <v>45556</v>
      </c>
      <c r="E589" s="302">
        <v>100542487200003</v>
      </c>
      <c r="F589" s="218" t="s">
        <v>1411</v>
      </c>
      <c r="G589" s="219">
        <v>1593.75</v>
      </c>
      <c r="H589" s="219"/>
      <c r="I589" s="219">
        <v>1593.75</v>
      </c>
      <c r="J589" s="219">
        <f t="shared" si="101"/>
        <v>79.6875</v>
      </c>
      <c r="K589" s="219">
        <f t="shared" si="102"/>
        <v>1673.4375</v>
      </c>
      <c r="L589" s="220" t="s">
        <v>9</v>
      </c>
    </row>
    <row r="590" spans="2:12" ht="17.25" customHeight="1" x14ac:dyDescent="0.25">
      <c r="B590" s="298" t="s">
        <v>10</v>
      </c>
      <c r="C590" s="279" t="s">
        <v>1389</v>
      </c>
      <c r="D590" s="216">
        <v>45556</v>
      </c>
      <c r="E590" s="302">
        <v>100542487200003</v>
      </c>
      <c r="F590" s="218" t="s">
        <v>1412</v>
      </c>
      <c r="G590" s="219">
        <v>290</v>
      </c>
      <c r="H590" s="219"/>
      <c r="I590" s="219">
        <v>290</v>
      </c>
      <c r="J590" s="219">
        <f t="shared" si="101"/>
        <v>14.5</v>
      </c>
      <c r="K590" s="219">
        <f t="shared" si="102"/>
        <v>304.5</v>
      </c>
      <c r="L590" s="220" t="s">
        <v>9</v>
      </c>
    </row>
    <row r="591" spans="2:12" ht="17.25" customHeight="1" x14ac:dyDescent="0.25">
      <c r="B591" s="298" t="s">
        <v>229</v>
      </c>
      <c r="C591" s="279" t="s">
        <v>1390</v>
      </c>
      <c r="D591" s="216">
        <v>45556</v>
      </c>
      <c r="E591" s="299"/>
      <c r="F591" s="218" t="s">
        <v>230</v>
      </c>
      <c r="G591" s="219">
        <v>475</v>
      </c>
      <c r="H591" s="219"/>
      <c r="I591" s="219">
        <v>475</v>
      </c>
      <c r="J591" s="219">
        <f t="shared" si="101"/>
        <v>23.75</v>
      </c>
      <c r="K591" s="219">
        <f t="shared" si="102"/>
        <v>498.75</v>
      </c>
      <c r="L591" s="220" t="s">
        <v>9</v>
      </c>
    </row>
    <row r="592" spans="2:12" ht="17.25" customHeight="1" x14ac:dyDescent="0.25">
      <c r="B592" s="298" t="s">
        <v>1039</v>
      </c>
      <c r="C592" s="279" t="s">
        <v>1391</v>
      </c>
      <c r="D592" s="216">
        <v>45556</v>
      </c>
      <c r="E592" s="302">
        <v>100444367500003</v>
      </c>
      <c r="F592" s="218" t="s">
        <v>1413</v>
      </c>
      <c r="G592" s="219">
        <v>9950</v>
      </c>
      <c r="H592" s="219"/>
      <c r="I592" s="219">
        <v>9950</v>
      </c>
      <c r="J592" s="219">
        <f t="shared" si="101"/>
        <v>497.5</v>
      </c>
      <c r="K592" s="219">
        <f t="shared" si="102"/>
        <v>10447.5</v>
      </c>
      <c r="L592" s="220" t="s">
        <v>9</v>
      </c>
    </row>
    <row r="593" spans="2:12" ht="17.25" customHeight="1" x14ac:dyDescent="0.25">
      <c r="B593" s="298" t="s">
        <v>122</v>
      </c>
      <c r="C593" s="279" t="s">
        <v>1392</v>
      </c>
      <c r="D593" s="216">
        <v>45556</v>
      </c>
      <c r="E593" s="299"/>
      <c r="F593" s="218" t="s">
        <v>95</v>
      </c>
      <c r="G593" s="219">
        <v>760</v>
      </c>
      <c r="H593" s="219"/>
      <c r="I593" s="219">
        <v>760</v>
      </c>
      <c r="J593" s="219">
        <f t="shared" si="101"/>
        <v>38</v>
      </c>
      <c r="K593" s="219">
        <f t="shared" si="102"/>
        <v>798</v>
      </c>
      <c r="L593" s="220" t="s">
        <v>9</v>
      </c>
    </row>
    <row r="594" spans="2:12" ht="17.25" customHeight="1" x14ac:dyDescent="0.25">
      <c r="B594" s="298" t="s">
        <v>1329</v>
      </c>
      <c r="C594" s="279" t="s">
        <v>1393</v>
      </c>
      <c r="D594" s="216">
        <v>45556</v>
      </c>
      <c r="E594" s="299"/>
      <c r="F594" s="218" t="s">
        <v>1414</v>
      </c>
      <c r="G594" s="219">
        <v>225</v>
      </c>
      <c r="H594" s="219"/>
      <c r="I594" s="219">
        <v>225</v>
      </c>
      <c r="J594" s="219">
        <f t="shared" si="101"/>
        <v>11.25</v>
      </c>
      <c r="K594" s="219">
        <f t="shared" si="102"/>
        <v>236.25</v>
      </c>
      <c r="L594" s="220" t="s">
        <v>9</v>
      </c>
    </row>
    <row r="595" spans="2:12" ht="17.25" customHeight="1" x14ac:dyDescent="0.25">
      <c r="B595" s="298" t="s">
        <v>29</v>
      </c>
      <c r="C595" s="279" t="s">
        <v>1394</v>
      </c>
      <c r="D595" s="216">
        <v>45559</v>
      </c>
      <c r="E595" s="302">
        <v>100430750800003</v>
      </c>
      <c r="F595" s="218" t="s">
        <v>1415</v>
      </c>
      <c r="G595" s="219">
        <v>41176.9</v>
      </c>
      <c r="H595" s="219"/>
      <c r="I595" s="219">
        <v>41176.9</v>
      </c>
      <c r="J595" s="219">
        <f t="shared" si="101"/>
        <v>2058.8450000000003</v>
      </c>
      <c r="K595" s="219">
        <f t="shared" si="102"/>
        <v>43235.745000000003</v>
      </c>
      <c r="L595" s="220" t="s">
        <v>9</v>
      </c>
    </row>
    <row r="596" spans="2:12" ht="17.25" customHeight="1" x14ac:dyDescent="0.25">
      <c r="B596" s="298" t="s">
        <v>29</v>
      </c>
      <c r="C596" s="279" t="s">
        <v>1395</v>
      </c>
      <c r="D596" s="216">
        <v>45559</v>
      </c>
      <c r="E596" s="302">
        <v>100430750800003</v>
      </c>
      <c r="F596" s="218" t="s">
        <v>1416</v>
      </c>
      <c r="G596" s="219">
        <v>2490.1999999999998</v>
      </c>
      <c r="H596" s="219"/>
      <c r="I596" s="219">
        <v>2490.1999999999998</v>
      </c>
      <c r="J596" s="219">
        <f t="shared" si="101"/>
        <v>124.50999999999999</v>
      </c>
      <c r="K596" s="219">
        <f t="shared" si="102"/>
        <v>2614.71</v>
      </c>
      <c r="L596" s="220" t="s">
        <v>9</v>
      </c>
    </row>
    <row r="597" spans="2:12" ht="17.25" customHeight="1" x14ac:dyDescent="0.25">
      <c r="B597" s="298" t="s">
        <v>29</v>
      </c>
      <c r="C597" s="279" t="s">
        <v>1396</v>
      </c>
      <c r="D597" s="216">
        <v>45559</v>
      </c>
      <c r="E597" s="302">
        <v>100430750800003</v>
      </c>
      <c r="F597" s="218" t="s">
        <v>1417</v>
      </c>
      <c r="G597" s="219">
        <v>5795</v>
      </c>
      <c r="H597" s="219"/>
      <c r="I597" s="219">
        <v>5795</v>
      </c>
      <c r="J597" s="219">
        <f t="shared" si="101"/>
        <v>289.75</v>
      </c>
      <c r="K597" s="219">
        <f t="shared" si="102"/>
        <v>6084.75</v>
      </c>
      <c r="L597" s="220" t="s">
        <v>9</v>
      </c>
    </row>
    <row r="598" spans="2:12" ht="17.25" customHeight="1" x14ac:dyDescent="0.25">
      <c r="B598" s="298" t="s">
        <v>29</v>
      </c>
      <c r="C598" s="279" t="s">
        <v>1397</v>
      </c>
      <c r="D598" s="216">
        <v>45559</v>
      </c>
      <c r="E598" s="302">
        <v>100430750800003</v>
      </c>
      <c r="F598" s="218" t="s">
        <v>1418</v>
      </c>
      <c r="G598" s="219">
        <v>5670</v>
      </c>
      <c r="H598" s="219"/>
      <c r="I598" s="219">
        <v>5670</v>
      </c>
      <c r="J598" s="219">
        <f t="shared" si="101"/>
        <v>283.5</v>
      </c>
      <c r="K598" s="219">
        <f t="shared" si="102"/>
        <v>5953.5</v>
      </c>
      <c r="L598" s="220" t="s">
        <v>9</v>
      </c>
    </row>
    <row r="599" spans="2:12" ht="17.25" customHeight="1" x14ac:dyDescent="0.25">
      <c r="B599" s="298" t="s">
        <v>29</v>
      </c>
      <c r="C599" s="279" t="s">
        <v>1398</v>
      </c>
      <c r="D599" s="216">
        <v>45559</v>
      </c>
      <c r="E599" s="302">
        <v>100430750800003</v>
      </c>
      <c r="F599" s="218" t="s">
        <v>1419</v>
      </c>
      <c r="G599" s="219">
        <v>235.5</v>
      </c>
      <c r="H599" s="219"/>
      <c r="I599" s="219">
        <v>235.5</v>
      </c>
      <c r="J599" s="219">
        <f t="shared" si="101"/>
        <v>11.775</v>
      </c>
      <c r="K599" s="219">
        <f t="shared" si="102"/>
        <v>247.27500000000001</v>
      </c>
      <c r="L599" s="220" t="s">
        <v>9</v>
      </c>
    </row>
    <row r="600" spans="2:12" ht="17.25" customHeight="1" x14ac:dyDescent="0.25">
      <c r="B600" s="298" t="s">
        <v>29</v>
      </c>
      <c r="C600" s="279" t="s">
        <v>1399</v>
      </c>
      <c r="D600" s="216">
        <v>45559</v>
      </c>
      <c r="E600" s="302">
        <v>100430750800003</v>
      </c>
      <c r="F600" s="218" t="s">
        <v>901</v>
      </c>
      <c r="G600" s="219">
        <v>975</v>
      </c>
      <c r="H600" s="219"/>
      <c r="I600" s="219">
        <v>975</v>
      </c>
      <c r="J600" s="219">
        <f t="shared" si="101"/>
        <v>48.75</v>
      </c>
      <c r="K600" s="219">
        <f t="shared" si="102"/>
        <v>1023.75</v>
      </c>
      <c r="L600" s="220" t="s">
        <v>9</v>
      </c>
    </row>
    <row r="601" spans="2:12" ht="17.25" customHeight="1" x14ac:dyDescent="0.25">
      <c r="B601" s="298" t="s">
        <v>29</v>
      </c>
      <c r="C601" s="279" t="s">
        <v>1400</v>
      </c>
      <c r="D601" s="216">
        <v>45559</v>
      </c>
      <c r="E601" s="302">
        <v>100430750800003</v>
      </c>
      <c r="F601" s="218" t="s">
        <v>1420</v>
      </c>
      <c r="G601" s="219">
        <v>3825</v>
      </c>
      <c r="H601" s="219"/>
      <c r="I601" s="219">
        <v>3825</v>
      </c>
      <c r="J601" s="219">
        <f t="shared" si="101"/>
        <v>191.25</v>
      </c>
      <c r="K601" s="219">
        <f t="shared" si="102"/>
        <v>4016.25</v>
      </c>
      <c r="L601" s="220" t="s">
        <v>9</v>
      </c>
    </row>
    <row r="602" spans="2:12" ht="17.25" customHeight="1" x14ac:dyDescent="0.25">
      <c r="B602" s="298" t="s">
        <v>29</v>
      </c>
      <c r="C602" s="279" t="s">
        <v>1401</v>
      </c>
      <c r="D602" s="216">
        <v>45559</v>
      </c>
      <c r="E602" s="302">
        <v>100430750800003</v>
      </c>
      <c r="F602" s="218" t="s">
        <v>901</v>
      </c>
      <c r="G602" s="219">
        <v>324</v>
      </c>
      <c r="H602" s="219"/>
      <c r="I602" s="219">
        <v>324</v>
      </c>
      <c r="J602" s="219">
        <f t="shared" si="101"/>
        <v>16.2</v>
      </c>
      <c r="K602" s="219">
        <f t="shared" si="102"/>
        <v>340.2</v>
      </c>
      <c r="L602" s="220" t="s">
        <v>9</v>
      </c>
    </row>
    <row r="603" spans="2:12" ht="17.25" customHeight="1" x14ac:dyDescent="0.25">
      <c r="B603" s="298" t="s">
        <v>29</v>
      </c>
      <c r="C603" s="279" t="s">
        <v>1402</v>
      </c>
      <c r="D603" s="216">
        <v>45559</v>
      </c>
      <c r="E603" s="302">
        <v>100430750800003</v>
      </c>
      <c r="F603" s="218" t="s">
        <v>1421</v>
      </c>
      <c r="G603" s="219">
        <v>1584</v>
      </c>
      <c r="H603" s="219"/>
      <c r="I603" s="219">
        <v>1584</v>
      </c>
      <c r="J603" s="219">
        <f t="shared" si="101"/>
        <v>79.2</v>
      </c>
      <c r="K603" s="219">
        <f t="shared" si="102"/>
        <v>1663.2</v>
      </c>
      <c r="L603" s="220" t="s">
        <v>9</v>
      </c>
    </row>
    <row r="604" spans="2:12" ht="17.25" customHeight="1" x14ac:dyDescent="0.25">
      <c r="B604" s="298" t="s">
        <v>114</v>
      </c>
      <c r="C604" s="279" t="s">
        <v>1403</v>
      </c>
      <c r="D604" s="216">
        <v>45560</v>
      </c>
      <c r="E604" s="302">
        <v>100235699400003</v>
      </c>
      <c r="F604" s="218" t="s">
        <v>598</v>
      </c>
      <c r="G604" s="219">
        <v>405</v>
      </c>
      <c r="H604" s="219"/>
      <c r="I604" s="219">
        <v>405</v>
      </c>
      <c r="J604" s="219">
        <f t="shared" si="101"/>
        <v>20.25</v>
      </c>
      <c r="K604" s="219">
        <f t="shared" si="102"/>
        <v>425.25</v>
      </c>
      <c r="L604" s="220" t="s">
        <v>9</v>
      </c>
    </row>
    <row r="605" spans="2:12" ht="17.25" customHeight="1" x14ac:dyDescent="0.25">
      <c r="B605" s="298" t="s">
        <v>114</v>
      </c>
      <c r="C605" s="279" t="s">
        <v>1404</v>
      </c>
      <c r="D605" s="216">
        <v>45560</v>
      </c>
      <c r="E605" s="302">
        <v>100235699400003</v>
      </c>
      <c r="F605" s="218" t="s">
        <v>598</v>
      </c>
      <c r="G605" s="219">
        <v>405</v>
      </c>
      <c r="H605" s="219"/>
      <c r="I605" s="219">
        <v>405</v>
      </c>
      <c r="J605" s="219">
        <f t="shared" si="101"/>
        <v>20.25</v>
      </c>
      <c r="K605" s="219">
        <f t="shared" si="102"/>
        <v>425.25</v>
      </c>
      <c r="L605" s="220" t="s">
        <v>9</v>
      </c>
    </row>
    <row r="606" spans="2:12" ht="17.25" customHeight="1" x14ac:dyDescent="0.25">
      <c r="B606" s="298" t="s">
        <v>81</v>
      </c>
      <c r="C606" s="215" t="s">
        <v>1405</v>
      </c>
      <c r="D606" s="216">
        <v>45561</v>
      </c>
      <c r="E606" s="302">
        <v>100056728700003</v>
      </c>
      <c r="F606" s="218" t="s">
        <v>95</v>
      </c>
      <c r="G606" s="219">
        <v>435</v>
      </c>
      <c r="H606" s="219"/>
      <c r="I606" s="219">
        <v>435</v>
      </c>
      <c r="J606" s="219">
        <f t="shared" si="101"/>
        <v>21.75</v>
      </c>
      <c r="K606" s="219">
        <f t="shared" si="102"/>
        <v>456.75</v>
      </c>
      <c r="L606" s="220" t="s">
        <v>9</v>
      </c>
    </row>
    <row r="607" spans="2:12" ht="17.25" customHeight="1" x14ac:dyDescent="0.25">
      <c r="B607" s="305" t="s">
        <v>1124</v>
      </c>
      <c r="C607" s="215" t="s">
        <v>1422</v>
      </c>
      <c r="D607" s="216">
        <v>45565</v>
      </c>
      <c r="E607" s="302"/>
      <c r="F607" s="218" t="s">
        <v>1423</v>
      </c>
      <c r="G607" s="304">
        <v>1192.5</v>
      </c>
      <c r="H607" s="219"/>
      <c r="I607" s="304">
        <v>1192.5</v>
      </c>
      <c r="J607" s="219">
        <f t="shared" si="101"/>
        <v>59.625</v>
      </c>
      <c r="K607" s="219">
        <f t="shared" si="102"/>
        <v>1252.125</v>
      </c>
      <c r="L607" s="220" t="s">
        <v>9</v>
      </c>
    </row>
    <row r="608" spans="2:12" ht="17.25" customHeight="1" x14ac:dyDescent="0.25">
      <c r="B608" s="298" t="s">
        <v>1449</v>
      </c>
      <c r="C608" s="215" t="s">
        <v>1424</v>
      </c>
      <c r="D608" s="216">
        <v>45565</v>
      </c>
      <c r="E608" s="72">
        <v>100511338400003</v>
      </c>
      <c r="F608" s="287" t="s">
        <v>1450</v>
      </c>
      <c r="G608" s="219">
        <v>367.5</v>
      </c>
      <c r="H608" s="219"/>
      <c r="I608" s="219">
        <v>367.5</v>
      </c>
      <c r="J608" s="219">
        <f t="shared" si="101"/>
        <v>18.375</v>
      </c>
      <c r="K608" s="219">
        <f t="shared" si="102"/>
        <v>385.875</v>
      </c>
      <c r="L608" s="220" t="s">
        <v>1046</v>
      </c>
    </row>
    <row r="609" spans="2:12" ht="17.25" customHeight="1" x14ac:dyDescent="0.25">
      <c r="B609" s="308" t="s">
        <v>297</v>
      </c>
      <c r="C609" s="215" t="s">
        <v>1425</v>
      </c>
      <c r="D609" s="216">
        <v>45565</v>
      </c>
      <c r="E609" s="309">
        <v>104061690400003</v>
      </c>
      <c r="F609" s="306" t="s">
        <v>1451</v>
      </c>
      <c r="G609" s="219">
        <v>1190</v>
      </c>
      <c r="H609" s="219"/>
      <c r="I609" s="219">
        <v>1190</v>
      </c>
      <c r="J609" s="219">
        <f t="shared" si="101"/>
        <v>59.5</v>
      </c>
      <c r="K609" s="219">
        <f t="shared" si="102"/>
        <v>1249.5</v>
      </c>
      <c r="L609" s="220" t="s">
        <v>9</v>
      </c>
    </row>
    <row r="610" spans="2:12" ht="17.25" customHeight="1" x14ac:dyDescent="0.25">
      <c r="B610" s="308" t="s">
        <v>10</v>
      </c>
      <c r="C610" s="215" t="s">
        <v>1426</v>
      </c>
      <c r="D610" s="216">
        <v>45565</v>
      </c>
      <c r="E610" s="309">
        <v>100542487200003</v>
      </c>
      <c r="F610" s="306" t="s">
        <v>1452</v>
      </c>
      <c r="G610" s="219">
        <v>525</v>
      </c>
      <c r="H610" s="219"/>
      <c r="I610" s="219">
        <v>525</v>
      </c>
      <c r="J610" s="219">
        <f t="shared" si="101"/>
        <v>26.25</v>
      </c>
      <c r="K610" s="219">
        <f t="shared" si="102"/>
        <v>551.25</v>
      </c>
      <c r="L610" s="220" t="s">
        <v>9</v>
      </c>
    </row>
    <row r="611" spans="2:12" ht="17.25" customHeight="1" x14ac:dyDescent="0.25">
      <c r="B611" s="308" t="s">
        <v>10</v>
      </c>
      <c r="C611" s="215" t="s">
        <v>1427</v>
      </c>
      <c r="D611" s="216">
        <v>45565</v>
      </c>
      <c r="E611" s="309">
        <v>100542487200003</v>
      </c>
      <c r="F611" s="306" t="s">
        <v>1453</v>
      </c>
      <c r="G611" s="219">
        <v>1012.5</v>
      </c>
      <c r="H611" s="219"/>
      <c r="I611" s="219">
        <v>1012.5</v>
      </c>
      <c r="J611" s="219">
        <f t="shared" si="101"/>
        <v>50.625</v>
      </c>
      <c r="K611" s="219">
        <f t="shared" si="102"/>
        <v>1063.125</v>
      </c>
      <c r="L611" s="220" t="s">
        <v>9</v>
      </c>
    </row>
    <row r="612" spans="2:12" ht="17.25" customHeight="1" x14ac:dyDescent="0.25">
      <c r="B612" s="308" t="s">
        <v>10</v>
      </c>
      <c r="C612" s="215" t="s">
        <v>1428</v>
      </c>
      <c r="D612" s="216">
        <v>45565</v>
      </c>
      <c r="E612" s="309">
        <v>100542487200003</v>
      </c>
      <c r="F612" s="306" t="s">
        <v>1454</v>
      </c>
      <c r="G612" s="219">
        <v>1295</v>
      </c>
      <c r="H612" s="219"/>
      <c r="I612" s="219">
        <v>1295</v>
      </c>
      <c r="J612" s="219">
        <f t="shared" si="101"/>
        <v>64.75</v>
      </c>
      <c r="K612" s="219">
        <f t="shared" si="102"/>
        <v>1359.75</v>
      </c>
      <c r="L612" s="220" t="s">
        <v>9</v>
      </c>
    </row>
    <row r="613" spans="2:12" ht="17.25" customHeight="1" x14ac:dyDescent="0.25">
      <c r="B613" s="308" t="s">
        <v>10</v>
      </c>
      <c r="C613" s="215" t="s">
        <v>1429</v>
      </c>
      <c r="D613" s="216">
        <v>45565</v>
      </c>
      <c r="E613" s="309">
        <v>100542487200003</v>
      </c>
      <c r="F613" s="306" t="s">
        <v>1455</v>
      </c>
      <c r="G613" s="219">
        <v>4590</v>
      </c>
      <c r="H613" s="219"/>
      <c r="I613" s="219">
        <v>4590</v>
      </c>
      <c r="J613" s="219">
        <f t="shared" si="101"/>
        <v>229.5</v>
      </c>
      <c r="K613" s="219">
        <f t="shared" si="102"/>
        <v>4819.5</v>
      </c>
      <c r="L613" s="220" t="s">
        <v>9</v>
      </c>
    </row>
    <row r="614" spans="2:12" ht="17.25" customHeight="1" x14ac:dyDescent="0.25">
      <c r="B614" s="308" t="s">
        <v>10</v>
      </c>
      <c r="C614" s="215" t="s">
        <v>1430</v>
      </c>
      <c r="D614" s="216">
        <v>45565</v>
      </c>
      <c r="E614" s="309">
        <v>100542487200003</v>
      </c>
      <c r="F614" s="306" t="s">
        <v>1456</v>
      </c>
      <c r="G614" s="219">
        <v>255</v>
      </c>
      <c r="H614" s="219"/>
      <c r="I614" s="219">
        <v>255</v>
      </c>
      <c r="J614" s="219">
        <f t="shared" si="101"/>
        <v>12.75</v>
      </c>
      <c r="K614" s="219">
        <f t="shared" si="102"/>
        <v>267.75</v>
      </c>
      <c r="L614" s="220" t="s">
        <v>9</v>
      </c>
    </row>
    <row r="615" spans="2:12" ht="17.25" customHeight="1" x14ac:dyDescent="0.25">
      <c r="B615" s="308" t="s">
        <v>122</v>
      </c>
      <c r="C615" s="215" t="s">
        <v>1431</v>
      </c>
      <c r="D615" s="216">
        <v>45565</v>
      </c>
      <c r="E615" s="307"/>
      <c r="F615" s="306" t="s">
        <v>1457</v>
      </c>
      <c r="G615" s="219">
        <v>2735</v>
      </c>
      <c r="H615" s="219"/>
      <c r="I615" s="219">
        <v>2735</v>
      </c>
      <c r="J615" s="219">
        <f t="shared" si="101"/>
        <v>136.75</v>
      </c>
      <c r="K615" s="219">
        <f t="shared" si="102"/>
        <v>2871.75</v>
      </c>
      <c r="L615" s="220" t="s">
        <v>9</v>
      </c>
    </row>
    <row r="616" spans="2:12" ht="17.25" customHeight="1" x14ac:dyDescent="0.25">
      <c r="B616" s="298" t="s">
        <v>1458</v>
      </c>
      <c r="C616" s="215" t="s">
        <v>1432</v>
      </c>
      <c r="D616" s="216">
        <v>45565</v>
      </c>
      <c r="E616" s="307"/>
      <c r="F616" s="306" t="s">
        <v>901</v>
      </c>
      <c r="G616" s="219">
        <v>275</v>
      </c>
      <c r="H616" s="219"/>
      <c r="I616" s="219">
        <v>275</v>
      </c>
      <c r="J616" s="219">
        <f t="shared" si="101"/>
        <v>13.75</v>
      </c>
      <c r="K616" s="219">
        <f t="shared" si="102"/>
        <v>288.75</v>
      </c>
      <c r="L616" s="220" t="s">
        <v>1046</v>
      </c>
    </row>
    <row r="617" spans="2:12" ht="17.25" customHeight="1" x14ac:dyDescent="0.25">
      <c r="B617" s="298" t="s">
        <v>1459</v>
      </c>
      <c r="C617" s="215" t="s">
        <v>1433</v>
      </c>
      <c r="D617" s="216">
        <v>45565</v>
      </c>
      <c r="E617" s="307"/>
      <c r="F617" s="306" t="s">
        <v>88</v>
      </c>
      <c r="G617" s="219">
        <v>360</v>
      </c>
      <c r="H617" s="219"/>
      <c r="I617" s="219">
        <v>360</v>
      </c>
      <c r="J617" s="219">
        <f t="shared" si="101"/>
        <v>18</v>
      </c>
      <c r="K617" s="219">
        <f t="shared" si="102"/>
        <v>378</v>
      </c>
      <c r="L617" s="220" t="s">
        <v>1046</v>
      </c>
    </row>
    <row r="618" spans="2:12" ht="17.25" customHeight="1" x14ac:dyDescent="0.25">
      <c r="B618" s="308" t="s">
        <v>94</v>
      </c>
      <c r="C618" s="215" t="s">
        <v>1434</v>
      </c>
      <c r="D618" s="216">
        <v>45565</v>
      </c>
      <c r="E618" s="309">
        <v>100399495900003</v>
      </c>
      <c r="F618" s="306" t="s">
        <v>1460</v>
      </c>
      <c r="G618" s="219">
        <v>1596</v>
      </c>
      <c r="H618" s="219"/>
      <c r="I618" s="219">
        <v>1596</v>
      </c>
      <c r="J618" s="219">
        <f t="shared" ref="J618:J672" si="103">G618*5%</f>
        <v>79.800000000000011</v>
      </c>
      <c r="K618" s="219">
        <f t="shared" ref="K618:K672" si="104">G618+J618</f>
        <v>1675.8</v>
      </c>
      <c r="L618" s="220" t="s">
        <v>9</v>
      </c>
    </row>
    <row r="619" spans="2:12" ht="17.25" customHeight="1" x14ac:dyDescent="0.25">
      <c r="B619" s="308" t="s">
        <v>664</v>
      </c>
      <c r="C619" s="215" t="s">
        <v>1435</v>
      </c>
      <c r="D619" s="216">
        <v>45565</v>
      </c>
      <c r="E619" s="309">
        <v>100048520900003</v>
      </c>
      <c r="F619" s="306" t="s">
        <v>1461</v>
      </c>
      <c r="G619" s="219">
        <v>120</v>
      </c>
      <c r="H619" s="219"/>
      <c r="I619" s="219">
        <v>120</v>
      </c>
      <c r="J619" s="219">
        <f t="shared" si="103"/>
        <v>6</v>
      </c>
      <c r="K619" s="219">
        <f t="shared" si="104"/>
        <v>126</v>
      </c>
      <c r="L619" s="220" t="s">
        <v>9</v>
      </c>
    </row>
    <row r="620" spans="2:12" ht="17.25" customHeight="1" x14ac:dyDescent="0.25">
      <c r="B620" s="308" t="s">
        <v>666</v>
      </c>
      <c r="C620" s="215" t="s">
        <v>1436</v>
      </c>
      <c r="D620" s="216">
        <v>45565</v>
      </c>
      <c r="E620" s="309">
        <v>100048520900003</v>
      </c>
      <c r="F620" s="306" t="s">
        <v>1461</v>
      </c>
      <c r="G620" s="219">
        <v>90</v>
      </c>
      <c r="H620" s="219"/>
      <c r="I620" s="219">
        <v>90</v>
      </c>
      <c r="J620" s="219">
        <f t="shared" si="103"/>
        <v>4.5</v>
      </c>
      <c r="K620" s="219">
        <f t="shared" si="104"/>
        <v>94.5</v>
      </c>
      <c r="L620" s="220" t="s">
        <v>9</v>
      </c>
    </row>
    <row r="621" spans="2:12" ht="17.25" customHeight="1" x14ac:dyDescent="0.25">
      <c r="B621" s="298" t="s">
        <v>1462</v>
      </c>
      <c r="C621" s="215" t="s">
        <v>1437</v>
      </c>
      <c r="D621" s="216">
        <v>45536</v>
      </c>
      <c r="E621" s="307"/>
      <c r="F621" s="306" t="s">
        <v>1463</v>
      </c>
      <c r="G621" s="219">
        <v>8050</v>
      </c>
      <c r="H621" s="219"/>
      <c r="I621" s="219">
        <v>8050</v>
      </c>
      <c r="J621" s="219">
        <f t="shared" si="103"/>
        <v>402.5</v>
      </c>
      <c r="K621" s="219">
        <f t="shared" si="104"/>
        <v>8452.5</v>
      </c>
      <c r="L621" s="220" t="s">
        <v>9</v>
      </c>
    </row>
    <row r="622" spans="2:12" ht="17.25" customHeight="1" x14ac:dyDescent="0.25">
      <c r="B622" s="308" t="s">
        <v>94</v>
      </c>
      <c r="C622" s="215" t="s">
        <v>1438</v>
      </c>
      <c r="D622" s="216">
        <v>45565</v>
      </c>
      <c r="E622" s="309">
        <v>100399495900003</v>
      </c>
      <c r="F622" s="306" t="s">
        <v>1464</v>
      </c>
      <c r="G622" s="219">
        <v>285</v>
      </c>
      <c r="H622" s="219"/>
      <c r="I622" s="219">
        <v>285</v>
      </c>
      <c r="J622" s="219">
        <f t="shared" si="103"/>
        <v>14.25</v>
      </c>
      <c r="K622" s="219">
        <f t="shared" si="104"/>
        <v>299.25</v>
      </c>
      <c r="L622" s="220" t="s">
        <v>9</v>
      </c>
    </row>
    <row r="623" spans="2:12" ht="17.25" customHeight="1" x14ac:dyDescent="0.25">
      <c r="B623" s="298" t="s">
        <v>94</v>
      </c>
      <c r="C623" s="215" t="s">
        <v>1439</v>
      </c>
      <c r="D623" s="216">
        <v>45565</v>
      </c>
      <c r="E623" s="309">
        <v>100399495900003</v>
      </c>
      <c r="F623" s="306" t="s">
        <v>95</v>
      </c>
      <c r="G623" s="219">
        <v>235</v>
      </c>
      <c r="H623" s="219"/>
      <c r="I623" s="219">
        <v>235</v>
      </c>
      <c r="J623" s="219">
        <f t="shared" si="103"/>
        <v>11.75</v>
      </c>
      <c r="K623" s="219">
        <f t="shared" si="104"/>
        <v>246.75</v>
      </c>
      <c r="L623" s="220" t="s">
        <v>9</v>
      </c>
    </row>
    <row r="624" spans="2:12" ht="17.25" customHeight="1" x14ac:dyDescent="0.25">
      <c r="B624" s="308" t="s">
        <v>122</v>
      </c>
      <c r="C624" s="215" t="s">
        <v>1440</v>
      </c>
      <c r="D624" s="216">
        <v>45565</v>
      </c>
      <c r="E624" s="307"/>
      <c r="F624" s="306" t="s">
        <v>1465</v>
      </c>
      <c r="G624" s="219">
        <v>8300</v>
      </c>
      <c r="H624" s="219"/>
      <c r="I624" s="219">
        <v>8300</v>
      </c>
      <c r="J624" s="219">
        <f t="shared" si="103"/>
        <v>415</v>
      </c>
      <c r="K624" s="219">
        <f t="shared" si="104"/>
        <v>8715</v>
      </c>
      <c r="L624" s="220" t="s">
        <v>9</v>
      </c>
    </row>
    <row r="625" spans="2:12" ht="17.25" customHeight="1" x14ac:dyDescent="0.25">
      <c r="B625" s="308" t="s">
        <v>102</v>
      </c>
      <c r="C625" s="73" t="s">
        <v>1441</v>
      </c>
      <c r="D625" s="216">
        <v>45587</v>
      </c>
      <c r="E625" s="309">
        <v>100593105800003</v>
      </c>
      <c r="F625" s="306" t="s">
        <v>1466</v>
      </c>
      <c r="G625" s="219">
        <v>2737.5</v>
      </c>
      <c r="H625" s="219"/>
      <c r="I625" s="219">
        <v>2737.5</v>
      </c>
      <c r="J625" s="219">
        <f t="shared" si="103"/>
        <v>136.875</v>
      </c>
      <c r="K625" s="219">
        <f t="shared" si="104"/>
        <v>2874.375</v>
      </c>
      <c r="L625" s="220" t="s">
        <v>9</v>
      </c>
    </row>
    <row r="626" spans="2:12" ht="17.25" customHeight="1" x14ac:dyDescent="0.25">
      <c r="B626" s="308" t="s">
        <v>142</v>
      </c>
      <c r="C626" s="215" t="s">
        <v>1442</v>
      </c>
      <c r="D626" s="216">
        <v>45565</v>
      </c>
      <c r="E626" s="309">
        <v>100377505100003</v>
      </c>
      <c r="F626" s="306" t="s">
        <v>1483</v>
      </c>
      <c r="G626" s="219">
        <v>13950</v>
      </c>
      <c r="H626" s="219"/>
      <c r="I626" s="219">
        <v>13950</v>
      </c>
      <c r="J626" s="219">
        <f t="shared" si="103"/>
        <v>697.5</v>
      </c>
      <c r="K626" s="219">
        <f t="shared" si="104"/>
        <v>14647.5</v>
      </c>
      <c r="L626" s="220" t="s">
        <v>9</v>
      </c>
    </row>
    <row r="627" spans="2:12" ht="17.25" customHeight="1" x14ac:dyDescent="0.25">
      <c r="B627" s="308" t="s">
        <v>142</v>
      </c>
      <c r="C627" s="317" t="s">
        <v>1505</v>
      </c>
      <c r="D627" s="90"/>
      <c r="E627" s="75"/>
      <c r="F627" s="311" t="s">
        <v>1484</v>
      </c>
      <c r="G627" s="161"/>
      <c r="H627" s="161"/>
      <c r="I627" s="161"/>
      <c r="J627" s="161"/>
      <c r="K627" s="161"/>
      <c r="L627" s="64" t="s">
        <v>9</v>
      </c>
    </row>
    <row r="628" spans="2:12" ht="17.25" customHeight="1" x14ac:dyDescent="0.25">
      <c r="B628" s="308" t="s">
        <v>770</v>
      </c>
      <c r="C628" s="215" t="s">
        <v>1443</v>
      </c>
      <c r="D628" s="216">
        <v>45565</v>
      </c>
      <c r="E628" s="307"/>
      <c r="F628" s="306" t="s">
        <v>1467</v>
      </c>
      <c r="G628" s="219">
        <v>535</v>
      </c>
      <c r="H628" s="219"/>
      <c r="I628" s="219">
        <v>535</v>
      </c>
      <c r="J628" s="219">
        <f t="shared" si="103"/>
        <v>26.75</v>
      </c>
      <c r="K628" s="219">
        <f t="shared" si="104"/>
        <v>561.75</v>
      </c>
      <c r="L628" s="220" t="s">
        <v>9</v>
      </c>
    </row>
    <row r="629" spans="2:12" ht="17.25" customHeight="1" x14ac:dyDescent="0.25">
      <c r="B629" s="308" t="s">
        <v>114</v>
      </c>
      <c r="C629" s="73" t="s">
        <v>1444</v>
      </c>
      <c r="D629" s="216">
        <v>45575</v>
      </c>
      <c r="E629" s="309">
        <v>100235699400003</v>
      </c>
      <c r="F629" s="306" t="s">
        <v>598</v>
      </c>
      <c r="G629" s="219">
        <v>405</v>
      </c>
      <c r="H629" s="219"/>
      <c r="I629" s="219">
        <v>405</v>
      </c>
      <c r="J629" s="219">
        <f t="shared" si="103"/>
        <v>20.25</v>
      </c>
      <c r="K629" s="219">
        <f t="shared" si="104"/>
        <v>425.25</v>
      </c>
      <c r="L629" s="220" t="s">
        <v>9</v>
      </c>
    </row>
    <row r="630" spans="2:12" ht="17.25" customHeight="1" x14ac:dyDescent="0.25">
      <c r="B630" s="308" t="s">
        <v>114</v>
      </c>
      <c r="C630" s="215" t="s">
        <v>1445</v>
      </c>
      <c r="D630" s="216">
        <v>45565</v>
      </c>
      <c r="E630" s="309">
        <v>100235699400003</v>
      </c>
      <c r="F630" s="306" t="s">
        <v>134</v>
      </c>
      <c r="G630" s="219">
        <v>450</v>
      </c>
      <c r="H630" s="219"/>
      <c r="I630" s="219">
        <v>450</v>
      </c>
      <c r="J630" s="219">
        <f t="shared" si="103"/>
        <v>22.5</v>
      </c>
      <c r="K630" s="219">
        <f t="shared" si="104"/>
        <v>472.5</v>
      </c>
      <c r="L630" s="220" t="s">
        <v>9</v>
      </c>
    </row>
    <row r="631" spans="2:12" ht="17.25" customHeight="1" x14ac:dyDescent="0.25">
      <c r="B631" s="308" t="s">
        <v>102</v>
      </c>
      <c r="C631" s="215" t="s">
        <v>1446</v>
      </c>
      <c r="D631" s="216">
        <v>45565</v>
      </c>
      <c r="E631" s="309">
        <v>100593105800003</v>
      </c>
      <c r="F631" s="306" t="s">
        <v>1468</v>
      </c>
      <c r="G631" s="219">
        <v>97050.05</v>
      </c>
      <c r="H631" s="219"/>
      <c r="I631" s="219">
        <v>97050.05</v>
      </c>
      <c r="J631" s="219">
        <f t="shared" si="103"/>
        <v>4852.5025000000005</v>
      </c>
      <c r="K631" s="219">
        <f t="shared" si="104"/>
        <v>101902.55250000001</v>
      </c>
      <c r="L631" s="220" t="s">
        <v>9</v>
      </c>
    </row>
    <row r="632" spans="2:12" ht="17.25" customHeight="1" x14ac:dyDescent="0.25">
      <c r="B632" s="310" t="s">
        <v>102</v>
      </c>
      <c r="C632" s="317" t="s">
        <v>1506</v>
      </c>
      <c r="D632" s="90"/>
      <c r="E632" s="75"/>
      <c r="F632" s="311" t="s">
        <v>1469</v>
      </c>
      <c r="G632" s="161"/>
      <c r="H632" s="161"/>
      <c r="I632" s="161"/>
      <c r="J632" s="161"/>
      <c r="K632" s="161"/>
      <c r="L632" s="64" t="s">
        <v>9</v>
      </c>
    </row>
    <row r="633" spans="2:12" ht="17.25" customHeight="1" x14ac:dyDescent="0.25">
      <c r="B633" s="308" t="s">
        <v>102</v>
      </c>
      <c r="C633" s="73" t="s">
        <v>1447</v>
      </c>
      <c r="D633" s="216">
        <v>45576</v>
      </c>
      <c r="E633" s="309">
        <v>100593105800003</v>
      </c>
      <c r="F633" s="306" t="s">
        <v>826</v>
      </c>
      <c r="G633" s="219">
        <v>80</v>
      </c>
      <c r="H633" s="219"/>
      <c r="I633" s="219">
        <v>80</v>
      </c>
      <c r="J633" s="219">
        <f t="shared" si="103"/>
        <v>4</v>
      </c>
      <c r="K633" s="219">
        <f t="shared" si="104"/>
        <v>84</v>
      </c>
      <c r="L633" s="220" t="s">
        <v>9</v>
      </c>
    </row>
    <row r="634" spans="2:12" ht="17.25" customHeight="1" x14ac:dyDescent="0.25">
      <c r="B634" s="308" t="s">
        <v>102</v>
      </c>
      <c r="C634" s="215" t="s">
        <v>1448</v>
      </c>
      <c r="D634" s="216">
        <v>45565</v>
      </c>
      <c r="E634" s="309">
        <v>100593105800003</v>
      </c>
      <c r="F634" s="306" t="s">
        <v>826</v>
      </c>
      <c r="G634" s="219">
        <v>80</v>
      </c>
      <c r="H634" s="219"/>
      <c r="I634" s="219">
        <v>80</v>
      </c>
      <c r="J634" s="219">
        <f t="shared" si="103"/>
        <v>4</v>
      </c>
      <c r="K634" s="219">
        <f t="shared" si="104"/>
        <v>84</v>
      </c>
      <c r="L634" s="220" t="s">
        <v>1526</v>
      </c>
    </row>
    <row r="635" spans="2:12" ht="17.25" customHeight="1" x14ac:dyDescent="0.25">
      <c r="B635" s="308" t="s">
        <v>94</v>
      </c>
      <c r="C635" s="215" t="s">
        <v>1470</v>
      </c>
      <c r="D635" s="216">
        <v>45566</v>
      </c>
      <c r="E635" s="72">
        <v>100399495900003</v>
      </c>
      <c r="F635" s="218" t="s">
        <v>1477</v>
      </c>
      <c r="G635" s="219">
        <v>520</v>
      </c>
      <c r="H635" s="219"/>
      <c r="I635" s="219">
        <v>520</v>
      </c>
      <c r="J635" s="219">
        <f t="shared" si="103"/>
        <v>26</v>
      </c>
      <c r="K635" s="219">
        <f t="shared" si="104"/>
        <v>546</v>
      </c>
      <c r="L635" s="220" t="s">
        <v>9</v>
      </c>
    </row>
    <row r="636" spans="2:12" ht="17.25" customHeight="1" x14ac:dyDescent="0.25">
      <c r="B636" s="298" t="s">
        <v>1478</v>
      </c>
      <c r="C636" s="215" t="s">
        <v>1471</v>
      </c>
      <c r="D636" s="216">
        <v>45566</v>
      </c>
      <c r="E636" s="309">
        <v>100282822400003</v>
      </c>
      <c r="F636" s="218" t="s">
        <v>1479</v>
      </c>
      <c r="G636" s="219">
        <v>472</v>
      </c>
      <c r="H636" s="219"/>
      <c r="I636" s="219">
        <v>472</v>
      </c>
      <c r="J636" s="219">
        <f t="shared" si="103"/>
        <v>23.6</v>
      </c>
      <c r="K636" s="219">
        <f t="shared" si="104"/>
        <v>495.6</v>
      </c>
      <c r="L636" s="220" t="s">
        <v>9</v>
      </c>
    </row>
    <row r="637" spans="2:12" ht="17.25" customHeight="1" x14ac:dyDescent="0.25">
      <c r="B637" s="308" t="s">
        <v>29</v>
      </c>
      <c r="C637" s="215" t="s">
        <v>1472</v>
      </c>
      <c r="D637" s="216">
        <v>45568</v>
      </c>
      <c r="E637" s="309">
        <v>100430750800003</v>
      </c>
      <c r="F637" s="218" t="s">
        <v>1480</v>
      </c>
      <c r="G637" s="219">
        <v>432</v>
      </c>
      <c r="H637" s="219"/>
      <c r="I637" s="219">
        <v>432</v>
      </c>
      <c r="J637" s="219">
        <f t="shared" si="103"/>
        <v>21.6</v>
      </c>
      <c r="K637" s="219">
        <f t="shared" si="104"/>
        <v>453.6</v>
      </c>
      <c r="L637" s="220" t="s">
        <v>9</v>
      </c>
    </row>
    <row r="638" spans="2:12" ht="17.25" customHeight="1" x14ac:dyDescent="0.25">
      <c r="B638" s="298" t="s">
        <v>29</v>
      </c>
      <c r="C638" s="215" t="s">
        <v>1473</v>
      </c>
      <c r="D638" s="216">
        <v>45568</v>
      </c>
      <c r="E638" s="309">
        <v>100430750800003</v>
      </c>
      <c r="F638" s="218" t="s">
        <v>901</v>
      </c>
      <c r="G638" s="219">
        <v>325</v>
      </c>
      <c r="H638" s="219"/>
      <c r="I638" s="219">
        <v>325</v>
      </c>
      <c r="J638" s="219">
        <f t="shared" si="103"/>
        <v>16.25</v>
      </c>
      <c r="K638" s="219">
        <f t="shared" si="104"/>
        <v>341.25</v>
      </c>
      <c r="L638" s="220" t="s">
        <v>9</v>
      </c>
    </row>
    <row r="639" spans="2:12" ht="17.25" customHeight="1" x14ac:dyDescent="0.25">
      <c r="B639" s="308" t="s">
        <v>75</v>
      </c>
      <c r="C639" s="215" t="s">
        <v>1474</v>
      </c>
      <c r="D639" s="216">
        <v>45572</v>
      </c>
      <c r="E639" s="309">
        <v>100540543400003</v>
      </c>
      <c r="F639" s="218" t="s">
        <v>77</v>
      </c>
      <c r="G639" s="219">
        <v>517</v>
      </c>
      <c r="H639" s="219"/>
      <c r="I639" s="219">
        <v>517</v>
      </c>
      <c r="J639" s="219">
        <f t="shared" si="103"/>
        <v>25.85</v>
      </c>
      <c r="K639" s="219">
        <f t="shared" si="104"/>
        <v>542.85</v>
      </c>
      <c r="L639" s="220" t="s">
        <v>9</v>
      </c>
    </row>
    <row r="640" spans="2:12" ht="17.25" customHeight="1" x14ac:dyDescent="0.25">
      <c r="B640" s="298" t="s">
        <v>86</v>
      </c>
      <c r="C640" s="215" t="s">
        <v>1475</v>
      </c>
      <c r="D640" s="216">
        <v>45570</v>
      </c>
      <c r="E640" s="300">
        <v>100482284500003</v>
      </c>
      <c r="F640" s="218" t="s">
        <v>901</v>
      </c>
      <c r="G640" s="219">
        <v>325</v>
      </c>
      <c r="H640" s="219"/>
      <c r="I640" s="219">
        <v>325</v>
      </c>
      <c r="J640" s="219">
        <f t="shared" si="103"/>
        <v>16.25</v>
      </c>
      <c r="K640" s="219">
        <f t="shared" si="104"/>
        <v>341.25</v>
      </c>
      <c r="L640" s="220" t="s">
        <v>9</v>
      </c>
    </row>
    <row r="641" spans="2:12" ht="17.25" customHeight="1" x14ac:dyDescent="0.25">
      <c r="B641" s="298" t="s">
        <v>114</v>
      </c>
      <c r="C641" s="215" t="s">
        <v>1476</v>
      </c>
      <c r="D641" s="216">
        <v>45572</v>
      </c>
      <c r="E641" s="300">
        <v>100235699400003</v>
      </c>
      <c r="F641" s="218" t="s">
        <v>1481</v>
      </c>
      <c r="G641" s="219">
        <v>120</v>
      </c>
      <c r="H641" s="219"/>
      <c r="I641" s="219">
        <v>120</v>
      </c>
      <c r="J641" s="219">
        <f t="shared" si="103"/>
        <v>6</v>
      </c>
      <c r="K641" s="219">
        <f t="shared" si="104"/>
        <v>126</v>
      </c>
      <c r="L641" s="220" t="s">
        <v>9</v>
      </c>
    </row>
    <row r="642" spans="2:12" ht="17.25" customHeight="1" x14ac:dyDescent="0.25">
      <c r="B642" s="9" t="s">
        <v>29</v>
      </c>
      <c r="C642" s="215" t="s">
        <v>1482</v>
      </c>
      <c r="D642" s="216">
        <v>45569</v>
      </c>
      <c r="E642" s="72">
        <v>100430750800003</v>
      </c>
      <c r="F642" s="218" t="s">
        <v>901</v>
      </c>
      <c r="G642" s="219">
        <v>325</v>
      </c>
      <c r="H642" s="219"/>
      <c r="I642" s="219">
        <v>325</v>
      </c>
      <c r="J642" s="219">
        <f t="shared" si="103"/>
        <v>16.25</v>
      </c>
      <c r="K642" s="219">
        <f t="shared" si="104"/>
        <v>341.25</v>
      </c>
      <c r="L642" s="220" t="s">
        <v>9</v>
      </c>
    </row>
    <row r="643" spans="2:12" ht="17.25" customHeight="1" x14ac:dyDescent="0.25">
      <c r="B643" s="308" t="s">
        <v>102</v>
      </c>
      <c r="C643" s="73" t="s">
        <v>1485</v>
      </c>
      <c r="D643" s="216">
        <v>45573</v>
      </c>
      <c r="E643" s="72">
        <v>100593105800003</v>
      </c>
      <c r="F643" s="218" t="s">
        <v>1486</v>
      </c>
      <c r="G643" s="219">
        <v>3900</v>
      </c>
      <c r="H643" s="219"/>
      <c r="I643" s="219">
        <v>3900</v>
      </c>
      <c r="J643" s="219">
        <f t="shared" si="103"/>
        <v>195</v>
      </c>
      <c r="K643" s="219">
        <f t="shared" si="104"/>
        <v>4095</v>
      </c>
      <c r="L643" s="220" t="s">
        <v>9</v>
      </c>
    </row>
    <row r="644" spans="2:12" ht="17.25" customHeight="1" x14ac:dyDescent="0.25">
      <c r="B644" s="308" t="s">
        <v>1377</v>
      </c>
      <c r="C644" s="215" t="s">
        <v>1487</v>
      </c>
      <c r="D644" s="216">
        <v>45570</v>
      </c>
      <c r="E644" s="309">
        <v>100290916400003</v>
      </c>
      <c r="F644" s="218" t="s">
        <v>138</v>
      </c>
      <c r="G644" s="219">
        <v>4200</v>
      </c>
      <c r="H644" s="219"/>
      <c r="I644" s="219">
        <v>4200</v>
      </c>
      <c r="J644" s="219">
        <f t="shared" si="103"/>
        <v>210</v>
      </c>
      <c r="K644" s="219">
        <f t="shared" si="104"/>
        <v>4410</v>
      </c>
      <c r="L644" s="220" t="s">
        <v>9</v>
      </c>
    </row>
    <row r="645" spans="2:12" ht="17.25" customHeight="1" x14ac:dyDescent="0.25">
      <c r="B645" s="308" t="s">
        <v>10</v>
      </c>
      <c r="C645" s="215" t="s">
        <v>1488</v>
      </c>
      <c r="D645" s="216">
        <v>45570</v>
      </c>
      <c r="E645" s="309">
        <v>100542487200003</v>
      </c>
      <c r="F645" s="218" t="s">
        <v>1489</v>
      </c>
      <c r="G645" s="219">
        <v>1045</v>
      </c>
      <c r="H645" s="219"/>
      <c r="I645" s="219">
        <v>1045</v>
      </c>
      <c r="J645" s="219">
        <f t="shared" si="103"/>
        <v>52.25</v>
      </c>
      <c r="K645" s="219">
        <f t="shared" si="104"/>
        <v>1097.25</v>
      </c>
      <c r="L645" s="220" t="s">
        <v>9</v>
      </c>
    </row>
    <row r="646" spans="2:12" ht="17.25" customHeight="1" x14ac:dyDescent="0.25">
      <c r="B646" s="308" t="s">
        <v>10</v>
      </c>
      <c r="C646" s="215" t="s">
        <v>1490</v>
      </c>
      <c r="D646" s="216">
        <v>45570</v>
      </c>
      <c r="E646" s="309">
        <v>100542487200003</v>
      </c>
      <c r="F646" s="218" t="s">
        <v>1498</v>
      </c>
      <c r="G646" s="219">
        <v>2935</v>
      </c>
      <c r="H646" s="219"/>
      <c r="I646" s="219">
        <v>2935</v>
      </c>
      <c r="J646" s="219">
        <f t="shared" si="103"/>
        <v>146.75</v>
      </c>
      <c r="K646" s="219">
        <f t="shared" si="104"/>
        <v>3081.75</v>
      </c>
      <c r="L646" s="220" t="s">
        <v>9</v>
      </c>
    </row>
    <row r="647" spans="2:12" ht="17.25" customHeight="1" x14ac:dyDescent="0.25">
      <c r="B647" s="312" t="s">
        <v>122</v>
      </c>
      <c r="C647" s="215" t="s">
        <v>1491</v>
      </c>
      <c r="D647" s="216">
        <v>45570</v>
      </c>
      <c r="E647" s="309"/>
      <c r="F647" s="218" t="s">
        <v>1499</v>
      </c>
      <c r="G647" s="219">
        <v>2945</v>
      </c>
      <c r="H647" s="219"/>
      <c r="I647" s="219">
        <v>2945</v>
      </c>
      <c r="J647" s="219">
        <f t="shared" si="103"/>
        <v>147.25</v>
      </c>
      <c r="K647" s="219">
        <f t="shared" si="104"/>
        <v>3092.25</v>
      </c>
      <c r="L647" s="220" t="s">
        <v>9</v>
      </c>
    </row>
    <row r="648" spans="2:12" ht="17.25" customHeight="1" x14ac:dyDescent="0.25">
      <c r="B648" s="312" t="s">
        <v>292</v>
      </c>
      <c r="C648" s="215" t="s">
        <v>1492</v>
      </c>
      <c r="D648" s="216">
        <v>45570</v>
      </c>
      <c r="E648" s="309"/>
      <c r="F648" s="218" t="s">
        <v>1500</v>
      </c>
      <c r="G648" s="219">
        <v>875</v>
      </c>
      <c r="H648" s="219"/>
      <c r="I648" s="219">
        <v>875</v>
      </c>
      <c r="J648" s="219">
        <f t="shared" si="103"/>
        <v>43.75</v>
      </c>
      <c r="K648" s="219">
        <f t="shared" si="104"/>
        <v>918.75</v>
      </c>
      <c r="L648" s="220" t="s">
        <v>9</v>
      </c>
    </row>
    <row r="649" spans="2:12" ht="17.25" customHeight="1" x14ac:dyDescent="0.25">
      <c r="B649" s="308" t="s">
        <v>10</v>
      </c>
      <c r="C649" s="215" t="s">
        <v>1493</v>
      </c>
      <c r="D649" s="216">
        <v>45574</v>
      </c>
      <c r="E649" s="309">
        <v>100542487200003</v>
      </c>
      <c r="F649" s="218" t="s">
        <v>1501</v>
      </c>
      <c r="G649" s="219">
        <v>1250</v>
      </c>
      <c r="H649" s="219"/>
      <c r="I649" s="219">
        <v>1250</v>
      </c>
      <c r="J649" s="219">
        <f t="shared" si="103"/>
        <v>62.5</v>
      </c>
      <c r="K649" s="219">
        <f t="shared" si="104"/>
        <v>1312.5</v>
      </c>
      <c r="L649" s="220" t="s">
        <v>9</v>
      </c>
    </row>
    <row r="650" spans="2:12" ht="17.25" customHeight="1" x14ac:dyDescent="0.25">
      <c r="B650" s="308" t="s">
        <v>10</v>
      </c>
      <c r="C650" s="215" t="s">
        <v>1494</v>
      </c>
      <c r="D650" s="216">
        <v>45572</v>
      </c>
      <c r="E650" s="309">
        <v>100542487200003</v>
      </c>
      <c r="F650" s="218" t="s">
        <v>1502</v>
      </c>
      <c r="G650" s="219">
        <v>319</v>
      </c>
      <c r="H650" s="219"/>
      <c r="I650" s="219">
        <v>319</v>
      </c>
      <c r="J650" s="219">
        <f t="shared" si="103"/>
        <v>15.950000000000001</v>
      </c>
      <c r="K650" s="219">
        <f t="shared" si="104"/>
        <v>334.95</v>
      </c>
      <c r="L650" s="220" t="s">
        <v>9</v>
      </c>
    </row>
    <row r="651" spans="2:12" ht="17.25" customHeight="1" x14ac:dyDescent="0.25">
      <c r="B651" s="312" t="s">
        <v>29</v>
      </c>
      <c r="C651" s="215" t="s">
        <v>1495</v>
      </c>
      <c r="D651" s="216">
        <v>45572</v>
      </c>
      <c r="E651" s="309">
        <v>100430750800003</v>
      </c>
      <c r="F651" s="218" t="s">
        <v>901</v>
      </c>
      <c r="G651" s="219">
        <v>325</v>
      </c>
      <c r="H651" s="219"/>
      <c r="I651" s="219">
        <v>325</v>
      </c>
      <c r="J651" s="219">
        <f t="shared" si="103"/>
        <v>16.25</v>
      </c>
      <c r="K651" s="219">
        <f t="shared" si="104"/>
        <v>341.25</v>
      </c>
      <c r="L651" s="220" t="s">
        <v>9</v>
      </c>
    </row>
    <row r="652" spans="2:12" ht="17.25" customHeight="1" x14ac:dyDescent="0.25">
      <c r="B652" s="312" t="s">
        <v>29</v>
      </c>
      <c r="C652" s="215" t="s">
        <v>1496</v>
      </c>
      <c r="D652" s="216">
        <v>45572</v>
      </c>
      <c r="E652" s="309">
        <v>100430750800003</v>
      </c>
      <c r="F652" s="218" t="s">
        <v>1503</v>
      </c>
      <c r="G652" s="219">
        <v>3192</v>
      </c>
      <c r="H652" s="219"/>
      <c r="I652" s="219">
        <v>3192</v>
      </c>
      <c r="J652" s="219">
        <f t="shared" si="103"/>
        <v>159.60000000000002</v>
      </c>
      <c r="K652" s="219">
        <f t="shared" si="104"/>
        <v>3351.6</v>
      </c>
      <c r="L652" s="220" t="s">
        <v>9</v>
      </c>
    </row>
    <row r="653" spans="2:12" ht="17.25" customHeight="1" x14ac:dyDescent="0.25">
      <c r="B653" s="312" t="s">
        <v>524</v>
      </c>
      <c r="C653" s="215" t="s">
        <v>1497</v>
      </c>
      <c r="D653" s="216">
        <v>45573</v>
      </c>
      <c r="E653" s="309">
        <v>104146932900003</v>
      </c>
      <c r="F653" s="218" t="s">
        <v>1504</v>
      </c>
      <c r="G653" s="219">
        <v>371</v>
      </c>
      <c r="H653" s="219"/>
      <c r="I653" s="219">
        <v>371</v>
      </c>
      <c r="J653" s="219">
        <f t="shared" si="103"/>
        <v>18.55</v>
      </c>
      <c r="K653" s="219">
        <f t="shared" si="104"/>
        <v>389.55</v>
      </c>
      <c r="L653" s="220" t="s">
        <v>9</v>
      </c>
    </row>
    <row r="654" spans="2:12" ht="17.25" customHeight="1" x14ac:dyDescent="0.25">
      <c r="B654" s="308" t="s">
        <v>142</v>
      </c>
      <c r="C654" s="215" t="s">
        <v>1507</v>
      </c>
      <c r="D654" s="216">
        <v>45576</v>
      </c>
      <c r="E654" s="72">
        <v>100377505100003</v>
      </c>
      <c r="F654" s="218" t="s">
        <v>1182</v>
      </c>
      <c r="G654" s="219">
        <v>7297.5</v>
      </c>
      <c r="H654" s="219"/>
      <c r="I654" s="219">
        <v>7297.5</v>
      </c>
      <c r="J654" s="219">
        <f t="shared" si="103"/>
        <v>364.875</v>
      </c>
      <c r="K654" s="219">
        <f t="shared" si="104"/>
        <v>7662.375</v>
      </c>
      <c r="L654" s="220" t="s">
        <v>9</v>
      </c>
    </row>
    <row r="655" spans="2:12" ht="17.25" customHeight="1" x14ac:dyDescent="0.25">
      <c r="B655" s="9" t="s">
        <v>86</v>
      </c>
      <c r="C655" s="215" t="s">
        <v>1508</v>
      </c>
      <c r="D655" s="216">
        <v>45575</v>
      </c>
      <c r="E655" s="72">
        <v>100482284500003</v>
      </c>
      <c r="F655" s="218" t="s">
        <v>95</v>
      </c>
      <c r="G655" s="219">
        <v>325</v>
      </c>
      <c r="H655" s="219"/>
      <c r="I655" s="219">
        <v>325</v>
      </c>
      <c r="J655" s="219">
        <f t="shared" si="103"/>
        <v>16.25</v>
      </c>
      <c r="K655" s="219">
        <f t="shared" si="104"/>
        <v>341.25</v>
      </c>
      <c r="L655" s="220" t="s">
        <v>9</v>
      </c>
    </row>
    <row r="656" spans="2:12" ht="17.25" customHeight="1" x14ac:dyDescent="0.25">
      <c r="B656" s="9" t="s">
        <v>114</v>
      </c>
      <c r="C656" s="215" t="s">
        <v>1509</v>
      </c>
      <c r="D656" s="216">
        <v>45574</v>
      </c>
      <c r="E656" s="221">
        <v>100235699400003</v>
      </c>
      <c r="F656" s="218" t="s">
        <v>598</v>
      </c>
      <c r="G656" s="219">
        <v>405</v>
      </c>
      <c r="H656" s="219"/>
      <c r="I656" s="219">
        <v>405</v>
      </c>
      <c r="J656" s="219">
        <f t="shared" si="103"/>
        <v>20.25</v>
      </c>
      <c r="K656" s="219">
        <f t="shared" si="104"/>
        <v>425.25</v>
      </c>
      <c r="L656" s="220" t="s">
        <v>9</v>
      </c>
    </row>
    <row r="657" spans="2:12" ht="17.25" customHeight="1" x14ac:dyDescent="0.25">
      <c r="B657" s="9" t="s">
        <v>346</v>
      </c>
      <c r="C657" s="215" t="s">
        <v>1510</v>
      </c>
      <c r="D657" s="216">
        <v>45574</v>
      </c>
      <c r="E657" s="72">
        <v>100359923800003</v>
      </c>
      <c r="F657" s="218" t="s">
        <v>73</v>
      </c>
      <c r="G657" s="219">
        <v>288</v>
      </c>
      <c r="H657" s="219"/>
      <c r="I657" s="219">
        <v>288</v>
      </c>
      <c r="J657" s="219">
        <f t="shared" si="103"/>
        <v>14.4</v>
      </c>
      <c r="K657" s="219">
        <f t="shared" si="104"/>
        <v>302.39999999999998</v>
      </c>
      <c r="L657" s="220" t="s">
        <v>9</v>
      </c>
    </row>
    <row r="658" spans="2:12" ht="17.25" customHeight="1" x14ac:dyDescent="0.25">
      <c r="B658" s="9" t="s">
        <v>29</v>
      </c>
      <c r="C658" s="215" t="s">
        <v>1511</v>
      </c>
      <c r="D658" s="216">
        <v>45575</v>
      </c>
      <c r="E658" s="72">
        <v>100430750800003</v>
      </c>
      <c r="F658" s="218" t="s">
        <v>1419</v>
      </c>
      <c r="G658" s="219">
        <v>296</v>
      </c>
      <c r="H658" s="219"/>
      <c r="I658" s="219">
        <v>296</v>
      </c>
      <c r="J658" s="219">
        <f t="shared" si="103"/>
        <v>14.8</v>
      </c>
      <c r="K658" s="219">
        <f t="shared" si="104"/>
        <v>310.8</v>
      </c>
      <c r="L658" s="220" t="s">
        <v>9</v>
      </c>
    </row>
    <row r="659" spans="2:12" ht="17.25" customHeight="1" x14ac:dyDescent="0.25">
      <c r="B659" s="298" t="s">
        <v>1512</v>
      </c>
      <c r="C659" s="215" t="s">
        <v>1513</v>
      </c>
      <c r="D659" s="216">
        <v>45575</v>
      </c>
      <c r="E659" s="300">
        <v>100517740500003</v>
      </c>
      <c r="F659" s="218" t="s">
        <v>1514</v>
      </c>
      <c r="G659" s="219">
        <v>835</v>
      </c>
      <c r="H659" s="219"/>
      <c r="I659" s="219">
        <v>835</v>
      </c>
      <c r="J659" s="219">
        <f t="shared" si="103"/>
        <v>41.75</v>
      </c>
      <c r="K659" s="219">
        <f t="shared" si="104"/>
        <v>876.75</v>
      </c>
      <c r="L659" s="220" t="s">
        <v>1046</v>
      </c>
    </row>
    <row r="660" spans="2:12" ht="17.25" customHeight="1" x14ac:dyDescent="0.25">
      <c r="B660" s="298" t="s">
        <v>122</v>
      </c>
      <c r="C660" s="215" t="s">
        <v>1515</v>
      </c>
      <c r="D660" s="216">
        <v>45576</v>
      </c>
      <c r="E660" s="307"/>
      <c r="F660" s="218" t="s">
        <v>1516</v>
      </c>
      <c r="G660" s="219">
        <v>465</v>
      </c>
      <c r="H660" s="219"/>
      <c r="I660" s="219">
        <v>465</v>
      </c>
      <c r="J660" s="219">
        <f t="shared" si="103"/>
        <v>23.25</v>
      </c>
      <c r="K660" s="219">
        <f t="shared" si="104"/>
        <v>488.25</v>
      </c>
      <c r="L660" s="220" t="s">
        <v>9</v>
      </c>
    </row>
    <row r="661" spans="2:12" ht="17.25" customHeight="1" x14ac:dyDescent="0.25">
      <c r="B661" s="298" t="s">
        <v>81</v>
      </c>
      <c r="C661" s="215" t="s">
        <v>1517</v>
      </c>
      <c r="D661" s="216">
        <v>45576</v>
      </c>
      <c r="E661" s="300">
        <v>100056728700003</v>
      </c>
      <c r="F661" s="218" t="s">
        <v>901</v>
      </c>
      <c r="G661" s="219">
        <v>365</v>
      </c>
      <c r="H661" s="219"/>
      <c r="I661" s="219">
        <v>365</v>
      </c>
      <c r="J661" s="219">
        <f t="shared" si="103"/>
        <v>18.25</v>
      </c>
      <c r="K661" s="219">
        <f t="shared" si="104"/>
        <v>383.25</v>
      </c>
      <c r="L661" s="220" t="s">
        <v>9</v>
      </c>
    </row>
    <row r="662" spans="2:12" ht="17.25" customHeight="1" x14ac:dyDescent="0.25">
      <c r="B662" s="9" t="s">
        <v>10</v>
      </c>
      <c r="C662" s="215" t="s">
        <v>1518</v>
      </c>
      <c r="D662" s="216">
        <v>45579</v>
      </c>
      <c r="E662" s="300">
        <v>100542487200003</v>
      </c>
      <c r="F662" s="218" t="s">
        <v>1519</v>
      </c>
      <c r="G662" s="219">
        <v>825</v>
      </c>
      <c r="H662" s="219"/>
      <c r="I662" s="219">
        <v>825</v>
      </c>
      <c r="J662" s="219">
        <f t="shared" si="103"/>
        <v>41.25</v>
      </c>
      <c r="K662" s="219">
        <f t="shared" si="104"/>
        <v>866.25</v>
      </c>
      <c r="L662" s="220" t="s">
        <v>9</v>
      </c>
    </row>
    <row r="663" spans="2:12" ht="17.25" customHeight="1" x14ac:dyDescent="0.25">
      <c r="B663" s="298" t="s">
        <v>1521</v>
      </c>
      <c r="C663" s="215" t="s">
        <v>1520</v>
      </c>
      <c r="D663" s="216">
        <v>45582</v>
      </c>
      <c r="E663" s="300">
        <v>100220994600003</v>
      </c>
      <c r="F663" s="218" t="s">
        <v>1522</v>
      </c>
      <c r="G663" s="219">
        <v>1725</v>
      </c>
      <c r="H663" s="219"/>
      <c r="I663" s="219">
        <v>1725</v>
      </c>
      <c r="J663" s="219">
        <f t="shared" si="103"/>
        <v>86.25</v>
      </c>
      <c r="K663" s="219">
        <f t="shared" si="104"/>
        <v>1811.25</v>
      </c>
      <c r="L663" s="220" t="s">
        <v>25</v>
      </c>
    </row>
    <row r="664" spans="2:12" ht="17.25" customHeight="1" x14ac:dyDescent="0.25">
      <c r="B664" s="298" t="s">
        <v>1523</v>
      </c>
      <c r="C664" s="215" t="s">
        <v>1524</v>
      </c>
      <c r="D664" s="216">
        <v>45583</v>
      </c>
      <c r="E664" s="72">
        <v>100595462100003</v>
      </c>
      <c r="F664" s="218" t="s">
        <v>1525</v>
      </c>
      <c r="G664" s="219">
        <v>4290</v>
      </c>
      <c r="H664" s="219"/>
      <c r="I664" s="219">
        <v>4290</v>
      </c>
      <c r="J664" s="219">
        <f t="shared" si="103"/>
        <v>214.5</v>
      </c>
      <c r="K664" s="219">
        <f t="shared" si="104"/>
        <v>4504.5</v>
      </c>
      <c r="L664" s="220" t="s">
        <v>25</v>
      </c>
    </row>
    <row r="665" spans="2:12" ht="17.25" customHeight="1" x14ac:dyDescent="0.25">
      <c r="B665" s="298" t="s">
        <v>114</v>
      </c>
      <c r="C665" s="215" t="s">
        <v>1527</v>
      </c>
      <c r="D665" s="216">
        <v>45579</v>
      </c>
      <c r="E665" s="72">
        <v>100235699400003</v>
      </c>
      <c r="F665" s="218" t="s">
        <v>1528</v>
      </c>
      <c r="G665" s="219">
        <v>405</v>
      </c>
      <c r="H665" s="219"/>
      <c r="I665" s="219">
        <v>405</v>
      </c>
      <c r="J665" s="219">
        <f t="shared" si="103"/>
        <v>20.25</v>
      </c>
      <c r="K665" s="219">
        <f t="shared" si="104"/>
        <v>425.25</v>
      </c>
      <c r="L665" s="220" t="s">
        <v>9</v>
      </c>
    </row>
    <row r="666" spans="2:12" ht="17.25" customHeight="1" x14ac:dyDescent="0.25">
      <c r="B666" s="9" t="s">
        <v>297</v>
      </c>
      <c r="C666" s="215" t="s">
        <v>1529</v>
      </c>
      <c r="D666" s="216">
        <v>45583</v>
      </c>
      <c r="E666" s="72">
        <v>104061690400003</v>
      </c>
      <c r="F666" s="218" t="s">
        <v>1530</v>
      </c>
      <c r="G666" s="219">
        <v>2475</v>
      </c>
      <c r="H666" s="219"/>
      <c r="I666" s="219">
        <v>2475</v>
      </c>
      <c r="J666" s="219">
        <f t="shared" si="103"/>
        <v>123.75</v>
      </c>
      <c r="K666" s="219">
        <f t="shared" si="104"/>
        <v>2598.75</v>
      </c>
      <c r="L666" s="220" t="s">
        <v>9</v>
      </c>
    </row>
    <row r="667" spans="2:12" ht="17.25" customHeight="1" x14ac:dyDescent="0.25">
      <c r="B667" s="9" t="s">
        <v>443</v>
      </c>
      <c r="C667" s="215" t="s">
        <v>1531</v>
      </c>
      <c r="D667" s="216">
        <v>45579</v>
      </c>
      <c r="E667" s="307"/>
      <c r="F667" s="218" t="s">
        <v>1536</v>
      </c>
      <c r="G667" s="219">
        <v>437.5</v>
      </c>
      <c r="H667" s="219"/>
      <c r="I667" s="219">
        <v>437.5</v>
      </c>
      <c r="J667" s="219">
        <f t="shared" si="103"/>
        <v>21.875</v>
      </c>
      <c r="K667" s="219">
        <f t="shared" si="104"/>
        <v>459.375</v>
      </c>
      <c r="L667" s="220" t="s">
        <v>9</v>
      </c>
    </row>
    <row r="668" spans="2:12" ht="17.25" customHeight="1" x14ac:dyDescent="0.25">
      <c r="B668" s="9" t="s">
        <v>1124</v>
      </c>
      <c r="C668" s="215" t="s">
        <v>1532</v>
      </c>
      <c r="D668" s="216">
        <v>45579</v>
      </c>
      <c r="E668" s="307"/>
      <c r="F668" s="218" t="s">
        <v>1537</v>
      </c>
      <c r="G668" s="219">
        <v>1054.5</v>
      </c>
      <c r="H668" s="219"/>
      <c r="I668" s="219">
        <v>1054.5</v>
      </c>
      <c r="J668" s="219">
        <f t="shared" si="103"/>
        <v>52.725000000000001</v>
      </c>
      <c r="K668" s="219">
        <f t="shared" si="104"/>
        <v>1107.2249999999999</v>
      </c>
      <c r="L668" s="220" t="s">
        <v>9</v>
      </c>
    </row>
    <row r="669" spans="2:12" ht="17.25" customHeight="1" x14ac:dyDescent="0.25">
      <c r="B669" s="298" t="s">
        <v>1538</v>
      </c>
      <c r="C669" s="313" t="s">
        <v>1533</v>
      </c>
      <c r="D669" s="216">
        <v>45579</v>
      </c>
      <c r="E669" s="307"/>
      <c r="F669" s="218" t="s">
        <v>1539</v>
      </c>
      <c r="G669" s="219">
        <v>750</v>
      </c>
      <c r="H669" s="219"/>
      <c r="I669" s="219">
        <v>750</v>
      </c>
      <c r="J669" s="219">
        <f t="shared" si="103"/>
        <v>37.5</v>
      </c>
      <c r="K669" s="219">
        <f t="shared" si="104"/>
        <v>787.5</v>
      </c>
      <c r="L669" s="220" t="s">
        <v>9</v>
      </c>
    </row>
    <row r="670" spans="2:12" ht="17.25" customHeight="1" x14ac:dyDescent="0.25">
      <c r="B670" s="298" t="s">
        <v>1540</v>
      </c>
      <c r="C670" s="215" t="s">
        <v>1534</v>
      </c>
      <c r="D670" s="216">
        <v>45579</v>
      </c>
      <c r="E670" s="300">
        <v>100564876900003</v>
      </c>
      <c r="F670" s="218" t="s">
        <v>1541</v>
      </c>
      <c r="G670" s="219">
        <v>650</v>
      </c>
      <c r="H670" s="219"/>
      <c r="I670" s="219">
        <v>650</v>
      </c>
      <c r="J670" s="219">
        <f t="shared" si="103"/>
        <v>32.5</v>
      </c>
      <c r="K670" s="219">
        <f t="shared" si="104"/>
        <v>682.5</v>
      </c>
      <c r="L670" s="220" t="s">
        <v>9</v>
      </c>
    </row>
    <row r="671" spans="2:12" ht="17.25" customHeight="1" x14ac:dyDescent="0.25">
      <c r="B671" s="9" t="s">
        <v>29</v>
      </c>
      <c r="C671" s="215" t="s">
        <v>1535</v>
      </c>
      <c r="D671" s="216">
        <v>45580</v>
      </c>
      <c r="E671" s="72">
        <v>100430750800003</v>
      </c>
      <c r="F671" s="218" t="s">
        <v>1542</v>
      </c>
      <c r="G671" s="219">
        <v>325</v>
      </c>
      <c r="H671" s="219"/>
      <c r="I671" s="219">
        <v>325</v>
      </c>
      <c r="J671" s="219">
        <f t="shared" si="103"/>
        <v>16.25</v>
      </c>
      <c r="K671" s="219">
        <f t="shared" si="104"/>
        <v>341.25</v>
      </c>
      <c r="L671" s="220" t="s">
        <v>9</v>
      </c>
    </row>
    <row r="672" spans="2:12" ht="17.25" customHeight="1" x14ac:dyDescent="0.25">
      <c r="B672" s="9" t="s">
        <v>102</v>
      </c>
      <c r="C672" s="314" t="s">
        <v>1543</v>
      </c>
      <c r="D672" s="216">
        <v>45581</v>
      </c>
      <c r="E672" s="72">
        <v>100593105800003</v>
      </c>
      <c r="F672" s="218" t="s">
        <v>1544</v>
      </c>
      <c r="G672" s="219">
        <v>2100</v>
      </c>
      <c r="H672" s="219"/>
      <c r="I672" s="219">
        <v>2100</v>
      </c>
      <c r="J672" s="219">
        <f t="shared" si="103"/>
        <v>105</v>
      </c>
      <c r="K672" s="219">
        <f t="shared" si="104"/>
        <v>2205</v>
      </c>
      <c r="L672" s="220" t="s">
        <v>9</v>
      </c>
    </row>
    <row r="673" spans="2:12" ht="17.25" customHeight="1" x14ac:dyDescent="0.25">
      <c r="B673" s="9" t="s">
        <v>10</v>
      </c>
      <c r="C673" s="317" t="s">
        <v>1545</v>
      </c>
      <c r="D673" s="90"/>
      <c r="E673" s="245"/>
      <c r="F673" s="315" t="s">
        <v>1546</v>
      </c>
      <c r="G673" s="161"/>
      <c r="H673" s="161"/>
      <c r="I673" s="161"/>
      <c r="J673" s="161">
        <f t="shared" ref="J673:J737" si="105">G673*5%</f>
        <v>0</v>
      </c>
      <c r="K673" s="161">
        <f t="shared" ref="K673:K737" si="106">G673+J673</f>
        <v>0</v>
      </c>
      <c r="L673" s="64"/>
    </row>
    <row r="674" spans="2:12" ht="17.25" customHeight="1" x14ac:dyDescent="0.25">
      <c r="B674" s="9" t="s">
        <v>10</v>
      </c>
      <c r="C674" s="314" t="s">
        <v>1548</v>
      </c>
      <c r="D674" s="247">
        <v>45581</v>
      </c>
      <c r="E674" s="316">
        <v>100542487200003</v>
      </c>
      <c r="F674" s="249" t="s">
        <v>1547</v>
      </c>
      <c r="G674" s="250">
        <v>3387.5</v>
      </c>
      <c r="H674" s="250"/>
      <c r="I674" s="250">
        <v>3387.5</v>
      </c>
      <c r="J674" s="250">
        <f t="shared" si="105"/>
        <v>169.375</v>
      </c>
      <c r="K674" s="250">
        <f t="shared" si="106"/>
        <v>3556.875</v>
      </c>
      <c r="L674" s="251" t="s">
        <v>9</v>
      </c>
    </row>
    <row r="675" spans="2:12" ht="17.25" customHeight="1" x14ac:dyDescent="0.25">
      <c r="B675" s="9" t="s">
        <v>386</v>
      </c>
      <c r="C675" s="314" t="s">
        <v>1549</v>
      </c>
      <c r="D675" s="216">
        <v>45582</v>
      </c>
      <c r="E675" s="221">
        <v>100246622300003</v>
      </c>
      <c r="F675" s="218" t="s">
        <v>1550</v>
      </c>
      <c r="G675" s="219">
        <v>1785</v>
      </c>
      <c r="H675" s="219"/>
      <c r="I675" s="219">
        <v>1785</v>
      </c>
      <c r="J675" s="219">
        <f t="shared" si="105"/>
        <v>89.25</v>
      </c>
      <c r="K675" s="219">
        <f t="shared" si="106"/>
        <v>1874.25</v>
      </c>
      <c r="L675" s="220" t="s">
        <v>25</v>
      </c>
    </row>
    <row r="676" spans="2:12" ht="17.25" customHeight="1" x14ac:dyDescent="0.25">
      <c r="B676" s="9" t="s">
        <v>739</v>
      </c>
      <c r="C676" s="314" t="s">
        <v>1551</v>
      </c>
      <c r="D676" s="216">
        <v>45656</v>
      </c>
      <c r="E676" s="307"/>
      <c r="F676" s="218" t="s">
        <v>1552</v>
      </c>
      <c r="G676" s="219">
        <v>11540</v>
      </c>
      <c r="H676" s="219"/>
      <c r="I676" s="219">
        <v>11540</v>
      </c>
      <c r="J676" s="219">
        <f t="shared" si="105"/>
        <v>577</v>
      </c>
      <c r="K676" s="219">
        <f t="shared" si="106"/>
        <v>12117</v>
      </c>
      <c r="L676" s="220" t="s">
        <v>1553</v>
      </c>
    </row>
    <row r="677" spans="2:12" ht="17.25" customHeight="1" x14ac:dyDescent="0.25">
      <c r="B677" s="298" t="s">
        <v>1554</v>
      </c>
      <c r="C677" s="314" t="s">
        <v>1555</v>
      </c>
      <c r="D677" s="216">
        <v>45583</v>
      </c>
      <c r="E677" s="300">
        <v>100599136700003</v>
      </c>
      <c r="F677" s="218" t="s">
        <v>1556</v>
      </c>
      <c r="G677" s="219">
        <v>550</v>
      </c>
      <c r="H677" s="219"/>
      <c r="I677" s="219">
        <v>550</v>
      </c>
      <c r="J677" s="219">
        <f t="shared" si="105"/>
        <v>27.5</v>
      </c>
      <c r="K677" s="219">
        <f t="shared" si="106"/>
        <v>577.5</v>
      </c>
      <c r="L677" s="220" t="s">
        <v>9</v>
      </c>
    </row>
    <row r="678" spans="2:12" ht="17.25" customHeight="1" x14ac:dyDescent="0.25">
      <c r="B678" s="9" t="s">
        <v>1006</v>
      </c>
      <c r="C678" s="314" t="s">
        <v>1557</v>
      </c>
      <c r="D678" s="216">
        <v>45583</v>
      </c>
      <c r="E678" s="307"/>
      <c r="F678" s="218" t="s">
        <v>1558</v>
      </c>
      <c r="G678" s="219">
        <v>125</v>
      </c>
      <c r="H678" s="219"/>
      <c r="I678" s="219">
        <v>125</v>
      </c>
      <c r="J678" s="219">
        <f t="shared" si="105"/>
        <v>6.25</v>
      </c>
      <c r="K678" s="219">
        <f t="shared" si="106"/>
        <v>131.25</v>
      </c>
      <c r="L678" s="220" t="s">
        <v>1046</v>
      </c>
    </row>
    <row r="679" spans="2:12" ht="17.25" customHeight="1" x14ac:dyDescent="0.25">
      <c r="B679" s="298" t="s">
        <v>1560</v>
      </c>
      <c r="C679" s="314" t="s">
        <v>1559</v>
      </c>
      <c r="D679" s="216">
        <v>45587</v>
      </c>
      <c r="E679" s="307"/>
      <c r="F679" s="218" t="s">
        <v>1561</v>
      </c>
      <c r="G679" s="219">
        <v>2557.5</v>
      </c>
      <c r="H679" s="219"/>
      <c r="I679" s="219">
        <v>2557.5</v>
      </c>
      <c r="J679" s="219">
        <f t="shared" si="105"/>
        <v>127.875</v>
      </c>
      <c r="K679" s="219">
        <f t="shared" si="106"/>
        <v>2685.375</v>
      </c>
      <c r="L679" s="220" t="s">
        <v>9</v>
      </c>
    </row>
    <row r="680" spans="2:12" ht="17.25" customHeight="1" x14ac:dyDescent="0.25">
      <c r="B680" s="298" t="s">
        <v>750</v>
      </c>
      <c r="C680" s="314" t="s">
        <v>1562</v>
      </c>
      <c r="D680" s="216">
        <v>45583</v>
      </c>
      <c r="E680" s="307"/>
      <c r="F680" s="218" t="s">
        <v>1566</v>
      </c>
      <c r="G680" s="219">
        <v>3987.5</v>
      </c>
      <c r="H680" s="219"/>
      <c r="I680" s="219">
        <v>3987.5</v>
      </c>
      <c r="J680" s="250">
        <f t="shared" si="105"/>
        <v>199.375</v>
      </c>
      <c r="K680" s="250">
        <f t="shared" si="106"/>
        <v>4186.875</v>
      </c>
      <c r="L680" s="220" t="s">
        <v>9</v>
      </c>
    </row>
    <row r="681" spans="2:12" ht="17.25" customHeight="1" x14ac:dyDescent="0.25">
      <c r="B681" s="298" t="s">
        <v>1563</v>
      </c>
      <c r="C681" s="314" t="s">
        <v>1565</v>
      </c>
      <c r="D681" s="216">
        <v>45588</v>
      </c>
      <c r="E681" s="300">
        <v>100268958400003</v>
      </c>
      <c r="F681" s="218" t="s">
        <v>1564</v>
      </c>
      <c r="G681" s="219">
        <v>2760</v>
      </c>
      <c r="H681" s="219"/>
      <c r="I681" s="219">
        <v>2760</v>
      </c>
      <c r="J681" s="219">
        <f t="shared" si="105"/>
        <v>138</v>
      </c>
      <c r="K681" s="219">
        <f t="shared" si="106"/>
        <v>2898</v>
      </c>
      <c r="L681" s="220" t="s">
        <v>1553</v>
      </c>
    </row>
    <row r="682" spans="2:12" ht="17.25" customHeight="1" x14ac:dyDescent="0.25">
      <c r="B682" s="9" t="s">
        <v>142</v>
      </c>
      <c r="C682" s="314" t="s">
        <v>1567</v>
      </c>
      <c r="D682" s="216">
        <v>45588</v>
      </c>
      <c r="E682" s="72">
        <v>100536270000003</v>
      </c>
      <c r="F682" s="218" t="s">
        <v>1568</v>
      </c>
      <c r="G682" s="219">
        <v>3875</v>
      </c>
      <c r="H682" s="219"/>
      <c r="I682" s="219">
        <v>3875</v>
      </c>
      <c r="J682" s="219">
        <f t="shared" si="105"/>
        <v>193.75</v>
      </c>
      <c r="K682" s="219">
        <f t="shared" si="106"/>
        <v>4068.75</v>
      </c>
      <c r="L682" s="220" t="s">
        <v>9</v>
      </c>
    </row>
    <row r="683" spans="2:12" ht="17.25" customHeight="1" x14ac:dyDescent="0.25">
      <c r="B683" s="9" t="s">
        <v>102</v>
      </c>
      <c r="C683" s="314" t="s">
        <v>1569</v>
      </c>
      <c r="D683" s="216">
        <v>45587</v>
      </c>
      <c r="E683" s="72">
        <v>100593105800003</v>
      </c>
      <c r="F683" s="218" t="s">
        <v>1570</v>
      </c>
      <c r="G683" s="219">
        <v>930.5</v>
      </c>
      <c r="H683" s="219"/>
      <c r="I683" s="219">
        <v>930.5</v>
      </c>
      <c r="J683" s="219">
        <f t="shared" si="105"/>
        <v>46.525000000000006</v>
      </c>
      <c r="K683" s="219">
        <f t="shared" si="106"/>
        <v>977.02499999999998</v>
      </c>
      <c r="L683" s="220" t="s">
        <v>9</v>
      </c>
    </row>
    <row r="684" spans="2:12" ht="17.25" customHeight="1" x14ac:dyDescent="0.25">
      <c r="B684" s="298" t="s">
        <v>1572</v>
      </c>
      <c r="C684" s="314" t="s">
        <v>1571</v>
      </c>
      <c r="D684" s="216">
        <v>45588</v>
      </c>
      <c r="E684" s="300">
        <v>100245036700003</v>
      </c>
      <c r="F684" s="218" t="s">
        <v>1573</v>
      </c>
      <c r="G684" s="219">
        <v>150</v>
      </c>
      <c r="H684" s="219"/>
      <c r="I684" s="219">
        <v>150</v>
      </c>
      <c r="J684" s="219">
        <f t="shared" si="105"/>
        <v>7.5</v>
      </c>
      <c r="K684" s="219">
        <f t="shared" si="106"/>
        <v>157.5</v>
      </c>
      <c r="L684" s="220" t="s">
        <v>9</v>
      </c>
    </row>
    <row r="685" spans="2:12" ht="17.25" customHeight="1" x14ac:dyDescent="0.25">
      <c r="B685" s="298" t="s">
        <v>86</v>
      </c>
      <c r="C685" s="314" t="s">
        <v>1574</v>
      </c>
      <c r="D685" s="216">
        <v>45588</v>
      </c>
      <c r="E685" s="72">
        <v>100482284500003</v>
      </c>
      <c r="F685" s="218" t="s">
        <v>95</v>
      </c>
      <c r="G685" s="219">
        <v>975</v>
      </c>
      <c r="H685" s="219"/>
      <c r="I685" s="219">
        <v>975</v>
      </c>
      <c r="J685" s="219">
        <f t="shared" si="105"/>
        <v>48.75</v>
      </c>
      <c r="K685" s="219">
        <f t="shared" si="106"/>
        <v>1023.75</v>
      </c>
      <c r="L685" s="220" t="s">
        <v>9</v>
      </c>
    </row>
    <row r="686" spans="2:12" ht="17.25" customHeight="1" x14ac:dyDescent="0.25">
      <c r="B686" s="9" t="s">
        <v>229</v>
      </c>
      <c r="C686" s="314" t="s">
        <v>1575</v>
      </c>
      <c r="D686" s="216">
        <v>45588</v>
      </c>
      <c r="E686" s="307"/>
      <c r="F686" s="218" t="s">
        <v>1576</v>
      </c>
      <c r="G686" s="219">
        <v>1100</v>
      </c>
      <c r="H686" s="219"/>
      <c r="I686" s="219">
        <v>1100</v>
      </c>
      <c r="J686" s="219">
        <f t="shared" si="105"/>
        <v>55</v>
      </c>
      <c r="K686" s="219">
        <f t="shared" si="106"/>
        <v>1155</v>
      </c>
      <c r="L686" s="220" t="s">
        <v>9</v>
      </c>
    </row>
    <row r="687" spans="2:12" ht="17.25" customHeight="1" x14ac:dyDescent="0.25">
      <c r="B687" s="308" t="s">
        <v>43</v>
      </c>
      <c r="C687" s="314" t="s">
        <v>1577</v>
      </c>
      <c r="D687" s="216">
        <v>45589</v>
      </c>
      <c r="E687" s="309">
        <v>104166051300003</v>
      </c>
      <c r="F687" s="218" t="s">
        <v>1135</v>
      </c>
      <c r="G687" s="219">
        <v>550</v>
      </c>
      <c r="H687" s="219"/>
      <c r="I687" s="219">
        <v>550</v>
      </c>
      <c r="J687" s="219">
        <f t="shared" si="105"/>
        <v>27.5</v>
      </c>
      <c r="K687" s="219">
        <f t="shared" si="106"/>
        <v>577.5</v>
      </c>
      <c r="L687" s="220" t="s">
        <v>9</v>
      </c>
    </row>
    <row r="688" spans="2:12" ht="17.25" customHeight="1" x14ac:dyDescent="0.25">
      <c r="B688" s="9" t="s">
        <v>238</v>
      </c>
      <c r="C688" s="314" t="s">
        <v>1578</v>
      </c>
      <c r="D688" s="216">
        <v>45589</v>
      </c>
      <c r="E688" s="72">
        <v>100435244700003</v>
      </c>
      <c r="F688" s="218" t="s">
        <v>1579</v>
      </c>
      <c r="G688" s="219">
        <v>1670</v>
      </c>
      <c r="H688" s="219"/>
      <c r="I688" s="219">
        <v>1670</v>
      </c>
      <c r="J688" s="219">
        <f t="shared" si="105"/>
        <v>83.5</v>
      </c>
      <c r="K688" s="219">
        <f t="shared" si="106"/>
        <v>1753.5</v>
      </c>
      <c r="L688" s="220" t="s">
        <v>1553</v>
      </c>
    </row>
    <row r="689" spans="1:12" ht="17.25" customHeight="1" x14ac:dyDescent="0.25">
      <c r="B689" s="298" t="s">
        <v>1580</v>
      </c>
      <c r="C689" s="314" t="s">
        <v>1581</v>
      </c>
      <c r="D689" s="216">
        <v>45593</v>
      </c>
      <c r="E689" s="300">
        <v>100363376300003</v>
      </c>
      <c r="F689" s="218" t="s">
        <v>1582</v>
      </c>
      <c r="G689" s="219">
        <v>710</v>
      </c>
      <c r="H689" s="219"/>
      <c r="I689" s="219">
        <v>710</v>
      </c>
      <c r="J689" s="219">
        <f t="shared" si="105"/>
        <v>35.5</v>
      </c>
      <c r="K689" s="219">
        <f t="shared" si="106"/>
        <v>745.5</v>
      </c>
      <c r="L689" s="220" t="s">
        <v>9</v>
      </c>
    </row>
    <row r="690" spans="1:12" ht="17.25" customHeight="1" x14ac:dyDescent="0.25">
      <c r="B690" s="9" t="s">
        <v>319</v>
      </c>
      <c r="C690" s="314" t="s">
        <v>1583</v>
      </c>
      <c r="D690" s="216">
        <v>45590</v>
      </c>
      <c r="E690" s="72">
        <v>100060213400003</v>
      </c>
      <c r="F690" s="218" t="s">
        <v>1584</v>
      </c>
      <c r="G690" s="219">
        <v>570</v>
      </c>
      <c r="H690" s="219"/>
      <c r="I690" s="219">
        <v>570</v>
      </c>
      <c r="J690" s="219">
        <f t="shared" si="105"/>
        <v>28.5</v>
      </c>
      <c r="K690" s="219">
        <f t="shared" si="106"/>
        <v>598.5</v>
      </c>
      <c r="L690" s="220" t="s">
        <v>9</v>
      </c>
    </row>
    <row r="691" spans="1:12" ht="17.25" customHeight="1" x14ac:dyDescent="0.25">
      <c r="B691" s="298" t="s">
        <v>1586</v>
      </c>
      <c r="C691" s="314" t="s">
        <v>1585</v>
      </c>
      <c r="D691" s="216">
        <v>45590</v>
      </c>
      <c r="E691" s="309"/>
      <c r="F691" s="218" t="s">
        <v>91</v>
      </c>
      <c r="G691" s="219">
        <v>304</v>
      </c>
      <c r="H691" s="219"/>
      <c r="I691" s="219">
        <v>304</v>
      </c>
      <c r="J691" s="219">
        <f t="shared" si="105"/>
        <v>15.200000000000001</v>
      </c>
      <c r="K691" s="219">
        <f t="shared" si="106"/>
        <v>319.2</v>
      </c>
      <c r="L691" s="220" t="s">
        <v>9</v>
      </c>
    </row>
    <row r="692" spans="1:12" ht="17.25" customHeight="1" x14ac:dyDescent="0.25">
      <c r="B692" s="308" t="s">
        <v>43</v>
      </c>
      <c r="C692" s="314" t="s">
        <v>1587</v>
      </c>
      <c r="D692" s="216">
        <v>45594</v>
      </c>
      <c r="E692" s="72">
        <v>104166051300003</v>
      </c>
      <c r="F692" s="218" t="s">
        <v>1601</v>
      </c>
      <c r="G692" s="219">
        <v>1932.5</v>
      </c>
      <c r="H692" s="219"/>
      <c r="I692" s="219">
        <v>1932.5</v>
      </c>
      <c r="J692" s="219">
        <f t="shared" si="105"/>
        <v>96.625</v>
      </c>
      <c r="K692" s="219">
        <f t="shared" si="106"/>
        <v>2029.125</v>
      </c>
      <c r="L692" s="220" t="s">
        <v>9</v>
      </c>
    </row>
    <row r="693" spans="1:12" ht="17.25" customHeight="1" x14ac:dyDescent="0.25">
      <c r="B693" s="298" t="s">
        <v>1523</v>
      </c>
      <c r="C693" s="314" t="s">
        <v>1588</v>
      </c>
      <c r="D693" s="216">
        <v>45603</v>
      </c>
      <c r="E693" s="72">
        <v>100595462100003</v>
      </c>
      <c r="F693" s="218" t="s">
        <v>1182</v>
      </c>
      <c r="G693" s="219">
        <v>1052.7</v>
      </c>
      <c r="H693" s="219"/>
      <c r="I693" s="219">
        <v>1052.7</v>
      </c>
      <c r="J693" s="219">
        <f t="shared" si="105"/>
        <v>52.635000000000005</v>
      </c>
      <c r="K693" s="219">
        <f t="shared" si="106"/>
        <v>1105.335</v>
      </c>
      <c r="L693" s="220" t="s">
        <v>1553</v>
      </c>
    </row>
    <row r="694" spans="1:12" ht="17.25" customHeight="1" x14ac:dyDescent="0.25">
      <c r="B694" s="298" t="s">
        <v>1602</v>
      </c>
      <c r="C694" s="314" t="s">
        <v>1589</v>
      </c>
      <c r="D694" s="216">
        <v>45593</v>
      </c>
      <c r="E694" s="300">
        <v>100371972900003</v>
      </c>
      <c r="F694" s="218" t="s">
        <v>1603</v>
      </c>
      <c r="G694" s="219">
        <v>3187.5</v>
      </c>
      <c r="H694" s="219"/>
      <c r="I694" s="219">
        <v>3187.5</v>
      </c>
      <c r="J694" s="219">
        <f t="shared" si="105"/>
        <v>159.375</v>
      </c>
      <c r="K694" s="219">
        <f t="shared" si="106"/>
        <v>3346.875</v>
      </c>
      <c r="L694" s="220" t="s">
        <v>9</v>
      </c>
    </row>
    <row r="695" spans="1:12" ht="17.25" customHeight="1" x14ac:dyDescent="0.25">
      <c r="B695" s="298" t="s">
        <v>1604</v>
      </c>
      <c r="C695" s="314" t="s">
        <v>1590</v>
      </c>
      <c r="D695" s="216">
        <v>45593</v>
      </c>
      <c r="E695" s="300">
        <v>100307922300003</v>
      </c>
      <c r="F695" s="249" t="s">
        <v>1605</v>
      </c>
      <c r="G695" s="250">
        <v>335</v>
      </c>
      <c r="H695" s="250"/>
      <c r="I695" s="250">
        <v>335</v>
      </c>
      <c r="J695" s="250">
        <f t="shared" si="105"/>
        <v>16.75</v>
      </c>
      <c r="K695" s="250">
        <f t="shared" si="106"/>
        <v>351.75</v>
      </c>
      <c r="L695" s="251" t="s">
        <v>1553</v>
      </c>
    </row>
    <row r="696" spans="1:12" ht="17.25" customHeight="1" x14ac:dyDescent="0.25">
      <c r="B696" s="298" t="s">
        <v>1606</v>
      </c>
      <c r="C696" s="314" t="s">
        <v>1591</v>
      </c>
      <c r="D696" s="216">
        <v>45594</v>
      </c>
      <c r="E696" s="300">
        <v>100001442100003</v>
      </c>
      <c r="F696" s="218" t="s">
        <v>179</v>
      </c>
      <c r="G696" s="219">
        <v>750</v>
      </c>
      <c r="H696" s="219"/>
      <c r="I696" s="219">
        <v>750</v>
      </c>
      <c r="J696" s="219">
        <f t="shared" si="105"/>
        <v>37.5</v>
      </c>
      <c r="K696" s="219">
        <f t="shared" si="106"/>
        <v>787.5</v>
      </c>
      <c r="L696" s="220" t="s">
        <v>9</v>
      </c>
    </row>
    <row r="697" spans="1:12" ht="17.25" customHeight="1" x14ac:dyDescent="0.25">
      <c r="B697" s="308" t="s">
        <v>904</v>
      </c>
      <c r="C697" s="314" t="s">
        <v>1592</v>
      </c>
      <c r="D697" s="216">
        <v>45593</v>
      </c>
      <c r="E697" s="300">
        <v>100367806500003</v>
      </c>
      <c r="F697" s="218" t="s">
        <v>1607</v>
      </c>
      <c r="G697" s="219">
        <v>2255</v>
      </c>
      <c r="H697" s="219"/>
      <c r="I697" s="219">
        <v>2255</v>
      </c>
      <c r="J697" s="219">
        <f t="shared" si="105"/>
        <v>112.75</v>
      </c>
      <c r="K697" s="219">
        <f t="shared" si="106"/>
        <v>2367.75</v>
      </c>
      <c r="L697" s="220" t="s">
        <v>9</v>
      </c>
    </row>
    <row r="698" spans="1:12" ht="17.25" customHeight="1" x14ac:dyDescent="0.25">
      <c r="B698" s="298" t="s">
        <v>1368</v>
      </c>
      <c r="C698" s="314" t="s">
        <v>1593</v>
      </c>
      <c r="D698" s="216">
        <v>45593</v>
      </c>
      <c r="E698" s="300">
        <v>100290916400003</v>
      </c>
      <c r="F698" s="218" t="s">
        <v>77</v>
      </c>
      <c r="G698" s="219">
        <v>117.5</v>
      </c>
      <c r="H698" s="219"/>
      <c r="I698" s="219">
        <v>117.5</v>
      </c>
      <c r="J698" s="219">
        <f t="shared" si="105"/>
        <v>5.875</v>
      </c>
      <c r="K698" s="219">
        <f t="shared" si="106"/>
        <v>123.375</v>
      </c>
      <c r="L698" s="220" t="s">
        <v>9</v>
      </c>
    </row>
    <row r="699" spans="1:12" ht="17.25" customHeight="1" x14ac:dyDescent="0.25">
      <c r="B699" s="9" t="s">
        <v>1377</v>
      </c>
      <c r="C699" s="314" t="s">
        <v>1594</v>
      </c>
      <c r="D699" s="216">
        <v>45593</v>
      </c>
      <c r="E699" s="72">
        <v>100290916400003</v>
      </c>
      <c r="F699" s="218" t="s">
        <v>77</v>
      </c>
      <c r="G699" s="219">
        <v>117.5</v>
      </c>
      <c r="H699" s="219"/>
      <c r="I699" s="219">
        <v>117.5</v>
      </c>
      <c r="J699" s="219">
        <f t="shared" si="105"/>
        <v>5.875</v>
      </c>
      <c r="K699" s="219">
        <f t="shared" si="106"/>
        <v>123.375</v>
      </c>
      <c r="L699" s="220" t="s">
        <v>9</v>
      </c>
    </row>
    <row r="700" spans="1:12" ht="17.25" customHeight="1" x14ac:dyDescent="0.25">
      <c r="B700" s="9" t="s">
        <v>1377</v>
      </c>
      <c r="C700" s="314" t="s">
        <v>1595</v>
      </c>
      <c r="D700" s="216">
        <v>45593</v>
      </c>
      <c r="E700" s="72">
        <v>100290916400003</v>
      </c>
      <c r="F700" s="218" t="s">
        <v>77</v>
      </c>
      <c r="G700" s="219">
        <v>117.5</v>
      </c>
      <c r="H700" s="219"/>
      <c r="I700" s="219">
        <v>117.5</v>
      </c>
      <c r="J700" s="219">
        <f t="shared" ref="J700" si="107">G700*5%</f>
        <v>5.875</v>
      </c>
      <c r="K700" s="219">
        <f t="shared" ref="K700" si="108">G700+J700</f>
        <v>123.375</v>
      </c>
      <c r="L700" s="220" t="s">
        <v>9</v>
      </c>
    </row>
    <row r="701" spans="1:12" ht="17.25" customHeight="1" x14ac:dyDescent="0.25">
      <c r="A701" t="s">
        <v>1027</v>
      </c>
      <c r="B701" s="298" t="s">
        <v>1608</v>
      </c>
      <c r="C701" s="314" t="s">
        <v>1596</v>
      </c>
      <c r="D701" s="216">
        <v>45596</v>
      </c>
      <c r="E701" s="72">
        <v>100484375900003</v>
      </c>
      <c r="F701" s="218" t="s">
        <v>1609</v>
      </c>
      <c r="G701" s="219">
        <v>125</v>
      </c>
      <c r="H701" s="219"/>
      <c r="I701" s="219">
        <v>125</v>
      </c>
      <c r="J701" s="219">
        <f t="shared" si="105"/>
        <v>6.25</v>
      </c>
      <c r="K701" s="219">
        <f t="shared" si="106"/>
        <v>131.25</v>
      </c>
      <c r="L701" s="220" t="s">
        <v>9</v>
      </c>
    </row>
    <row r="702" spans="1:12" ht="17.25" customHeight="1" x14ac:dyDescent="0.25">
      <c r="B702" s="9" t="s">
        <v>102</v>
      </c>
      <c r="C702" s="314" t="s">
        <v>1597</v>
      </c>
      <c r="D702" s="216">
        <v>45593</v>
      </c>
      <c r="E702" s="72">
        <v>100593105800003</v>
      </c>
      <c r="F702" s="218" t="s">
        <v>1610</v>
      </c>
      <c r="G702" s="219">
        <v>1560</v>
      </c>
      <c r="H702" s="219"/>
      <c r="I702" s="219">
        <v>1560</v>
      </c>
      <c r="J702" s="219">
        <f t="shared" si="105"/>
        <v>78</v>
      </c>
      <c r="K702" s="219">
        <f t="shared" si="106"/>
        <v>1638</v>
      </c>
      <c r="L702" s="220" t="s">
        <v>9</v>
      </c>
    </row>
    <row r="703" spans="1:12" ht="17.25" customHeight="1" x14ac:dyDescent="0.25">
      <c r="B703" s="9" t="s">
        <v>1335</v>
      </c>
      <c r="C703" s="314" t="s">
        <v>1598</v>
      </c>
      <c r="D703" s="216">
        <v>45600</v>
      </c>
      <c r="E703" s="72">
        <v>104116463100003</v>
      </c>
      <c r="F703" s="218" t="s">
        <v>1611</v>
      </c>
      <c r="G703" s="219">
        <v>925</v>
      </c>
      <c r="H703" s="219"/>
      <c r="I703" s="219">
        <v>925</v>
      </c>
      <c r="J703" s="219">
        <f t="shared" si="105"/>
        <v>46.25</v>
      </c>
      <c r="K703" s="219">
        <f t="shared" si="106"/>
        <v>971.25</v>
      </c>
      <c r="L703" s="220" t="s">
        <v>9</v>
      </c>
    </row>
    <row r="704" spans="1:12" ht="17.25" customHeight="1" x14ac:dyDescent="0.25">
      <c r="B704" s="9" t="s">
        <v>980</v>
      </c>
      <c r="C704" s="314" t="s">
        <v>1599</v>
      </c>
      <c r="D704" s="216">
        <v>45588</v>
      </c>
      <c r="E704" s="72">
        <v>100347786400003</v>
      </c>
      <c r="F704" s="218" t="s">
        <v>1612</v>
      </c>
      <c r="G704" s="219">
        <v>425</v>
      </c>
      <c r="H704" s="219"/>
      <c r="I704" s="219">
        <v>425</v>
      </c>
      <c r="J704" s="219">
        <f t="shared" si="105"/>
        <v>21.25</v>
      </c>
      <c r="K704" s="219">
        <f t="shared" si="106"/>
        <v>446.25</v>
      </c>
      <c r="L704" s="220" t="s">
        <v>9</v>
      </c>
    </row>
    <row r="705" spans="2:12" ht="17.25" customHeight="1" x14ac:dyDescent="0.25">
      <c r="B705" s="298" t="s">
        <v>1613</v>
      </c>
      <c r="C705" s="314" t="s">
        <v>1600</v>
      </c>
      <c r="D705" s="216">
        <v>45594</v>
      </c>
      <c r="E705" s="319"/>
      <c r="F705" s="218" t="s">
        <v>325</v>
      </c>
      <c r="G705" s="219">
        <v>2475</v>
      </c>
      <c r="H705" s="219"/>
      <c r="I705" s="219">
        <v>2475</v>
      </c>
      <c r="J705" s="219">
        <f t="shared" si="105"/>
        <v>123.75</v>
      </c>
      <c r="K705" s="219">
        <f t="shared" si="106"/>
        <v>2598.75</v>
      </c>
      <c r="L705" s="220" t="s">
        <v>9</v>
      </c>
    </row>
    <row r="706" spans="2:12" ht="17.25" customHeight="1" x14ac:dyDescent="0.25">
      <c r="B706" s="298" t="s">
        <v>1614</v>
      </c>
      <c r="C706" s="314" t="s">
        <v>1615</v>
      </c>
      <c r="D706" s="216">
        <v>45595</v>
      </c>
      <c r="E706" s="319"/>
      <c r="F706" s="218" t="s">
        <v>95</v>
      </c>
      <c r="G706" s="219">
        <v>190</v>
      </c>
      <c r="H706" s="219"/>
      <c r="I706" s="219">
        <v>190</v>
      </c>
      <c r="J706" s="219">
        <f t="shared" si="105"/>
        <v>9.5</v>
      </c>
      <c r="K706" s="219">
        <f t="shared" si="106"/>
        <v>199.5</v>
      </c>
      <c r="L706" s="220" t="s">
        <v>9</v>
      </c>
    </row>
    <row r="707" spans="2:12" ht="17.25" customHeight="1" x14ac:dyDescent="0.25">
      <c r="B707" s="298" t="s">
        <v>266</v>
      </c>
      <c r="C707" s="314" t="s">
        <v>1616</v>
      </c>
      <c r="D707" s="216">
        <v>45595</v>
      </c>
      <c r="E707" s="300">
        <v>100277137400003</v>
      </c>
      <c r="F707" s="218" t="s">
        <v>1635</v>
      </c>
      <c r="G707" s="219">
        <v>675</v>
      </c>
      <c r="H707" s="219"/>
      <c r="I707" s="219">
        <v>675</v>
      </c>
      <c r="J707" s="219">
        <f t="shared" si="105"/>
        <v>33.75</v>
      </c>
      <c r="K707" s="219">
        <f t="shared" si="106"/>
        <v>708.75</v>
      </c>
      <c r="L707" s="220" t="s">
        <v>9</v>
      </c>
    </row>
    <row r="708" spans="2:12" ht="17.25" customHeight="1" x14ac:dyDescent="0.25">
      <c r="B708" s="298" t="s">
        <v>122</v>
      </c>
      <c r="C708" s="314" t="s">
        <v>1617</v>
      </c>
      <c r="D708" s="216">
        <v>45595</v>
      </c>
      <c r="E708" s="319"/>
      <c r="F708" s="218" t="s">
        <v>1636</v>
      </c>
      <c r="G708" s="219">
        <v>4972.8</v>
      </c>
      <c r="H708" s="219"/>
      <c r="I708" s="219">
        <v>4972.8</v>
      </c>
      <c r="J708" s="219">
        <f t="shared" si="105"/>
        <v>248.64000000000001</v>
      </c>
      <c r="K708" s="219">
        <f t="shared" si="106"/>
        <v>5221.4400000000005</v>
      </c>
      <c r="L708" s="220" t="s">
        <v>9</v>
      </c>
    </row>
    <row r="709" spans="2:12" ht="17.25" customHeight="1" x14ac:dyDescent="0.25">
      <c r="B709" s="298" t="s">
        <v>29</v>
      </c>
      <c r="C709" s="314" t="s">
        <v>1618</v>
      </c>
      <c r="D709" s="216">
        <v>45596</v>
      </c>
      <c r="E709" s="300">
        <v>100430750800003</v>
      </c>
      <c r="F709" s="218" t="s">
        <v>1637</v>
      </c>
      <c r="G709" s="219">
        <v>325</v>
      </c>
      <c r="H709" s="219"/>
      <c r="I709" s="219">
        <v>325</v>
      </c>
      <c r="J709" s="219">
        <f t="shared" si="105"/>
        <v>16.25</v>
      </c>
      <c r="K709" s="219">
        <f t="shared" si="106"/>
        <v>341.25</v>
      </c>
      <c r="L709" s="220" t="s">
        <v>9</v>
      </c>
    </row>
    <row r="710" spans="2:12" ht="17.25" customHeight="1" x14ac:dyDescent="0.25">
      <c r="B710" s="298" t="s">
        <v>29</v>
      </c>
      <c r="C710" s="314" t="s">
        <v>1619</v>
      </c>
      <c r="D710" s="216">
        <v>45596</v>
      </c>
      <c r="E710" s="300">
        <v>100430750800003</v>
      </c>
      <c r="F710" s="218" t="s">
        <v>1638</v>
      </c>
      <c r="G710" s="219">
        <v>410</v>
      </c>
      <c r="H710" s="219"/>
      <c r="I710" s="219">
        <v>410</v>
      </c>
      <c r="J710" s="219">
        <f t="shared" si="105"/>
        <v>20.5</v>
      </c>
      <c r="K710" s="219">
        <f t="shared" si="106"/>
        <v>430.5</v>
      </c>
      <c r="L710" s="220" t="s">
        <v>9</v>
      </c>
    </row>
    <row r="711" spans="2:12" ht="17.25" customHeight="1" x14ac:dyDescent="0.25">
      <c r="B711" s="298" t="s">
        <v>184</v>
      </c>
      <c r="C711" s="314" t="s">
        <v>1620</v>
      </c>
      <c r="D711" s="216">
        <v>45596</v>
      </c>
      <c r="E711" s="300">
        <v>104020118600003</v>
      </c>
      <c r="F711" s="218" t="s">
        <v>1639</v>
      </c>
      <c r="G711" s="219">
        <v>1747.5</v>
      </c>
      <c r="H711" s="219"/>
      <c r="I711" s="219">
        <v>1747.5</v>
      </c>
      <c r="J711" s="219">
        <f t="shared" si="105"/>
        <v>87.375</v>
      </c>
      <c r="K711" s="219">
        <f t="shared" si="106"/>
        <v>1834.875</v>
      </c>
      <c r="L711" s="220" t="s">
        <v>1046</v>
      </c>
    </row>
    <row r="712" spans="2:12" ht="17.25" customHeight="1" x14ac:dyDescent="0.25">
      <c r="B712" s="298" t="s">
        <v>664</v>
      </c>
      <c r="C712" s="314" t="s">
        <v>1621</v>
      </c>
      <c r="D712" s="216">
        <v>45596</v>
      </c>
      <c r="E712" s="300">
        <v>100048520900003</v>
      </c>
      <c r="F712" s="218" t="s">
        <v>1640</v>
      </c>
      <c r="G712" s="219">
        <v>255</v>
      </c>
      <c r="H712" s="219"/>
      <c r="I712" s="219">
        <v>255</v>
      </c>
      <c r="J712" s="219">
        <f t="shared" si="105"/>
        <v>12.75</v>
      </c>
      <c r="K712" s="219">
        <f t="shared" si="106"/>
        <v>267.75</v>
      </c>
      <c r="L712" s="220" t="s">
        <v>9</v>
      </c>
    </row>
    <row r="713" spans="2:12" ht="17.25" customHeight="1" x14ac:dyDescent="0.25">
      <c r="B713" s="298" t="s">
        <v>122</v>
      </c>
      <c r="C713" s="314" t="s">
        <v>1622</v>
      </c>
      <c r="D713" s="216">
        <v>45596</v>
      </c>
      <c r="E713" s="319"/>
      <c r="F713" s="218" t="s">
        <v>1641</v>
      </c>
      <c r="G713" s="219">
        <v>4173.75</v>
      </c>
      <c r="H713" s="219"/>
      <c r="I713" s="219">
        <v>4173.75</v>
      </c>
      <c r="J713" s="219">
        <f t="shared" si="105"/>
        <v>208.6875</v>
      </c>
      <c r="K713" s="219">
        <f t="shared" si="106"/>
        <v>4382.4375</v>
      </c>
      <c r="L713" s="220" t="s">
        <v>9</v>
      </c>
    </row>
    <row r="714" spans="2:12" ht="17.25" customHeight="1" x14ac:dyDescent="0.25">
      <c r="B714" s="298" t="s">
        <v>666</v>
      </c>
      <c r="C714" s="314" t="s">
        <v>1623</v>
      </c>
      <c r="D714" s="216">
        <v>45596</v>
      </c>
      <c r="E714" s="300">
        <v>100048520900003</v>
      </c>
      <c r="F714" s="218" t="s">
        <v>1640</v>
      </c>
      <c r="G714" s="219">
        <v>105</v>
      </c>
      <c r="H714" s="219"/>
      <c r="I714" s="219">
        <v>105</v>
      </c>
      <c r="J714" s="219">
        <f t="shared" si="105"/>
        <v>5.25</v>
      </c>
      <c r="K714" s="219">
        <f t="shared" si="106"/>
        <v>110.25</v>
      </c>
      <c r="L714" s="220" t="s">
        <v>9</v>
      </c>
    </row>
    <row r="715" spans="2:12" ht="17.25" customHeight="1" x14ac:dyDescent="0.25">
      <c r="B715" s="298" t="s">
        <v>1642</v>
      </c>
      <c r="C715" s="314" t="s">
        <v>1624</v>
      </c>
      <c r="D715" s="216">
        <v>45596</v>
      </c>
      <c r="E715" s="319"/>
      <c r="F715" s="218" t="s">
        <v>91</v>
      </c>
      <c r="G715" s="219">
        <v>762</v>
      </c>
      <c r="H715" s="219"/>
      <c r="I715" s="219">
        <v>762</v>
      </c>
      <c r="J715" s="219">
        <f t="shared" si="105"/>
        <v>38.1</v>
      </c>
      <c r="K715" s="219">
        <f t="shared" si="106"/>
        <v>800.1</v>
      </c>
      <c r="L715" s="220" t="s">
        <v>9</v>
      </c>
    </row>
    <row r="716" spans="2:12" ht="17.25" customHeight="1" x14ac:dyDescent="0.25">
      <c r="B716" s="298" t="s">
        <v>29</v>
      </c>
      <c r="C716" s="314" t="s">
        <v>1625</v>
      </c>
      <c r="D716" s="216">
        <v>45600</v>
      </c>
      <c r="E716" s="300">
        <v>100430750800003</v>
      </c>
      <c r="F716" s="218" t="s">
        <v>1643</v>
      </c>
      <c r="G716" s="219">
        <v>5225</v>
      </c>
      <c r="H716" s="219"/>
      <c r="I716" s="219">
        <v>5225</v>
      </c>
      <c r="J716" s="219">
        <f t="shared" si="105"/>
        <v>261.25</v>
      </c>
      <c r="K716" s="219">
        <f t="shared" si="106"/>
        <v>5486.25</v>
      </c>
      <c r="L716" s="220" t="s">
        <v>9</v>
      </c>
    </row>
    <row r="717" spans="2:12" ht="17.25" customHeight="1" x14ac:dyDescent="0.25">
      <c r="B717" s="298" t="s">
        <v>102</v>
      </c>
      <c r="C717" s="314" t="s">
        <v>1626</v>
      </c>
      <c r="D717" s="216">
        <v>45607</v>
      </c>
      <c r="E717" s="300">
        <v>100593105800003</v>
      </c>
      <c r="F717" s="218" t="s">
        <v>1644</v>
      </c>
      <c r="G717" s="219">
        <v>4500</v>
      </c>
      <c r="H717" s="219"/>
      <c r="I717" s="219">
        <v>4500</v>
      </c>
      <c r="J717" s="219">
        <f t="shared" si="105"/>
        <v>225</v>
      </c>
      <c r="K717" s="219">
        <f t="shared" si="106"/>
        <v>4725</v>
      </c>
      <c r="L717" s="220" t="s">
        <v>9</v>
      </c>
    </row>
    <row r="718" spans="2:12" ht="17.25" customHeight="1" x14ac:dyDescent="0.25">
      <c r="B718" s="298" t="s">
        <v>102</v>
      </c>
      <c r="C718" s="314" t="s">
        <v>1627</v>
      </c>
      <c r="D718" s="216">
        <v>45607</v>
      </c>
      <c r="E718" s="300">
        <v>100593105800003</v>
      </c>
      <c r="F718" s="218" t="s">
        <v>1645</v>
      </c>
      <c r="G718" s="219">
        <v>49</v>
      </c>
      <c r="H718" s="219"/>
      <c r="I718" s="219">
        <v>49</v>
      </c>
      <c r="J718" s="219">
        <f t="shared" si="105"/>
        <v>2.4500000000000002</v>
      </c>
      <c r="K718" s="219">
        <f t="shared" si="106"/>
        <v>51.45</v>
      </c>
      <c r="L718" s="220" t="s">
        <v>9</v>
      </c>
    </row>
    <row r="719" spans="2:12" ht="17.25" customHeight="1" x14ac:dyDescent="0.25">
      <c r="B719" s="298" t="s">
        <v>102</v>
      </c>
      <c r="C719" s="314" t="s">
        <v>1628</v>
      </c>
      <c r="D719" s="216">
        <v>45607</v>
      </c>
      <c r="E719" s="300">
        <v>100593105800003</v>
      </c>
      <c r="F719" s="218" t="s">
        <v>1646</v>
      </c>
      <c r="G719" s="219">
        <v>810</v>
      </c>
      <c r="H719" s="219"/>
      <c r="I719" s="219">
        <v>810</v>
      </c>
      <c r="J719" s="219">
        <f t="shared" si="105"/>
        <v>40.5</v>
      </c>
      <c r="K719" s="219">
        <f t="shared" si="106"/>
        <v>850.5</v>
      </c>
      <c r="L719" s="220" t="s">
        <v>9</v>
      </c>
    </row>
    <row r="720" spans="2:12" ht="17.25" customHeight="1" x14ac:dyDescent="0.25">
      <c r="B720" s="298" t="s">
        <v>102</v>
      </c>
      <c r="C720" s="317" t="s">
        <v>1629</v>
      </c>
      <c r="D720" s="323">
        <v>45596</v>
      </c>
      <c r="E720" s="324"/>
      <c r="F720" s="315" t="s">
        <v>1677</v>
      </c>
      <c r="G720" s="161"/>
      <c r="H720" s="325"/>
      <c r="I720" s="161"/>
      <c r="J720" s="325">
        <f t="shared" si="105"/>
        <v>0</v>
      </c>
      <c r="K720" s="325">
        <f t="shared" si="106"/>
        <v>0</v>
      </c>
      <c r="L720" s="326" t="s">
        <v>9</v>
      </c>
    </row>
    <row r="721" spans="2:12" ht="17.25" customHeight="1" x14ac:dyDescent="0.25">
      <c r="B721" s="298" t="s">
        <v>114</v>
      </c>
      <c r="C721" s="314" t="s">
        <v>1630</v>
      </c>
      <c r="D721" s="216">
        <v>45602</v>
      </c>
      <c r="E721" s="300">
        <v>100235699400003</v>
      </c>
      <c r="F721" s="218" t="s">
        <v>1647</v>
      </c>
      <c r="G721" s="219">
        <v>2250</v>
      </c>
      <c r="H721" s="219"/>
      <c r="I721" s="219">
        <v>2250</v>
      </c>
      <c r="J721" s="219">
        <f t="shared" si="105"/>
        <v>112.5</v>
      </c>
      <c r="K721" s="219">
        <f t="shared" si="106"/>
        <v>2362.5</v>
      </c>
      <c r="L721" s="220" t="s">
        <v>9</v>
      </c>
    </row>
    <row r="722" spans="2:12" ht="17.25" customHeight="1" x14ac:dyDescent="0.25">
      <c r="B722" s="298" t="s">
        <v>114</v>
      </c>
      <c r="C722" s="317" t="s">
        <v>1631</v>
      </c>
      <c r="D722" s="90"/>
      <c r="E722" s="245"/>
      <c r="F722" s="315" t="s">
        <v>1670</v>
      </c>
      <c r="G722" s="161"/>
      <c r="H722" s="161"/>
      <c r="I722" s="161"/>
      <c r="J722" s="161">
        <f t="shared" ref="J722" si="109">G722*5%</f>
        <v>0</v>
      </c>
      <c r="K722" s="161">
        <f t="shared" ref="K722" si="110">G722+J722</f>
        <v>0</v>
      </c>
      <c r="L722" s="64"/>
    </row>
    <row r="723" spans="2:12" ht="17.25" customHeight="1" x14ac:dyDescent="0.25">
      <c r="B723" s="298" t="s">
        <v>1648</v>
      </c>
      <c r="C723" s="317" t="s">
        <v>1632</v>
      </c>
      <c r="D723" s="90"/>
      <c r="E723" s="245"/>
      <c r="F723" s="315" t="s">
        <v>1741</v>
      </c>
      <c r="G723" s="161"/>
      <c r="H723" s="161"/>
      <c r="I723" s="161"/>
      <c r="J723" s="161">
        <f t="shared" ref="J723" si="111">G723*5%</f>
        <v>0</v>
      </c>
      <c r="K723" s="161">
        <f t="shared" ref="K723" si="112">G723+J723</f>
        <v>0</v>
      </c>
      <c r="L723" s="64"/>
    </row>
    <row r="724" spans="2:12" ht="17.25" customHeight="1" x14ac:dyDescent="0.25">
      <c r="B724" s="298" t="s">
        <v>1648</v>
      </c>
      <c r="C724" s="317" t="s">
        <v>1633</v>
      </c>
      <c r="D724" s="90"/>
      <c r="E724" s="245"/>
      <c r="F724" s="315" t="s">
        <v>1741</v>
      </c>
      <c r="G724" s="161"/>
      <c r="H724" s="161"/>
      <c r="I724" s="161"/>
      <c r="J724" s="161">
        <f t="shared" ref="J724" si="113">G724*5%</f>
        <v>0</v>
      </c>
      <c r="K724" s="161">
        <f t="shared" ref="K724" si="114">G724+J724</f>
        <v>0</v>
      </c>
      <c r="L724" s="64"/>
    </row>
    <row r="725" spans="2:12" ht="17.25" customHeight="1" x14ac:dyDescent="0.25">
      <c r="B725" s="298" t="s">
        <v>1648</v>
      </c>
      <c r="C725" s="314" t="s">
        <v>1634</v>
      </c>
      <c r="D725" s="216">
        <v>45611</v>
      </c>
      <c r="E725" s="319"/>
      <c r="F725" s="218" t="s">
        <v>1649</v>
      </c>
      <c r="G725" s="219">
        <v>3035</v>
      </c>
      <c r="H725" s="219"/>
      <c r="I725" s="219">
        <v>3035</v>
      </c>
      <c r="J725" s="219">
        <f t="shared" si="105"/>
        <v>151.75</v>
      </c>
      <c r="K725" s="219">
        <f t="shared" si="106"/>
        <v>3186.75</v>
      </c>
      <c r="L725" s="220" t="s">
        <v>9</v>
      </c>
    </row>
    <row r="726" spans="2:12" ht="17.25" customHeight="1" x14ac:dyDescent="0.25">
      <c r="B726" s="9" t="s">
        <v>980</v>
      </c>
      <c r="C726" s="327" t="s">
        <v>1664</v>
      </c>
      <c r="D726" s="216">
        <v>45596</v>
      </c>
      <c r="E726" s="72">
        <v>100347786400003</v>
      </c>
      <c r="F726" s="218" t="s">
        <v>1667</v>
      </c>
      <c r="G726" s="219">
        <v>38465</v>
      </c>
      <c r="H726" s="219"/>
      <c r="I726" s="219">
        <v>38465</v>
      </c>
      <c r="J726" s="219">
        <f>G726*5%</f>
        <v>1923.25</v>
      </c>
      <c r="K726" s="219">
        <f>G726+J726</f>
        <v>40388.25</v>
      </c>
      <c r="L726" s="220" t="s">
        <v>9</v>
      </c>
    </row>
    <row r="727" spans="2:12" ht="17.25" customHeight="1" x14ac:dyDescent="0.25">
      <c r="B727" s="298" t="s">
        <v>1651</v>
      </c>
      <c r="C727" s="314" t="s">
        <v>1650</v>
      </c>
      <c r="D727" s="216">
        <v>45649</v>
      </c>
      <c r="E727" s="300">
        <v>100063851800003</v>
      </c>
      <c r="F727" s="218" t="s">
        <v>1652</v>
      </c>
      <c r="G727" s="219">
        <v>1428.57</v>
      </c>
      <c r="H727" s="219"/>
      <c r="I727" s="219">
        <v>1428.57</v>
      </c>
      <c r="J727" s="219">
        <f t="shared" si="105"/>
        <v>71.4285</v>
      </c>
      <c r="K727" s="219">
        <f t="shared" si="106"/>
        <v>1499.9984999999999</v>
      </c>
      <c r="L727" s="220" t="s">
        <v>1553</v>
      </c>
    </row>
    <row r="728" spans="2:12" ht="17.25" customHeight="1" x14ac:dyDescent="0.25">
      <c r="B728" s="9" t="s">
        <v>10</v>
      </c>
      <c r="C728" s="314" t="s">
        <v>1653</v>
      </c>
      <c r="D728" s="216">
        <v>45598</v>
      </c>
      <c r="E728" s="72">
        <v>100542487200003</v>
      </c>
      <c r="F728" s="218" t="s">
        <v>1654</v>
      </c>
      <c r="G728" s="219">
        <v>3552</v>
      </c>
      <c r="H728" s="219"/>
      <c r="I728" s="219">
        <v>3552</v>
      </c>
      <c r="J728" s="219">
        <f t="shared" si="105"/>
        <v>177.60000000000002</v>
      </c>
      <c r="K728" s="219">
        <f t="shared" si="106"/>
        <v>3729.6</v>
      </c>
      <c r="L728" s="220" t="s">
        <v>9</v>
      </c>
    </row>
    <row r="729" spans="2:12" ht="17.25" customHeight="1" x14ac:dyDescent="0.25">
      <c r="B729" s="298" t="s">
        <v>1655</v>
      </c>
      <c r="C729" s="314" t="s">
        <v>1656</v>
      </c>
      <c r="D729" s="216">
        <v>45598</v>
      </c>
      <c r="E729" s="307"/>
      <c r="F729" s="218" t="s">
        <v>1657</v>
      </c>
      <c r="G729" s="219">
        <v>350</v>
      </c>
      <c r="H729" s="219"/>
      <c r="I729" s="219">
        <v>350</v>
      </c>
      <c r="J729" s="219">
        <f t="shared" si="105"/>
        <v>17.5</v>
      </c>
      <c r="K729" s="219">
        <f t="shared" si="106"/>
        <v>367.5</v>
      </c>
      <c r="L729" s="220" t="s">
        <v>9</v>
      </c>
    </row>
    <row r="730" spans="2:12" ht="17.25" customHeight="1" x14ac:dyDescent="0.25">
      <c r="B730" s="9" t="s">
        <v>10</v>
      </c>
      <c r="C730" s="314" t="s">
        <v>1658</v>
      </c>
      <c r="D730" s="216">
        <v>45600</v>
      </c>
      <c r="E730" s="72">
        <v>100542487200003</v>
      </c>
      <c r="F730" s="218" t="s">
        <v>1659</v>
      </c>
      <c r="G730" s="219">
        <v>100</v>
      </c>
      <c r="H730" s="219"/>
      <c r="I730" s="219"/>
      <c r="J730" s="219">
        <f t="shared" si="105"/>
        <v>5</v>
      </c>
      <c r="K730" s="219">
        <f t="shared" si="106"/>
        <v>105</v>
      </c>
      <c r="L730" s="220" t="s">
        <v>9</v>
      </c>
    </row>
    <row r="731" spans="2:12" ht="17.25" customHeight="1" x14ac:dyDescent="0.25">
      <c r="B731" s="9" t="s">
        <v>1124</v>
      </c>
      <c r="C731" s="314" t="s">
        <v>1660</v>
      </c>
      <c r="D731" s="216">
        <v>45603</v>
      </c>
      <c r="E731" s="307"/>
      <c r="F731" s="218" t="s">
        <v>1661</v>
      </c>
      <c r="G731" s="219">
        <v>527.25</v>
      </c>
      <c r="H731" s="219"/>
      <c r="I731" s="219">
        <v>527.25</v>
      </c>
      <c r="J731" s="219">
        <f t="shared" si="105"/>
        <v>26.362500000000001</v>
      </c>
      <c r="K731" s="219">
        <f t="shared" si="106"/>
        <v>553.61249999999995</v>
      </c>
      <c r="L731" s="220" t="s">
        <v>9</v>
      </c>
    </row>
    <row r="732" spans="2:12" ht="17.25" customHeight="1" x14ac:dyDescent="0.25">
      <c r="B732" s="9" t="s">
        <v>1377</v>
      </c>
      <c r="C732" s="314" t="s">
        <v>1662</v>
      </c>
      <c r="D732" s="216">
        <v>45603</v>
      </c>
      <c r="E732" s="72">
        <v>100290916400003</v>
      </c>
      <c r="F732" s="218" t="s">
        <v>1663</v>
      </c>
      <c r="G732" s="219">
        <v>1942.5</v>
      </c>
      <c r="H732" s="219"/>
      <c r="I732" s="219">
        <v>1942.5</v>
      </c>
      <c r="J732" s="219">
        <f t="shared" si="105"/>
        <v>97.125</v>
      </c>
      <c r="K732" s="219">
        <f t="shared" si="106"/>
        <v>2039.625</v>
      </c>
      <c r="L732" s="220" t="s">
        <v>9</v>
      </c>
    </row>
    <row r="733" spans="2:12" ht="17.25" customHeight="1" x14ac:dyDescent="0.25">
      <c r="B733" s="9" t="s">
        <v>10</v>
      </c>
      <c r="C733" s="314" t="s">
        <v>1665</v>
      </c>
      <c r="D733" s="216">
        <v>45603</v>
      </c>
      <c r="E733" s="72">
        <v>100542487200003</v>
      </c>
      <c r="F733" s="218" t="s">
        <v>1668</v>
      </c>
      <c r="G733" s="219">
        <v>1776</v>
      </c>
      <c r="H733" s="219"/>
      <c r="I733" s="219">
        <v>1776</v>
      </c>
      <c r="J733" s="219">
        <f t="shared" si="105"/>
        <v>88.800000000000011</v>
      </c>
      <c r="K733" s="219">
        <f t="shared" si="106"/>
        <v>1864.8</v>
      </c>
      <c r="L733" s="220" t="s">
        <v>9</v>
      </c>
    </row>
    <row r="734" spans="2:12" ht="17.25" customHeight="1" x14ac:dyDescent="0.25">
      <c r="B734" s="9" t="s">
        <v>114</v>
      </c>
      <c r="C734" s="314" t="s">
        <v>1666</v>
      </c>
      <c r="D734" s="216">
        <v>45603</v>
      </c>
      <c r="E734" s="72">
        <v>100235699400003</v>
      </c>
      <c r="F734" s="218" t="s">
        <v>1669</v>
      </c>
      <c r="G734" s="219">
        <v>405</v>
      </c>
      <c r="H734" s="219"/>
      <c r="I734" s="219">
        <v>405</v>
      </c>
      <c r="J734" s="219">
        <f t="shared" si="105"/>
        <v>20.25</v>
      </c>
      <c r="K734" s="219">
        <f t="shared" si="106"/>
        <v>425.25</v>
      </c>
      <c r="L734" s="220" t="s">
        <v>9</v>
      </c>
    </row>
    <row r="735" spans="2:12" ht="17.25" customHeight="1" x14ac:dyDescent="0.25">
      <c r="B735" s="9" t="s">
        <v>576</v>
      </c>
      <c r="C735" s="314" t="s">
        <v>1671</v>
      </c>
      <c r="D735" s="216">
        <v>45609</v>
      </c>
      <c r="E735" s="321">
        <v>100345098600003</v>
      </c>
      <c r="F735" s="218" t="s">
        <v>1673</v>
      </c>
      <c r="G735" s="219">
        <v>1347.5</v>
      </c>
      <c r="H735" s="219"/>
      <c r="I735" s="219">
        <v>1347.5</v>
      </c>
      <c r="J735" s="219">
        <f t="shared" si="105"/>
        <v>67.375</v>
      </c>
      <c r="K735" s="219">
        <f t="shared" si="106"/>
        <v>1414.875</v>
      </c>
      <c r="L735" s="220" t="s">
        <v>1553</v>
      </c>
    </row>
    <row r="736" spans="2:12" ht="17.25" customHeight="1" x14ac:dyDescent="0.25">
      <c r="B736" s="9" t="s">
        <v>114</v>
      </c>
      <c r="C736" s="314" t="s">
        <v>1672</v>
      </c>
      <c r="D736" s="216">
        <v>45601</v>
      </c>
      <c r="E736" s="322">
        <v>100235699400003</v>
      </c>
      <c r="F736" s="218" t="s">
        <v>1674</v>
      </c>
      <c r="G736" s="219">
        <v>405</v>
      </c>
      <c r="H736" s="219"/>
      <c r="I736" s="219">
        <v>405</v>
      </c>
      <c r="J736" s="219">
        <f t="shared" si="105"/>
        <v>20.25</v>
      </c>
      <c r="K736" s="219">
        <f t="shared" si="106"/>
        <v>425.25</v>
      </c>
      <c r="L736" s="220" t="s">
        <v>9</v>
      </c>
    </row>
    <row r="737" spans="2:12" ht="17.25" customHeight="1" x14ac:dyDescent="0.25">
      <c r="B737" s="9" t="s">
        <v>114</v>
      </c>
      <c r="C737" s="314" t="s">
        <v>1676</v>
      </c>
      <c r="D737" s="216">
        <v>45601</v>
      </c>
      <c r="E737" s="72">
        <v>100235699400003</v>
      </c>
      <c r="F737" s="218" t="s">
        <v>1675</v>
      </c>
      <c r="G737" s="219">
        <v>900</v>
      </c>
      <c r="H737" s="219"/>
      <c r="I737" s="219">
        <v>900</v>
      </c>
      <c r="J737" s="219">
        <f t="shared" si="105"/>
        <v>45</v>
      </c>
      <c r="K737" s="219">
        <f t="shared" si="106"/>
        <v>945</v>
      </c>
      <c r="L737" s="220" t="s">
        <v>9</v>
      </c>
    </row>
    <row r="738" spans="2:12" ht="17.25" customHeight="1" x14ac:dyDescent="0.25">
      <c r="B738" s="9" t="s">
        <v>1377</v>
      </c>
      <c r="C738" s="314" t="s">
        <v>1678</v>
      </c>
      <c r="D738" s="216">
        <v>45638</v>
      </c>
      <c r="E738" s="72">
        <v>100290916400003</v>
      </c>
      <c r="F738" s="218" t="s">
        <v>1679</v>
      </c>
      <c r="G738" s="219">
        <v>13400</v>
      </c>
      <c r="H738" s="219"/>
      <c r="I738" s="219">
        <v>13400</v>
      </c>
      <c r="J738" s="219">
        <f t="shared" ref="J738:J817" si="115">G738*5%</f>
        <v>670</v>
      </c>
      <c r="K738" s="219">
        <f t="shared" ref="K738:K818" si="116">G738+J738</f>
        <v>14070</v>
      </c>
      <c r="L738" s="220" t="s">
        <v>9</v>
      </c>
    </row>
    <row r="739" spans="2:12" ht="17.25" customHeight="1" x14ac:dyDescent="0.25">
      <c r="B739" s="9" t="s">
        <v>1377</v>
      </c>
      <c r="C739" s="314" t="s">
        <v>1680</v>
      </c>
      <c r="D739" s="216">
        <v>45602</v>
      </c>
      <c r="E739" s="72">
        <v>100290916400003</v>
      </c>
      <c r="F739" s="218" t="s">
        <v>1681</v>
      </c>
      <c r="G739" s="219">
        <v>12350</v>
      </c>
      <c r="H739" s="219"/>
      <c r="I739" s="219">
        <v>12350</v>
      </c>
      <c r="J739" s="219">
        <f t="shared" si="115"/>
        <v>617.5</v>
      </c>
      <c r="K739" s="219">
        <f t="shared" si="116"/>
        <v>12967.5</v>
      </c>
      <c r="L739" s="220" t="s">
        <v>9</v>
      </c>
    </row>
    <row r="740" spans="2:12" ht="17.25" customHeight="1" x14ac:dyDescent="0.25">
      <c r="B740" s="9" t="s">
        <v>1186</v>
      </c>
      <c r="C740" s="314" t="s">
        <v>1682</v>
      </c>
      <c r="D740" s="216">
        <v>45603</v>
      </c>
      <c r="E740" s="307"/>
      <c r="F740" s="218" t="s">
        <v>325</v>
      </c>
      <c r="G740" s="219">
        <v>75</v>
      </c>
      <c r="H740" s="219"/>
      <c r="I740" s="219">
        <v>75</v>
      </c>
      <c r="J740" s="219">
        <f t="shared" si="115"/>
        <v>3.75</v>
      </c>
      <c r="K740" s="219">
        <f t="shared" si="116"/>
        <v>78.75</v>
      </c>
      <c r="L740" s="220" t="s">
        <v>9</v>
      </c>
    </row>
    <row r="741" spans="2:12" ht="17.25" customHeight="1" x14ac:dyDescent="0.25">
      <c r="B741" s="9" t="s">
        <v>1006</v>
      </c>
      <c r="C741" s="314" t="s">
        <v>1683</v>
      </c>
      <c r="D741" s="216">
        <v>45603</v>
      </c>
      <c r="E741" s="307"/>
      <c r="F741" s="218" t="s">
        <v>1684</v>
      </c>
      <c r="G741" s="219">
        <v>75</v>
      </c>
      <c r="H741" s="219"/>
      <c r="I741" s="219">
        <v>75</v>
      </c>
      <c r="J741" s="219">
        <f t="shared" si="115"/>
        <v>3.75</v>
      </c>
      <c r="K741" s="219">
        <f t="shared" si="116"/>
        <v>78.75</v>
      </c>
      <c r="L741" s="220" t="s">
        <v>1046</v>
      </c>
    </row>
    <row r="742" spans="2:12" ht="17.25" customHeight="1" x14ac:dyDescent="0.25">
      <c r="B742" s="9" t="s">
        <v>1006</v>
      </c>
      <c r="C742" s="314" t="s">
        <v>1685</v>
      </c>
      <c r="D742" s="216">
        <v>45603</v>
      </c>
      <c r="E742" s="307"/>
      <c r="F742" s="218" t="s">
        <v>1686</v>
      </c>
      <c r="G742" s="219">
        <v>150</v>
      </c>
      <c r="H742" s="219"/>
      <c r="I742" s="219">
        <v>150</v>
      </c>
      <c r="J742" s="219">
        <f t="shared" si="115"/>
        <v>7.5</v>
      </c>
      <c r="K742" s="219">
        <f t="shared" si="116"/>
        <v>157.5</v>
      </c>
      <c r="L742" s="220" t="s">
        <v>1046</v>
      </c>
    </row>
    <row r="743" spans="2:12" ht="17.25" customHeight="1" x14ac:dyDescent="0.25">
      <c r="B743" s="9" t="s">
        <v>1006</v>
      </c>
      <c r="C743" s="314" t="s">
        <v>1688</v>
      </c>
      <c r="D743" s="216">
        <v>45604</v>
      </c>
      <c r="E743" s="307"/>
      <c r="F743" s="218" t="s">
        <v>1687</v>
      </c>
      <c r="G743" s="219">
        <v>475</v>
      </c>
      <c r="H743" s="219"/>
      <c r="I743" s="219">
        <v>475</v>
      </c>
      <c r="J743" s="219">
        <f t="shared" si="115"/>
        <v>23.75</v>
      </c>
      <c r="K743" s="219">
        <f t="shared" si="116"/>
        <v>498.75</v>
      </c>
      <c r="L743" s="220" t="s">
        <v>1046</v>
      </c>
    </row>
    <row r="744" spans="2:12" ht="17.25" customHeight="1" x14ac:dyDescent="0.25">
      <c r="B744" s="9" t="s">
        <v>1523</v>
      </c>
      <c r="C744" s="314" t="s">
        <v>1689</v>
      </c>
      <c r="D744" s="216">
        <v>45618</v>
      </c>
      <c r="E744" s="221">
        <v>100595462100003</v>
      </c>
      <c r="F744" s="218" t="s">
        <v>1182</v>
      </c>
      <c r="G744" s="219">
        <v>490</v>
      </c>
      <c r="H744" s="219"/>
      <c r="I744" s="219">
        <v>490</v>
      </c>
      <c r="J744" s="219">
        <f t="shared" si="115"/>
        <v>24.5</v>
      </c>
      <c r="K744" s="219">
        <f t="shared" si="116"/>
        <v>514.5</v>
      </c>
      <c r="L744" s="220" t="s">
        <v>1553</v>
      </c>
    </row>
    <row r="745" spans="2:12" ht="17.25" customHeight="1" x14ac:dyDescent="0.25">
      <c r="B745" s="9" t="s">
        <v>238</v>
      </c>
      <c r="C745" s="314" t="s">
        <v>1690</v>
      </c>
      <c r="D745" s="216">
        <v>45614</v>
      </c>
      <c r="E745" s="72">
        <v>100435244700003</v>
      </c>
      <c r="F745" s="218" t="s">
        <v>1703</v>
      </c>
      <c r="G745" s="219">
        <v>564.29999999999995</v>
      </c>
      <c r="H745" s="219"/>
      <c r="I745" s="219">
        <v>564.29999999999995</v>
      </c>
      <c r="J745" s="219">
        <f t="shared" si="115"/>
        <v>28.215</v>
      </c>
      <c r="K745" s="219">
        <f t="shared" si="116"/>
        <v>592.51499999999999</v>
      </c>
      <c r="L745" s="220" t="s">
        <v>1553</v>
      </c>
    </row>
    <row r="746" spans="2:12" ht="17.25" customHeight="1" x14ac:dyDescent="0.25">
      <c r="B746" s="9" t="s">
        <v>184</v>
      </c>
      <c r="C746" s="314" t="s">
        <v>1691</v>
      </c>
      <c r="D746" s="216">
        <v>45611</v>
      </c>
      <c r="E746" s="72">
        <v>104020118600003</v>
      </c>
      <c r="F746" s="218" t="s">
        <v>1704</v>
      </c>
      <c r="G746" s="219">
        <v>5520</v>
      </c>
      <c r="H746" s="219"/>
      <c r="I746" s="219">
        <v>5520</v>
      </c>
      <c r="J746" s="219">
        <f t="shared" si="115"/>
        <v>276</v>
      </c>
      <c r="K746" s="219">
        <f t="shared" si="116"/>
        <v>5796</v>
      </c>
      <c r="L746" s="220" t="s">
        <v>9</v>
      </c>
    </row>
    <row r="747" spans="2:12" ht="17.25" customHeight="1" x14ac:dyDescent="0.25">
      <c r="B747" s="9" t="s">
        <v>139</v>
      </c>
      <c r="C747" s="314" t="s">
        <v>1692</v>
      </c>
      <c r="D747" s="216">
        <v>45611</v>
      </c>
      <c r="E747" s="72">
        <v>100065352500003</v>
      </c>
      <c r="F747" s="328" t="s">
        <v>1705</v>
      </c>
      <c r="G747" s="219">
        <v>675</v>
      </c>
      <c r="H747" s="219"/>
      <c r="I747" s="219">
        <v>675</v>
      </c>
      <c r="J747" s="219">
        <f t="shared" si="115"/>
        <v>33.75</v>
      </c>
      <c r="K747" s="219">
        <f t="shared" si="116"/>
        <v>708.75</v>
      </c>
      <c r="L747" s="220" t="s">
        <v>1553</v>
      </c>
    </row>
    <row r="748" spans="2:12" ht="17.25" customHeight="1" x14ac:dyDescent="0.25">
      <c r="B748" s="9" t="s">
        <v>886</v>
      </c>
      <c r="C748" s="314" t="s">
        <v>1693</v>
      </c>
      <c r="D748" s="216">
        <v>45608</v>
      </c>
      <c r="E748" s="72">
        <v>100386934200003</v>
      </c>
      <c r="F748" s="218" t="s">
        <v>1706</v>
      </c>
      <c r="G748" s="219">
        <v>4400</v>
      </c>
      <c r="H748" s="219"/>
      <c r="I748" s="219">
        <v>4400</v>
      </c>
      <c r="J748" s="219">
        <f t="shared" si="115"/>
        <v>220</v>
      </c>
      <c r="K748" s="219">
        <f t="shared" si="116"/>
        <v>4620</v>
      </c>
      <c r="L748" s="220" t="s">
        <v>1553</v>
      </c>
    </row>
    <row r="749" spans="2:12" ht="17.25" customHeight="1" x14ac:dyDescent="0.25">
      <c r="B749" s="298" t="s">
        <v>1707</v>
      </c>
      <c r="C749" s="314" t="s">
        <v>1694</v>
      </c>
      <c r="D749" s="216">
        <v>45609</v>
      </c>
      <c r="E749" s="307"/>
      <c r="F749" s="218" t="s">
        <v>1708</v>
      </c>
      <c r="G749" s="219">
        <v>15996.25</v>
      </c>
      <c r="H749" s="219"/>
      <c r="I749" s="219">
        <v>15996.25</v>
      </c>
      <c r="J749" s="219">
        <f t="shared" si="115"/>
        <v>799.8125</v>
      </c>
      <c r="K749" s="219">
        <f t="shared" si="116"/>
        <v>16796.0625</v>
      </c>
      <c r="L749" s="220" t="s">
        <v>9</v>
      </c>
    </row>
    <row r="750" spans="2:12" ht="17.25" customHeight="1" x14ac:dyDescent="0.25">
      <c r="B750" s="9" t="s">
        <v>299</v>
      </c>
      <c r="C750" s="314" t="s">
        <v>1695</v>
      </c>
      <c r="D750" s="216">
        <v>45612</v>
      </c>
      <c r="E750" s="72">
        <v>100433257100003</v>
      </c>
      <c r="F750" s="218" t="s">
        <v>300</v>
      </c>
      <c r="G750" s="219">
        <v>1995</v>
      </c>
      <c r="H750" s="219"/>
      <c r="I750" s="219">
        <v>1995</v>
      </c>
      <c r="J750" s="219">
        <f t="shared" si="115"/>
        <v>99.75</v>
      </c>
      <c r="K750" s="219">
        <f t="shared" si="116"/>
        <v>2094.75</v>
      </c>
      <c r="L750" s="220" t="s">
        <v>9</v>
      </c>
    </row>
    <row r="751" spans="2:12" ht="17.25" customHeight="1" x14ac:dyDescent="0.25">
      <c r="B751" s="9" t="s">
        <v>43</v>
      </c>
      <c r="C751" s="314" t="s">
        <v>1696</v>
      </c>
      <c r="D751" s="216">
        <v>45614</v>
      </c>
      <c r="E751" s="72">
        <v>104166051300003</v>
      </c>
      <c r="F751" s="218" t="s">
        <v>1709</v>
      </c>
      <c r="G751" s="219">
        <v>3495</v>
      </c>
      <c r="H751" s="219"/>
      <c r="I751" s="219">
        <v>3495</v>
      </c>
      <c r="J751" s="219">
        <f t="shared" si="115"/>
        <v>174.75</v>
      </c>
      <c r="K751" s="219">
        <f t="shared" si="116"/>
        <v>3669.75</v>
      </c>
      <c r="L751" s="220" t="s">
        <v>9</v>
      </c>
    </row>
    <row r="752" spans="2:12" ht="17.25" customHeight="1" x14ac:dyDescent="0.25">
      <c r="B752" s="298" t="s">
        <v>1710</v>
      </c>
      <c r="C752" s="314" t="s">
        <v>1697</v>
      </c>
      <c r="D752" s="216">
        <v>45609</v>
      </c>
      <c r="E752" s="300">
        <v>100558868400003</v>
      </c>
      <c r="F752" s="218" t="s">
        <v>73</v>
      </c>
      <c r="G752" s="219">
        <v>480</v>
      </c>
      <c r="H752" s="219"/>
      <c r="I752" s="219">
        <v>480</v>
      </c>
      <c r="J752" s="219">
        <f t="shared" si="115"/>
        <v>24</v>
      </c>
      <c r="K752" s="219">
        <f t="shared" si="116"/>
        <v>504</v>
      </c>
      <c r="L752" s="220" t="s">
        <v>9</v>
      </c>
    </row>
    <row r="753" spans="2:12" ht="17.25" customHeight="1" x14ac:dyDescent="0.25">
      <c r="B753" s="298" t="s">
        <v>1745</v>
      </c>
      <c r="C753" s="314" t="s">
        <v>1698</v>
      </c>
      <c r="D753" s="216">
        <v>45614</v>
      </c>
      <c r="E753" s="307"/>
      <c r="F753" s="218" t="s">
        <v>1711</v>
      </c>
      <c r="G753" s="219">
        <v>1925</v>
      </c>
      <c r="H753" s="219"/>
      <c r="I753" s="219">
        <v>1925</v>
      </c>
      <c r="J753" s="219">
        <f t="shared" si="115"/>
        <v>96.25</v>
      </c>
      <c r="K753" s="219">
        <f t="shared" si="116"/>
        <v>2021.25</v>
      </c>
      <c r="L753" s="220" t="s">
        <v>9</v>
      </c>
    </row>
    <row r="754" spans="2:12" ht="17.25" customHeight="1" x14ac:dyDescent="0.25">
      <c r="B754" s="9" t="s">
        <v>94</v>
      </c>
      <c r="C754" s="314" t="s">
        <v>1699</v>
      </c>
      <c r="D754" s="216">
        <v>45609</v>
      </c>
      <c r="E754" s="72">
        <v>100399495900003</v>
      </c>
      <c r="F754" s="218" t="s">
        <v>1712</v>
      </c>
      <c r="G754" s="219">
        <v>235</v>
      </c>
      <c r="H754" s="219"/>
      <c r="I754" s="219">
        <v>235</v>
      </c>
      <c r="J754" s="219">
        <f t="shared" si="115"/>
        <v>11.75</v>
      </c>
      <c r="K754" s="219">
        <f t="shared" si="116"/>
        <v>246.75</v>
      </c>
      <c r="L754" s="220" t="s">
        <v>9</v>
      </c>
    </row>
    <row r="755" spans="2:12" ht="17.25" customHeight="1" x14ac:dyDescent="0.25">
      <c r="B755" s="298" t="s">
        <v>990</v>
      </c>
      <c r="C755" s="314" t="s">
        <v>1700</v>
      </c>
      <c r="D755" s="216">
        <v>45609</v>
      </c>
      <c r="E755" s="300">
        <v>100035896800003</v>
      </c>
      <c r="F755" s="329" t="s">
        <v>1804</v>
      </c>
      <c r="G755" s="219">
        <v>470</v>
      </c>
      <c r="H755" s="219"/>
      <c r="I755" s="219">
        <v>470</v>
      </c>
      <c r="J755" s="219">
        <f t="shared" si="115"/>
        <v>23.5</v>
      </c>
      <c r="K755" s="219">
        <f t="shared" si="116"/>
        <v>493.5</v>
      </c>
      <c r="L755" s="220" t="s">
        <v>9</v>
      </c>
    </row>
    <row r="756" spans="2:12" ht="17.25" customHeight="1" x14ac:dyDescent="0.25">
      <c r="B756" s="9" t="s">
        <v>29</v>
      </c>
      <c r="C756" s="314" t="s">
        <v>1701</v>
      </c>
      <c r="D756" s="216">
        <v>45610</v>
      </c>
      <c r="E756" s="72">
        <v>100430750800003</v>
      </c>
      <c r="F756" s="218" t="s">
        <v>1713</v>
      </c>
      <c r="G756" s="219">
        <v>937.5</v>
      </c>
      <c r="H756" s="219"/>
      <c r="I756" s="219">
        <v>937.5</v>
      </c>
      <c r="J756" s="219">
        <f t="shared" si="115"/>
        <v>46.875</v>
      </c>
      <c r="K756" s="219">
        <f t="shared" si="116"/>
        <v>984.375</v>
      </c>
      <c r="L756" s="220" t="s">
        <v>9</v>
      </c>
    </row>
    <row r="757" spans="2:12" ht="17.25" customHeight="1" x14ac:dyDescent="0.25">
      <c r="B757" s="9" t="s">
        <v>29</v>
      </c>
      <c r="C757" s="314" t="s">
        <v>1702</v>
      </c>
      <c r="D757" s="216">
        <v>45610</v>
      </c>
      <c r="E757" s="72">
        <v>100430750800003</v>
      </c>
      <c r="F757" s="218" t="s">
        <v>1714</v>
      </c>
      <c r="G757" s="219">
        <v>940</v>
      </c>
      <c r="H757" s="219"/>
      <c r="I757" s="219">
        <v>940</v>
      </c>
      <c r="J757" s="219">
        <f t="shared" si="115"/>
        <v>47</v>
      </c>
      <c r="K757" s="219">
        <f t="shared" si="116"/>
        <v>987</v>
      </c>
      <c r="L757" s="220" t="s">
        <v>9</v>
      </c>
    </row>
    <row r="758" spans="2:12" ht="17.25" customHeight="1" x14ac:dyDescent="0.25">
      <c r="B758" s="9" t="s">
        <v>1715</v>
      </c>
      <c r="C758" s="318" t="s">
        <v>1716</v>
      </c>
      <c r="D758" s="216">
        <v>45597</v>
      </c>
      <c r="E758" s="309"/>
      <c r="F758" s="218" t="s">
        <v>1729</v>
      </c>
      <c r="G758" s="219">
        <v>32630</v>
      </c>
      <c r="H758" s="219"/>
      <c r="I758" s="219">
        <v>32630</v>
      </c>
      <c r="J758" s="219">
        <f t="shared" si="115"/>
        <v>1631.5</v>
      </c>
      <c r="K758" s="219">
        <f t="shared" si="116"/>
        <v>34261.5</v>
      </c>
      <c r="L758" s="220" t="s">
        <v>9</v>
      </c>
    </row>
    <row r="759" spans="2:12" ht="17.25" customHeight="1" x14ac:dyDescent="0.25">
      <c r="B759" s="298" t="s">
        <v>1730</v>
      </c>
      <c r="C759" s="314" t="s">
        <v>1717</v>
      </c>
      <c r="D759" s="216">
        <v>45610</v>
      </c>
      <c r="E759" s="300">
        <v>104059274100003</v>
      </c>
      <c r="F759" s="218" t="s">
        <v>1731</v>
      </c>
      <c r="G759" s="224">
        <v>150</v>
      </c>
      <c r="H759" s="219"/>
      <c r="I759" s="224">
        <v>150</v>
      </c>
      <c r="J759" s="219">
        <f t="shared" si="115"/>
        <v>7.5</v>
      </c>
      <c r="K759" s="219">
        <f t="shared" si="116"/>
        <v>157.5</v>
      </c>
      <c r="L759" s="220" t="s">
        <v>9</v>
      </c>
    </row>
    <row r="760" spans="2:12" ht="17.25" customHeight="1" x14ac:dyDescent="0.25">
      <c r="B760" s="9" t="s">
        <v>736</v>
      </c>
      <c r="C760" s="330" t="s">
        <v>1718</v>
      </c>
      <c r="D760" s="216">
        <v>45611</v>
      </c>
      <c r="E760" s="309"/>
      <c r="F760" s="218" t="s">
        <v>95</v>
      </c>
      <c r="G760" s="219">
        <v>400</v>
      </c>
      <c r="H760" s="219"/>
      <c r="I760" s="219">
        <v>400</v>
      </c>
      <c r="J760" s="219">
        <f t="shared" si="115"/>
        <v>20</v>
      </c>
      <c r="K760" s="219">
        <f t="shared" si="116"/>
        <v>420</v>
      </c>
      <c r="L760" s="220" t="s">
        <v>9</v>
      </c>
    </row>
    <row r="761" spans="2:12" ht="17.25" customHeight="1" x14ac:dyDescent="0.25">
      <c r="B761" s="96" t="s">
        <v>1368</v>
      </c>
      <c r="C761" s="331" t="s">
        <v>1719</v>
      </c>
      <c r="D761" s="247">
        <v>45610</v>
      </c>
      <c r="E761" s="321">
        <v>100290916400003</v>
      </c>
      <c r="F761" s="249" t="s">
        <v>1732</v>
      </c>
      <c r="G761" s="250">
        <v>3150</v>
      </c>
      <c r="H761" s="250"/>
      <c r="I761" s="250">
        <v>3150</v>
      </c>
      <c r="J761" s="250">
        <f t="shared" si="115"/>
        <v>157.5</v>
      </c>
      <c r="K761" s="250">
        <f t="shared" si="116"/>
        <v>3307.5</v>
      </c>
      <c r="L761" s="251" t="s">
        <v>9</v>
      </c>
    </row>
    <row r="762" spans="2:12" ht="17.25" customHeight="1" x14ac:dyDescent="0.25">
      <c r="B762" s="298" t="s">
        <v>1733</v>
      </c>
      <c r="C762" s="314" t="s">
        <v>1720</v>
      </c>
      <c r="D762" s="216">
        <v>45614</v>
      </c>
      <c r="E762" s="300">
        <v>100281510600003</v>
      </c>
      <c r="F762" s="218" t="s">
        <v>1734</v>
      </c>
      <c r="G762" s="219">
        <v>850</v>
      </c>
      <c r="H762" s="219"/>
      <c r="I762" s="219">
        <v>850</v>
      </c>
      <c r="J762" s="219">
        <f t="shared" si="115"/>
        <v>42.5</v>
      </c>
      <c r="K762" s="219">
        <f t="shared" si="116"/>
        <v>892.5</v>
      </c>
      <c r="L762" s="220" t="s">
        <v>1553</v>
      </c>
    </row>
    <row r="763" spans="2:12" ht="17.25" customHeight="1" x14ac:dyDescent="0.25">
      <c r="B763" s="298" t="s">
        <v>1735</v>
      </c>
      <c r="C763" s="314" t="s">
        <v>1721</v>
      </c>
      <c r="D763" s="216">
        <v>45611</v>
      </c>
      <c r="E763" s="307"/>
      <c r="F763" s="218" t="s">
        <v>1736</v>
      </c>
      <c r="G763" s="219">
        <v>333.34</v>
      </c>
      <c r="H763" s="219"/>
      <c r="I763" s="219">
        <v>333.34</v>
      </c>
      <c r="J763" s="219">
        <f t="shared" si="115"/>
        <v>16.666999999999998</v>
      </c>
      <c r="K763" s="219">
        <f t="shared" si="116"/>
        <v>350.00699999999995</v>
      </c>
      <c r="L763" s="220" t="s">
        <v>9</v>
      </c>
    </row>
    <row r="764" spans="2:12" ht="17.25" customHeight="1" x14ac:dyDescent="0.25">
      <c r="B764" s="305" t="s">
        <v>43</v>
      </c>
      <c r="C764" s="314" t="s">
        <v>1722</v>
      </c>
      <c r="D764" s="216">
        <v>45614</v>
      </c>
      <c r="E764" s="332">
        <v>104166051300003</v>
      </c>
      <c r="F764" s="218" t="s">
        <v>95</v>
      </c>
      <c r="G764" s="219">
        <v>570</v>
      </c>
      <c r="H764" s="219"/>
      <c r="I764" s="219">
        <v>570</v>
      </c>
      <c r="J764" s="219">
        <f t="shared" si="115"/>
        <v>28.5</v>
      </c>
      <c r="K764" s="219">
        <f t="shared" si="116"/>
        <v>598.5</v>
      </c>
      <c r="L764" s="220" t="s">
        <v>9</v>
      </c>
    </row>
    <row r="765" spans="2:12" ht="17.25" customHeight="1" x14ac:dyDescent="0.25">
      <c r="B765" s="305" t="s">
        <v>1006</v>
      </c>
      <c r="C765" s="314" t="s">
        <v>1723</v>
      </c>
      <c r="D765" s="216">
        <v>45611</v>
      </c>
      <c r="E765" s="319"/>
      <c r="F765" s="218" t="s">
        <v>1737</v>
      </c>
      <c r="G765" s="219">
        <v>215</v>
      </c>
      <c r="H765" s="219"/>
      <c r="I765" s="219">
        <v>215</v>
      </c>
      <c r="J765" s="219">
        <f t="shared" si="115"/>
        <v>10.75</v>
      </c>
      <c r="K765" s="219">
        <f t="shared" si="116"/>
        <v>225.75</v>
      </c>
      <c r="L765" s="220" t="s">
        <v>1046</v>
      </c>
    </row>
    <row r="766" spans="2:12" ht="17.25" customHeight="1" x14ac:dyDescent="0.25">
      <c r="B766" s="305" t="s">
        <v>515</v>
      </c>
      <c r="C766" s="314" t="s">
        <v>1724</v>
      </c>
      <c r="D766" s="216">
        <v>45616</v>
      </c>
      <c r="E766" s="332">
        <v>100267612800003</v>
      </c>
      <c r="F766" s="218" t="s">
        <v>1768</v>
      </c>
      <c r="G766" s="219">
        <v>9400</v>
      </c>
      <c r="H766" s="219"/>
      <c r="I766" s="219">
        <v>9400</v>
      </c>
      <c r="J766" s="219">
        <f t="shared" si="115"/>
        <v>470</v>
      </c>
      <c r="K766" s="219">
        <f t="shared" si="116"/>
        <v>9870</v>
      </c>
      <c r="L766" s="220" t="s">
        <v>9</v>
      </c>
    </row>
    <row r="767" spans="2:12" ht="17.25" customHeight="1" x14ac:dyDescent="0.25">
      <c r="B767" s="305" t="s">
        <v>102</v>
      </c>
      <c r="C767" s="314" t="s">
        <v>1725</v>
      </c>
      <c r="D767" s="216">
        <v>45621</v>
      </c>
      <c r="E767" s="332">
        <v>100593105800003</v>
      </c>
      <c r="F767" s="333" t="s">
        <v>1738</v>
      </c>
      <c r="G767" s="219">
        <v>5017.5</v>
      </c>
      <c r="H767" s="219"/>
      <c r="I767" s="219">
        <v>5017.5</v>
      </c>
      <c r="J767" s="219">
        <f t="shared" si="115"/>
        <v>250.875</v>
      </c>
      <c r="K767" s="219">
        <f t="shared" si="116"/>
        <v>5268.375</v>
      </c>
      <c r="L767" s="220" t="s">
        <v>9</v>
      </c>
    </row>
    <row r="768" spans="2:12" ht="17.25" customHeight="1" x14ac:dyDescent="0.25">
      <c r="B768" s="305" t="s">
        <v>102</v>
      </c>
      <c r="C768" s="314" t="s">
        <v>1726</v>
      </c>
      <c r="D768" s="216">
        <v>45644</v>
      </c>
      <c r="E768" s="332">
        <v>100593105800003</v>
      </c>
      <c r="F768" s="333" t="s">
        <v>1739</v>
      </c>
      <c r="G768" s="219">
        <v>9273.19</v>
      </c>
      <c r="H768" s="219"/>
      <c r="I768" s="219">
        <v>9273.19</v>
      </c>
      <c r="J768" s="219">
        <f t="shared" si="115"/>
        <v>463.65950000000004</v>
      </c>
      <c r="K768" s="219">
        <f t="shared" si="116"/>
        <v>9736.8495000000003</v>
      </c>
      <c r="L768" s="220" t="s">
        <v>9</v>
      </c>
    </row>
    <row r="769" spans="2:12" ht="17.25" customHeight="1" x14ac:dyDescent="0.25">
      <c r="B769" s="305" t="s">
        <v>102</v>
      </c>
      <c r="C769" s="314" t="s">
        <v>1727</v>
      </c>
      <c r="D769" s="216">
        <v>45639</v>
      </c>
      <c r="E769" s="332">
        <v>100593105800003</v>
      </c>
      <c r="F769" s="333" t="s">
        <v>1826</v>
      </c>
      <c r="G769" s="219">
        <v>894</v>
      </c>
      <c r="H769" s="219"/>
      <c r="I769" s="219">
        <v>894</v>
      </c>
      <c r="J769" s="219">
        <f t="shared" si="115"/>
        <v>44.7</v>
      </c>
      <c r="K769" s="219">
        <f t="shared" si="116"/>
        <v>938.7</v>
      </c>
      <c r="L769" s="220" t="s">
        <v>9</v>
      </c>
    </row>
    <row r="770" spans="2:12" ht="17.25" customHeight="1" x14ac:dyDescent="0.25">
      <c r="B770" s="305" t="s">
        <v>102</v>
      </c>
      <c r="C770" s="314" t="s">
        <v>1728</v>
      </c>
      <c r="D770" s="216">
        <v>45621</v>
      </c>
      <c r="E770" s="334">
        <v>100593105800003</v>
      </c>
      <c r="F770" s="218" t="s">
        <v>1740</v>
      </c>
      <c r="G770" s="219">
        <v>4799.3</v>
      </c>
      <c r="H770" s="219"/>
      <c r="I770" s="219">
        <v>4799.3</v>
      </c>
      <c r="J770" s="219">
        <f t="shared" si="115"/>
        <v>239.96500000000003</v>
      </c>
      <c r="K770" s="219">
        <f t="shared" si="116"/>
        <v>5039.2650000000003</v>
      </c>
      <c r="L770" s="220" t="s">
        <v>9</v>
      </c>
    </row>
    <row r="771" spans="2:12" ht="17.25" customHeight="1" x14ac:dyDescent="0.25">
      <c r="B771" s="298" t="s">
        <v>1743</v>
      </c>
      <c r="C771" s="314" t="s">
        <v>1742</v>
      </c>
      <c r="D771" s="216">
        <v>45616</v>
      </c>
      <c r="E771" s="300">
        <v>100319026900003</v>
      </c>
      <c r="F771" s="218" t="s">
        <v>1744</v>
      </c>
      <c r="G771" s="219">
        <v>435</v>
      </c>
      <c r="H771" s="219"/>
      <c r="I771" s="219">
        <v>435</v>
      </c>
      <c r="J771" s="219">
        <f t="shared" si="115"/>
        <v>21.75</v>
      </c>
      <c r="K771" s="219">
        <f t="shared" si="116"/>
        <v>456.75</v>
      </c>
      <c r="L771" s="220" t="s">
        <v>9</v>
      </c>
    </row>
    <row r="772" spans="2:12" ht="17.25" customHeight="1" x14ac:dyDescent="0.25">
      <c r="B772" s="298" t="s">
        <v>1748</v>
      </c>
      <c r="C772" s="314" t="s">
        <v>1746</v>
      </c>
      <c r="D772" s="216">
        <v>45615</v>
      </c>
      <c r="E772" s="72">
        <v>100430750800003</v>
      </c>
      <c r="F772" s="218" t="s">
        <v>230</v>
      </c>
      <c r="G772" s="219">
        <v>210</v>
      </c>
      <c r="H772" s="219"/>
      <c r="I772" s="219">
        <v>210</v>
      </c>
      <c r="J772" s="219">
        <f t="shared" si="115"/>
        <v>10.5</v>
      </c>
      <c r="K772" s="219">
        <f t="shared" si="116"/>
        <v>220.5</v>
      </c>
      <c r="L772" s="220" t="s">
        <v>9</v>
      </c>
    </row>
    <row r="773" spans="2:12" ht="17.25" customHeight="1" x14ac:dyDescent="0.25">
      <c r="B773" s="298" t="s">
        <v>1749</v>
      </c>
      <c r="C773" s="314" t="s">
        <v>1747</v>
      </c>
      <c r="D773" s="216">
        <v>45622</v>
      </c>
      <c r="E773" s="72">
        <v>100348311000003</v>
      </c>
      <c r="F773" s="218" t="s">
        <v>1750</v>
      </c>
      <c r="G773" s="219">
        <v>2825</v>
      </c>
      <c r="H773" s="219"/>
      <c r="I773" s="219">
        <v>2825</v>
      </c>
      <c r="J773" s="219">
        <f t="shared" si="115"/>
        <v>141.25</v>
      </c>
      <c r="K773" s="219">
        <f t="shared" si="116"/>
        <v>2966.25</v>
      </c>
      <c r="L773" s="220" t="s">
        <v>9</v>
      </c>
    </row>
    <row r="774" spans="2:12" ht="17.25" customHeight="1" x14ac:dyDescent="0.25">
      <c r="B774" s="9" t="s">
        <v>122</v>
      </c>
      <c r="C774" s="314" t="s">
        <v>1751</v>
      </c>
      <c r="D774" s="216">
        <v>45616</v>
      </c>
      <c r="E774" s="319"/>
      <c r="F774" s="218" t="s">
        <v>1753</v>
      </c>
      <c r="G774" s="219">
        <v>550</v>
      </c>
      <c r="H774" s="219"/>
      <c r="I774" s="219">
        <v>550</v>
      </c>
      <c r="J774" s="219">
        <f t="shared" si="115"/>
        <v>27.5</v>
      </c>
      <c r="K774" s="219">
        <f t="shared" si="116"/>
        <v>577.5</v>
      </c>
      <c r="L774" s="220" t="s">
        <v>9</v>
      </c>
    </row>
    <row r="775" spans="2:12" ht="17.25" customHeight="1" x14ac:dyDescent="0.25">
      <c r="B775" s="298" t="s">
        <v>1754</v>
      </c>
      <c r="C775" s="314" t="s">
        <v>1752</v>
      </c>
      <c r="D775" s="216">
        <v>45617</v>
      </c>
      <c r="E775" s="300">
        <v>100601936600003</v>
      </c>
      <c r="F775" s="218" t="s">
        <v>1755</v>
      </c>
      <c r="G775" s="219">
        <v>1550</v>
      </c>
      <c r="H775" s="219"/>
      <c r="I775" s="219">
        <v>1550</v>
      </c>
      <c r="J775" s="219">
        <f t="shared" si="115"/>
        <v>77.5</v>
      </c>
      <c r="K775" s="219">
        <f t="shared" si="116"/>
        <v>1627.5</v>
      </c>
      <c r="L775" s="220" t="s">
        <v>9</v>
      </c>
    </row>
    <row r="776" spans="2:12" ht="17.25" customHeight="1" x14ac:dyDescent="0.25">
      <c r="B776" s="298" t="s">
        <v>29</v>
      </c>
      <c r="C776" s="314" t="s">
        <v>1756</v>
      </c>
      <c r="D776" s="216">
        <v>45617</v>
      </c>
      <c r="E776" s="72">
        <v>100430750800003</v>
      </c>
      <c r="F776" s="218" t="s">
        <v>1757</v>
      </c>
      <c r="G776" s="219">
        <v>8744.5</v>
      </c>
      <c r="H776" s="219"/>
      <c r="I776" s="219">
        <v>8744.5</v>
      </c>
      <c r="J776" s="219">
        <f t="shared" si="115"/>
        <v>437.22500000000002</v>
      </c>
      <c r="K776" s="219">
        <f t="shared" si="116"/>
        <v>9181.7250000000004</v>
      </c>
      <c r="L776" s="220" t="s">
        <v>9</v>
      </c>
    </row>
    <row r="777" spans="2:12" ht="17.25" customHeight="1" x14ac:dyDescent="0.25">
      <c r="B777" s="298" t="s">
        <v>114</v>
      </c>
      <c r="C777" s="314" t="s">
        <v>1758</v>
      </c>
      <c r="D777" s="216">
        <v>45623</v>
      </c>
      <c r="E777" s="72">
        <v>100235699400003</v>
      </c>
      <c r="F777" s="218" t="s">
        <v>1761</v>
      </c>
      <c r="G777" s="219">
        <v>405</v>
      </c>
      <c r="H777" s="219"/>
      <c r="I777" s="219">
        <v>405</v>
      </c>
      <c r="J777" s="219">
        <f t="shared" si="115"/>
        <v>20.25</v>
      </c>
      <c r="K777" s="219">
        <f t="shared" si="116"/>
        <v>425.25</v>
      </c>
      <c r="L777" s="220" t="s">
        <v>9</v>
      </c>
    </row>
    <row r="778" spans="2:12" ht="17.25" customHeight="1" x14ac:dyDescent="0.25">
      <c r="B778" s="298" t="s">
        <v>1762</v>
      </c>
      <c r="C778" s="314" t="s">
        <v>1759</v>
      </c>
      <c r="D778" s="216">
        <v>45622</v>
      </c>
      <c r="E778" s="300">
        <v>100284828900003</v>
      </c>
      <c r="F778" s="218" t="s">
        <v>1763</v>
      </c>
      <c r="G778" s="219">
        <v>2525</v>
      </c>
      <c r="H778" s="219"/>
      <c r="I778" s="219">
        <v>2525</v>
      </c>
      <c r="J778" s="219">
        <f t="shared" si="115"/>
        <v>126.25</v>
      </c>
      <c r="K778" s="219">
        <f t="shared" si="116"/>
        <v>2651.25</v>
      </c>
      <c r="L778" s="220" t="s">
        <v>1046</v>
      </c>
    </row>
    <row r="779" spans="2:12" ht="17.25" customHeight="1" x14ac:dyDescent="0.25">
      <c r="B779" s="9" t="s">
        <v>753</v>
      </c>
      <c r="C779" s="314" t="s">
        <v>1760</v>
      </c>
      <c r="D779" s="216">
        <v>45622</v>
      </c>
      <c r="E779" s="319"/>
      <c r="F779" s="218" t="s">
        <v>1764</v>
      </c>
      <c r="G779" s="219">
        <v>3884.5</v>
      </c>
      <c r="H779" s="219"/>
      <c r="I779" s="219">
        <v>3884.5</v>
      </c>
      <c r="J779" s="219">
        <f t="shared" si="115"/>
        <v>194.22500000000002</v>
      </c>
      <c r="K779" s="219">
        <f t="shared" si="116"/>
        <v>4078.7249999999999</v>
      </c>
      <c r="L779" s="220" t="s">
        <v>9</v>
      </c>
    </row>
    <row r="780" spans="2:12" ht="17.25" customHeight="1" x14ac:dyDescent="0.25">
      <c r="B780" s="305" t="s">
        <v>515</v>
      </c>
      <c r="C780" s="314" t="s">
        <v>1765</v>
      </c>
      <c r="D780" s="216">
        <v>45623</v>
      </c>
      <c r="E780" s="221">
        <v>100267612800003</v>
      </c>
      <c r="F780" s="218" t="s">
        <v>1769</v>
      </c>
      <c r="G780" s="219">
        <v>13320</v>
      </c>
      <c r="H780" s="219"/>
      <c r="I780" s="219">
        <v>13320</v>
      </c>
      <c r="J780" s="219">
        <f t="shared" si="115"/>
        <v>666</v>
      </c>
      <c r="K780" s="219">
        <f t="shared" si="116"/>
        <v>13986</v>
      </c>
      <c r="L780" s="220" t="s">
        <v>9</v>
      </c>
    </row>
    <row r="781" spans="2:12" ht="17.25" customHeight="1" x14ac:dyDescent="0.25">
      <c r="B781" s="298" t="s">
        <v>1770</v>
      </c>
      <c r="C781" s="314" t="s">
        <v>1766</v>
      </c>
      <c r="D781" s="216">
        <v>45624</v>
      </c>
      <c r="E781" s="319"/>
      <c r="F781" s="218" t="s">
        <v>1771</v>
      </c>
      <c r="G781" s="219">
        <v>125</v>
      </c>
      <c r="H781" s="219"/>
      <c r="I781" s="219">
        <v>125</v>
      </c>
      <c r="J781" s="219">
        <f t="shared" si="115"/>
        <v>6.25</v>
      </c>
      <c r="K781" s="219">
        <f t="shared" si="116"/>
        <v>131.25</v>
      </c>
      <c r="L781" s="220" t="s">
        <v>9</v>
      </c>
    </row>
    <row r="782" spans="2:12" ht="17.25" customHeight="1" x14ac:dyDescent="0.25">
      <c r="B782" s="9" t="s">
        <v>1124</v>
      </c>
      <c r="C782" s="314" t="s">
        <v>1767</v>
      </c>
      <c r="D782" s="216">
        <v>45625</v>
      </c>
      <c r="E782" s="319"/>
      <c r="F782" s="218" t="s">
        <v>1772</v>
      </c>
      <c r="G782" s="219">
        <v>1350</v>
      </c>
      <c r="H782" s="219"/>
      <c r="I782" s="219">
        <v>1350</v>
      </c>
      <c r="J782" s="219">
        <f t="shared" si="115"/>
        <v>67.5</v>
      </c>
      <c r="K782" s="219">
        <f t="shared" si="116"/>
        <v>1417.5</v>
      </c>
      <c r="L782" s="220" t="s">
        <v>9</v>
      </c>
    </row>
    <row r="783" spans="2:12" ht="17.25" customHeight="1" x14ac:dyDescent="0.25">
      <c r="B783" s="9" t="s">
        <v>1128</v>
      </c>
      <c r="C783" s="314" t="s">
        <v>1773</v>
      </c>
      <c r="D783" s="216">
        <v>45624</v>
      </c>
      <c r="E783" s="309">
        <v>100606938700003</v>
      </c>
      <c r="F783" s="218" t="s">
        <v>1788</v>
      </c>
      <c r="G783" s="219">
        <v>550</v>
      </c>
      <c r="H783" s="219"/>
      <c r="I783" s="219">
        <v>550</v>
      </c>
      <c r="J783" s="219">
        <f t="shared" si="115"/>
        <v>27.5</v>
      </c>
      <c r="K783" s="219">
        <f t="shared" si="116"/>
        <v>577.5</v>
      </c>
      <c r="L783" s="220" t="s">
        <v>9</v>
      </c>
    </row>
    <row r="784" spans="2:12" ht="17.25" customHeight="1" x14ac:dyDescent="0.25">
      <c r="B784" s="9" t="s">
        <v>22</v>
      </c>
      <c r="C784" s="314" t="s">
        <v>1774</v>
      </c>
      <c r="D784" s="216">
        <v>45624</v>
      </c>
      <c r="E784" s="309">
        <v>100348311000003</v>
      </c>
      <c r="F784" s="218" t="s">
        <v>1789</v>
      </c>
      <c r="G784" s="219">
        <v>580</v>
      </c>
      <c r="H784" s="219"/>
      <c r="I784" s="219">
        <v>580</v>
      </c>
      <c r="J784" s="219">
        <f t="shared" si="115"/>
        <v>29</v>
      </c>
      <c r="K784" s="219">
        <f t="shared" si="116"/>
        <v>609</v>
      </c>
      <c r="L784" s="220" t="s">
        <v>9</v>
      </c>
    </row>
    <row r="785" spans="2:12" ht="17.25" customHeight="1" x14ac:dyDescent="0.25">
      <c r="B785" s="9" t="s">
        <v>595</v>
      </c>
      <c r="C785" s="314" t="s">
        <v>1775</v>
      </c>
      <c r="D785" s="216">
        <v>45639</v>
      </c>
      <c r="E785" s="309"/>
      <c r="F785" s="218" t="s">
        <v>1790</v>
      </c>
      <c r="G785" s="219">
        <v>12312.5</v>
      </c>
      <c r="H785" s="219"/>
      <c r="I785" s="219">
        <v>12312.5</v>
      </c>
      <c r="J785" s="219">
        <f t="shared" si="115"/>
        <v>615.625</v>
      </c>
      <c r="K785" s="219">
        <f t="shared" si="116"/>
        <v>12928.125</v>
      </c>
      <c r="L785" s="220" t="s">
        <v>9</v>
      </c>
    </row>
    <row r="786" spans="2:12" ht="17.25" customHeight="1" x14ac:dyDescent="0.25">
      <c r="B786" s="9" t="s">
        <v>664</v>
      </c>
      <c r="C786" s="314" t="s">
        <v>1776</v>
      </c>
      <c r="D786" s="216">
        <v>45626</v>
      </c>
      <c r="E786" s="309">
        <v>100048520900003</v>
      </c>
      <c r="F786" s="218" t="s">
        <v>1791</v>
      </c>
      <c r="G786" s="219">
        <v>360</v>
      </c>
      <c r="H786" s="219"/>
      <c r="I786" s="219">
        <v>360</v>
      </c>
      <c r="J786" s="219">
        <f t="shared" si="115"/>
        <v>18</v>
      </c>
      <c r="K786" s="219">
        <f t="shared" si="116"/>
        <v>378</v>
      </c>
      <c r="L786" s="220" t="s">
        <v>9</v>
      </c>
    </row>
    <row r="787" spans="2:12" ht="17.25" customHeight="1" x14ac:dyDescent="0.25">
      <c r="B787" s="9" t="s">
        <v>666</v>
      </c>
      <c r="C787" s="314" t="s">
        <v>1777</v>
      </c>
      <c r="D787" s="216">
        <v>45626</v>
      </c>
      <c r="E787" s="309">
        <v>100048520900003</v>
      </c>
      <c r="F787" s="218" t="s">
        <v>1791</v>
      </c>
      <c r="G787" s="219">
        <v>60</v>
      </c>
      <c r="H787" s="219"/>
      <c r="I787" s="219">
        <v>60</v>
      </c>
      <c r="J787" s="219">
        <f t="shared" si="115"/>
        <v>3</v>
      </c>
      <c r="K787" s="219">
        <f t="shared" si="116"/>
        <v>63</v>
      </c>
      <c r="L787" s="220" t="s">
        <v>9</v>
      </c>
    </row>
    <row r="788" spans="2:12" ht="17.25" customHeight="1" x14ac:dyDescent="0.25">
      <c r="B788" s="9" t="s">
        <v>1554</v>
      </c>
      <c r="C788" s="314" t="s">
        <v>1778</v>
      </c>
      <c r="D788" s="216">
        <v>45626</v>
      </c>
      <c r="E788" s="309">
        <v>100599136700003</v>
      </c>
      <c r="F788" s="218" t="s">
        <v>1792</v>
      </c>
      <c r="G788" s="219">
        <v>420</v>
      </c>
      <c r="H788" s="219"/>
      <c r="I788" s="219">
        <v>420</v>
      </c>
      <c r="J788" s="219">
        <f t="shared" si="115"/>
        <v>21</v>
      </c>
      <c r="K788" s="219">
        <f t="shared" si="116"/>
        <v>441</v>
      </c>
      <c r="L788" s="220" t="s">
        <v>9</v>
      </c>
    </row>
    <row r="789" spans="2:12" ht="17.25" customHeight="1" x14ac:dyDescent="0.25">
      <c r="B789" s="9" t="s">
        <v>1554</v>
      </c>
      <c r="C789" s="314" t="s">
        <v>1779</v>
      </c>
      <c r="D789" s="216">
        <v>45626</v>
      </c>
      <c r="E789" s="309">
        <v>100599136700003</v>
      </c>
      <c r="F789" s="218" t="s">
        <v>1793</v>
      </c>
      <c r="G789" s="219">
        <v>264</v>
      </c>
      <c r="H789" s="219"/>
      <c r="I789" s="219">
        <v>264</v>
      </c>
      <c r="J789" s="219">
        <f t="shared" si="115"/>
        <v>13.200000000000001</v>
      </c>
      <c r="K789" s="219">
        <f t="shared" si="116"/>
        <v>277.2</v>
      </c>
      <c r="L789" s="220" t="s">
        <v>9</v>
      </c>
    </row>
    <row r="790" spans="2:12" ht="17.25" customHeight="1" x14ac:dyDescent="0.25">
      <c r="B790" s="9" t="s">
        <v>102</v>
      </c>
      <c r="C790" s="314" t="s">
        <v>1780</v>
      </c>
      <c r="D790" s="216">
        <v>45632</v>
      </c>
      <c r="E790" s="309">
        <v>100593105800003</v>
      </c>
      <c r="F790" s="218" t="s">
        <v>1794</v>
      </c>
      <c r="G790" s="219">
        <v>1536</v>
      </c>
      <c r="H790" s="219"/>
      <c r="I790" s="219">
        <v>1536</v>
      </c>
      <c r="J790" s="219">
        <f t="shared" si="115"/>
        <v>76.800000000000011</v>
      </c>
      <c r="K790" s="219">
        <f t="shared" si="116"/>
        <v>1612.8</v>
      </c>
      <c r="L790" s="220" t="s">
        <v>9</v>
      </c>
    </row>
    <row r="791" spans="2:12" ht="17.25" customHeight="1" x14ac:dyDescent="0.25">
      <c r="B791" s="9" t="s">
        <v>114</v>
      </c>
      <c r="C791" s="314" t="s">
        <v>1781</v>
      </c>
      <c r="D791" s="216">
        <v>45639</v>
      </c>
      <c r="E791" s="309">
        <v>100235699400003</v>
      </c>
      <c r="F791" s="218" t="s">
        <v>1795</v>
      </c>
      <c r="G791" s="219">
        <v>405</v>
      </c>
      <c r="H791" s="219"/>
      <c r="I791" s="219">
        <v>405</v>
      </c>
      <c r="J791" s="219">
        <f t="shared" si="115"/>
        <v>20.25</v>
      </c>
      <c r="K791" s="219">
        <f t="shared" si="116"/>
        <v>425.25</v>
      </c>
      <c r="L791" s="220" t="s">
        <v>9</v>
      </c>
    </row>
    <row r="792" spans="2:12" ht="17.25" customHeight="1" x14ac:dyDescent="0.25">
      <c r="B792" s="9" t="s">
        <v>1006</v>
      </c>
      <c r="C792" s="314" t="s">
        <v>1782</v>
      </c>
      <c r="D792" s="216">
        <v>45618</v>
      </c>
      <c r="E792" s="307"/>
      <c r="F792" s="218" t="s">
        <v>1796</v>
      </c>
      <c r="G792" s="219">
        <v>485</v>
      </c>
      <c r="H792" s="219"/>
      <c r="I792" s="219">
        <v>485</v>
      </c>
      <c r="J792" s="219">
        <f t="shared" si="115"/>
        <v>24.25</v>
      </c>
      <c r="K792" s="219">
        <f t="shared" si="116"/>
        <v>509.25</v>
      </c>
      <c r="L792" s="220" t="s">
        <v>1046</v>
      </c>
    </row>
    <row r="793" spans="2:12" ht="17.25" customHeight="1" x14ac:dyDescent="0.25">
      <c r="B793" s="9" t="s">
        <v>1006</v>
      </c>
      <c r="C793" s="314" t="s">
        <v>1783</v>
      </c>
      <c r="D793" s="216">
        <v>45618</v>
      </c>
      <c r="E793" s="307"/>
      <c r="F793" s="218" t="s">
        <v>1797</v>
      </c>
      <c r="G793" s="219">
        <v>1435</v>
      </c>
      <c r="H793" s="219"/>
      <c r="I793" s="219">
        <v>1435</v>
      </c>
      <c r="J793" s="219">
        <f t="shared" si="115"/>
        <v>71.75</v>
      </c>
      <c r="K793" s="219">
        <f t="shared" si="116"/>
        <v>1506.75</v>
      </c>
      <c r="L793" s="220" t="s">
        <v>1046</v>
      </c>
    </row>
    <row r="794" spans="2:12" ht="17.25" customHeight="1" x14ac:dyDescent="0.25">
      <c r="B794" s="9" t="s">
        <v>1006</v>
      </c>
      <c r="C794" s="314" t="s">
        <v>1784</v>
      </c>
      <c r="D794" s="216">
        <v>45625</v>
      </c>
      <c r="E794" s="307"/>
      <c r="F794" s="218" t="s">
        <v>1798</v>
      </c>
      <c r="G794" s="219">
        <v>733.57</v>
      </c>
      <c r="H794" s="219"/>
      <c r="I794" s="219">
        <v>733.57</v>
      </c>
      <c r="J794" s="219">
        <f t="shared" si="115"/>
        <v>36.678500000000007</v>
      </c>
      <c r="K794" s="219">
        <f t="shared" si="116"/>
        <v>770.24850000000004</v>
      </c>
      <c r="L794" s="220" t="s">
        <v>1046</v>
      </c>
    </row>
    <row r="795" spans="2:12" ht="17.25" customHeight="1" x14ac:dyDescent="0.25">
      <c r="B795" s="9" t="s">
        <v>1745</v>
      </c>
      <c r="C795" s="314" t="s">
        <v>1785</v>
      </c>
      <c r="D795" s="216">
        <v>45626</v>
      </c>
      <c r="E795" s="307"/>
      <c r="F795" s="218" t="s">
        <v>1799</v>
      </c>
      <c r="G795" s="219">
        <v>487.5</v>
      </c>
      <c r="H795" s="219"/>
      <c r="I795" s="219">
        <v>487.5</v>
      </c>
      <c r="J795" s="219">
        <f t="shared" si="115"/>
        <v>24.375</v>
      </c>
      <c r="K795" s="219">
        <f t="shared" si="116"/>
        <v>511.875</v>
      </c>
      <c r="L795" s="220" t="s">
        <v>9</v>
      </c>
    </row>
    <row r="796" spans="2:12" ht="17.25" customHeight="1" x14ac:dyDescent="0.25">
      <c r="B796" s="298" t="s">
        <v>1748</v>
      </c>
      <c r="C796" s="314" t="s">
        <v>1786</v>
      </c>
      <c r="D796" s="216">
        <v>45626</v>
      </c>
      <c r="E796" s="309">
        <v>100430750800003</v>
      </c>
      <c r="F796" s="218" t="s">
        <v>1800</v>
      </c>
      <c r="G796" s="219">
        <v>2925</v>
      </c>
      <c r="H796" s="219"/>
      <c r="I796" s="219">
        <v>2925</v>
      </c>
      <c r="J796" s="219">
        <f t="shared" si="115"/>
        <v>146.25</v>
      </c>
      <c r="K796" s="219">
        <f t="shared" si="116"/>
        <v>3071.25</v>
      </c>
      <c r="L796" s="220" t="s">
        <v>9</v>
      </c>
    </row>
    <row r="797" spans="2:12" ht="17.25" customHeight="1" x14ac:dyDescent="0.25">
      <c r="B797" s="298" t="s">
        <v>1748</v>
      </c>
      <c r="C797" s="314" t="s">
        <v>1787</v>
      </c>
      <c r="D797" s="216">
        <v>45626</v>
      </c>
      <c r="E797" s="309">
        <v>100430750800003</v>
      </c>
      <c r="F797" s="218" t="s">
        <v>1801</v>
      </c>
      <c r="G797" s="219">
        <v>6904.8</v>
      </c>
      <c r="H797" s="219"/>
      <c r="I797" s="219">
        <v>6904.8</v>
      </c>
      <c r="J797" s="219">
        <f t="shared" si="115"/>
        <v>345.24</v>
      </c>
      <c r="K797" s="219">
        <f t="shared" si="116"/>
        <v>7250.04</v>
      </c>
      <c r="L797" s="220" t="s">
        <v>9</v>
      </c>
    </row>
    <row r="798" spans="2:12" ht="17.25" customHeight="1" x14ac:dyDescent="0.25">
      <c r="B798" s="9" t="s">
        <v>1186</v>
      </c>
      <c r="C798" s="314" t="s">
        <v>1802</v>
      </c>
      <c r="D798" s="216">
        <v>45631</v>
      </c>
      <c r="E798" s="307"/>
      <c r="F798" s="218" t="s">
        <v>1803</v>
      </c>
      <c r="G798" s="219">
        <v>1028</v>
      </c>
      <c r="H798" s="219"/>
      <c r="I798" s="219">
        <v>1028</v>
      </c>
      <c r="J798" s="219">
        <f t="shared" si="115"/>
        <v>51.400000000000006</v>
      </c>
      <c r="K798" s="219">
        <f t="shared" si="116"/>
        <v>1079.4000000000001</v>
      </c>
      <c r="L798" s="220" t="s">
        <v>1046</v>
      </c>
    </row>
    <row r="799" spans="2:12" ht="17.25" customHeight="1" x14ac:dyDescent="0.25">
      <c r="B799" s="9" t="s">
        <v>1006</v>
      </c>
      <c r="C799" s="314" t="s">
        <v>1805</v>
      </c>
      <c r="D799" s="216">
        <v>45632</v>
      </c>
      <c r="E799" s="307"/>
      <c r="F799" s="218" t="s">
        <v>1809</v>
      </c>
      <c r="G799" s="219">
        <v>397</v>
      </c>
      <c r="H799" s="219"/>
      <c r="I799" s="219">
        <v>397</v>
      </c>
      <c r="J799" s="219">
        <f t="shared" si="115"/>
        <v>19.850000000000001</v>
      </c>
      <c r="K799" s="219">
        <f t="shared" si="116"/>
        <v>416.85</v>
      </c>
      <c r="L799" s="220" t="s">
        <v>1046</v>
      </c>
    </row>
    <row r="800" spans="2:12" ht="17.25" customHeight="1" x14ac:dyDescent="0.25">
      <c r="B800" s="9" t="s">
        <v>299</v>
      </c>
      <c r="C800" s="314" t="s">
        <v>1806</v>
      </c>
      <c r="D800" s="216">
        <v>45643</v>
      </c>
      <c r="E800" s="72">
        <v>100433257100003</v>
      </c>
      <c r="F800" s="218" t="s">
        <v>300</v>
      </c>
      <c r="G800" s="219">
        <v>8600</v>
      </c>
      <c r="H800" s="219"/>
      <c r="I800" s="219">
        <v>8600</v>
      </c>
      <c r="J800" s="219">
        <f t="shared" si="115"/>
        <v>430</v>
      </c>
      <c r="K800" s="219">
        <f t="shared" si="116"/>
        <v>9030</v>
      </c>
      <c r="L800" s="220" t="s">
        <v>9</v>
      </c>
    </row>
    <row r="801" spans="2:12" ht="17.25" customHeight="1" x14ac:dyDescent="0.25">
      <c r="B801" s="9" t="s">
        <v>644</v>
      </c>
      <c r="C801" s="314" t="s">
        <v>1807</v>
      </c>
      <c r="D801" s="216">
        <v>45635</v>
      </c>
      <c r="E801" s="72">
        <v>100556794400003</v>
      </c>
      <c r="F801" s="218" t="s">
        <v>1810</v>
      </c>
      <c r="G801" s="219">
        <v>1570</v>
      </c>
      <c r="H801" s="219"/>
      <c r="I801" s="219">
        <v>1570</v>
      </c>
      <c r="J801" s="219">
        <f t="shared" si="115"/>
        <v>78.5</v>
      </c>
      <c r="K801" s="219">
        <f t="shared" si="116"/>
        <v>1648.5</v>
      </c>
      <c r="L801" s="220" t="s">
        <v>9</v>
      </c>
    </row>
    <row r="802" spans="2:12" ht="17.25" customHeight="1" x14ac:dyDescent="0.25">
      <c r="B802" s="9" t="s">
        <v>43</v>
      </c>
      <c r="C802" s="314" t="s">
        <v>1808</v>
      </c>
      <c r="D802" s="216">
        <v>45635</v>
      </c>
      <c r="E802" s="72">
        <v>104166051300003</v>
      </c>
      <c r="F802" s="218" t="s">
        <v>1811</v>
      </c>
      <c r="G802" s="219">
        <v>2132.5</v>
      </c>
      <c r="H802" s="219"/>
      <c r="I802" s="219">
        <v>2132.5</v>
      </c>
      <c r="J802" s="219">
        <f t="shared" si="115"/>
        <v>106.625</v>
      </c>
      <c r="K802" s="219">
        <f t="shared" si="116"/>
        <v>2239.125</v>
      </c>
      <c r="L802" s="220" t="s">
        <v>9</v>
      </c>
    </row>
    <row r="803" spans="2:12" ht="17.25" customHeight="1" x14ac:dyDescent="0.25">
      <c r="B803" s="9" t="s">
        <v>199</v>
      </c>
      <c r="C803" s="314" t="s">
        <v>1812</v>
      </c>
      <c r="D803" s="216">
        <v>45639</v>
      </c>
      <c r="E803" s="72">
        <v>100349055200003</v>
      </c>
      <c r="F803" s="218" t="s">
        <v>1813</v>
      </c>
      <c r="G803" s="219">
        <v>3000</v>
      </c>
      <c r="H803" s="219"/>
      <c r="I803" s="219">
        <v>3000</v>
      </c>
      <c r="J803" s="219">
        <f t="shared" si="115"/>
        <v>150</v>
      </c>
      <c r="K803" s="219">
        <f t="shared" si="116"/>
        <v>3150</v>
      </c>
      <c r="L803" s="220" t="s">
        <v>9</v>
      </c>
    </row>
    <row r="804" spans="2:12" ht="17.25" customHeight="1" x14ac:dyDescent="0.25">
      <c r="B804" s="9" t="s">
        <v>1580</v>
      </c>
      <c r="C804" s="314" t="s">
        <v>1814</v>
      </c>
      <c r="D804" s="216">
        <v>45638</v>
      </c>
      <c r="E804" s="72">
        <v>100363376300003</v>
      </c>
      <c r="F804" s="218" t="s">
        <v>1815</v>
      </c>
      <c r="G804" s="219">
        <v>225</v>
      </c>
      <c r="H804" s="219"/>
      <c r="I804" s="219">
        <v>225</v>
      </c>
      <c r="J804" s="219">
        <f t="shared" si="115"/>
        <v>11.25</v>
      </c>
      <c r="K804" s="219">
        <f t="shared" si="116"/>
        <v>236.25</v>
      </c>
      <c r="L804" s="220" t="s">
        <v>1046</v>
      </c>
    </row>
    <row r="805" spans="2:12" ht="17.25" customHeight="1" x14ac:dyDescent="0.25">
      <c r="B805" s="9" t="s">
        <v>1554</v>
      </c>
      <c r="C805" s="318" t="s">
        <v>1816</v>
      </c>
      <c r="D805" s="216">
        <v>45638</v>
      </c>
      <c r="E805" s="72">
        <v>100599136700003</v>
      </c>
      <c r="F805" s="218" t="s">
        <v>1821</v>
      </c>
      <c r="G805" s="219">
        <v>13590</v>
      </c>
      <c r="H805" s="219"/>
      <c r="I805" s="219">
        <v>13590</v>
      </c>
      <c r="J805" s="219">
        <f t="shared" si="115"/>
        <v>679.5</v>
      </c>
      <c r="K805" s="219">
        <f t="shared" si="116"/>
        <v>14269.5</v>
      </c>
      <c r="L805" s="220" t="s">
        <v>9</v>
      </c>
    </row>
    <row r="806" spans="2:12" ht="17.25" customHeight="1" x14ac:dyDescent="0.25">
      <c r="B806" s="298" t="s">
        <v>1822</v>
      </c>
      <c r="C806" s="314" t="s">
        <v>1817</v>
      </c>
      <c r="D806" s="216">
        <v>45640</v>
      </c>
      <c r="E806" s="300">
        <v>104026656900003</v>
      </c>
      <c r="F806" s="218" t="s">
        <v>1823</v>
      </c>
      <c r="G806" s="219">
        <v>1025</v>
      </c>
      <c r="H806" s="219"/>
      <c r="I806" s="219">
        <v>1025</v>
      </c>
      <c r="J806" s="219">
        <f t="shared" si="115"/>
        <v>51.25</v>
      </c>
      <c r="K806" s="219">
        <f t="shared" si="116"/>
        <v>1076.25</v>
      </c>
      <c r="L806" s="220" t="s">
        <v>9</v>
      </c>
    </row>
    <row r="807" spans="2:12" ht="17.25" customHeight="1" x14ac:dyDescent="0.25">
      <c r="B807" s="9" t="s">
        <v>281</v>
      </c>
      <c r="C807" s="314" t="s">
        <v>1818</v>
      </c>
      <c r="D807" s="216">
        <v>45639</v>
      </c>
      <c r="E807" s="72">
        <v>100052630900003</v>
      </c>
      <c r="F807" s="218" t="s">
        <v>283</v>
      </c>
      <c r="G807" s="219">
        <v>7200</v>
      </c>
      <c r="H807" s="219"/>
      <c r="I807" s="219">
        <v>7200</v>
      </c>
      <c r="J807" s="219">
        <f t="shared" si="115"/>
        <v>360</v>
      </c>
      <c r="K807" s="219">
        <f t="shared" si="116"/>
        <v>7560</v>
      </c>
      <c r="L807" s="220" t="s">
        <v>9</v>
      </c>
    </row>
    <row r="808" spans="2:12" ht="17.25" customHeight="1" x14ac:dyDescent="0.25">
      <c r="B808" s="9" t="s">
        <v>114</v>
      </c>
      <c r="C808" s="314" t="s">
        <v>1819</v>
      </c>
      <c r="D808" s="216">
        <v>45639</v>
      </c>
      <c r="E808" s="72">
        <v>100235699400003</v>
      </c>
      <c r="F808" s="218" t="s">
        <v>1824</v>
      </c>
      <c r="G808" s="219">
        <v>405</v>
      </c>
      <c r="H808" s="219"/>
      <c r="I808" s="219">
        <v>405</v>
      </c>
      <c r="J808" s="219">
        <f t="shared" si="115"/>
        <v>20.25</v>
      </c>
      <c r="K808" s="219">
        <f t="shared" si="116"/>
        <v>425.25</v>
      </c>
      <c r="L808" s="220" t="s">
        <v>9</v>
      </c>
    </row>
    <row r="809" spans="2:12" ht="17.25" customHeight="1" x14ac:dyDescent="0.25">
      <c r="B809" s="9" t="s">
        <v>1006</v>
      </c>
      <c r="C809" s="314" t="s">
        <v>1820</v>
      </c>
      <c r="D809" s="216">
        <v>45639</v>
      </c>
      <c r="E809" s="309"/>
      <c r="F809" s="218" t="s">
        <v>1825</v>
      </c>
      <c r="G809" s="219">
        <v>154</v>
      </c>
      <c r="H809" s="219"/>
      <c r="I809" s="219">
        <v>154</v>
      </c>
      <c r="J809" s="219">
        <f t="shared" si="115"/>
        <v>7.7</v>
      </c>
      <c r="K809" s="219">
        <f t="shared" si="116"/>
        <v>161.69999999999999</v>
      </c>
      <c r="L809" s="220" t="s">
        <v>1046</v>
      </c>
    </row>
    <row r="810" spans="2:12" ht="17.25" customHeight="1" x14ac:dyDescent="0.25">
      <c r="B810" s="298" t="s">
        <v>1730</v>
      </c>
      <c r="C810" s="314" t="s">
        <v>1827</v>
      </c>
      <c r="D810" s="216">
        <v>45649</v>
      </c>
      <c r="E810" s="300">
        <v>104059274100003</v>
      </c>
      <c r="F810" s="218" t="s">
        <v>1839</v>
      </c>
      <c r="G810" s="219">
        <v>4445</v>
      </c>
      <c r="H810" s="219"/>
      <c r="I810" s="219">
        <v>4445</v>
      </c>
      <c r="J810" s="219">
        <f t="shared" si="115"/>
        <v>222.25</v>
      </c>
      <c r="K810" s="219">
        <f t="shared" si="116"/>
        <v>4667.25</v>
      </c>
      <c r="L810" s="220" t="s">
        <v>9</v>
      </c>
    </row>
    <row r="811" spans="2:12" ht="17.25" customHeight="1" x14ac:dyDescent="0.25">
      <c r="B811" s="298" t="s">
        <v>1840</v>
      </c>
      <c r="C811" s="314" t="s">
        <v>1828</v>
      </c>
      <c r="D811" s="216">
        <v>45649</v>
      </c>
      <c r="E811" s="300"/>
      <c r="F811" s="218" t="s">
        <v>1841</v>
      </c>
      <c r="G811" s="219">
        <v>1025</v>
      </c>
      <c r="H811" s="219"/>
      <c r="I811" s="219">
        <v>1025</v>
      </c>
      <c r="J811" s="219">
        <f t="shared" si="115"/>
        <v>51.25</v>
      </c>
      <c r="K811" s="219">
        <f t="shared" si="116"/>
        <v>1076.25</v>
      </c>
      <c r="L811" s="220" t="s">
        <v>9</v>
      </c>
    </row>
    <row r="812" spans="2:12" ht="17.25" customHeight="1" x14ac:dyDescent="0.25">
      <c r="B812" s="298" t="s">
        <v>1842</v>
      </c>
      <c r="C812" s="314" t="s">
        <v>1829</v>
      </c>
      <c r="D812" s="216">
        <v>45644</v>
      </c>
      <c r="E812" s="300">
        <v>104246115000001</v>
      </c>
      <c r="F812" s="218" t="s">
        <v>1843</v>
      </c>
      <c r="G812" s="219">
        <v>6590</v>
      </c>
      <c r="H812" s="219"/>
      <c r="I812" s="219">
        <v>6590</v>
      </c>
      <c r="J812" s="219">
        <f t="shared" si="115"/>
        <v>329.5</v>
      </c>
      <c r="K812" s="219">
        <f t="shared" si="116"/>
        <v>6919.5</v>
      </c>
      <c r="L812" s="220" t="s">
        <v>9</v>
      </c>
    </row>
    <row r="813" spans="2:12" ht="17.25" customHeight="1" x14ac:dyDescent="0.25">
      <c r="B813" s="298" t="s">
        <v>1844</v>
      </c>
      <c r="C813" s="314" t="s">
        <v>1830</v>
      </c>
      <c r="D813" s="216">
        <v>45643</v>
      </c>
      <c r="E813" s="300">
        <v>100481415600003</v>
      </c>
      <c r="F813" s="218" t="s">
        <v>1845</v>
      </c>
      <c r="G813" s="219">
        <v>90</v>
      </c>
      <c r="H813" s="219"/>
      <c r="I813" s="219">
        <v>90</v>
      </c>
      <c r="J813" s="219">
        <f t="shared" si="115"/>
        <v>4.5</v>
      </c>
      <c r="K813" s="219">
        <f t="shared" si="116"/>
        <v>94.5</v>
      </c>
      <c r="L813" s="220" t="s">
        <v>1046</v>
      </c>
    </row>
    <row r="814" spans="2:12" ht="17.25" customHeight="1" x14ac:dyDescent="0.25">
      <c r="B814" s="298" t="s">
        <v>1846</v>
      </c>
      <c r="C814" s="314" t="s">
        <v>1831</v>
      </c>
      <c r="D814" s="216">
        <v>45643</v>
      </c>
      <c r="E814" s="319" t="s">
        <v>1847</v>
      </c>
      <c r="F814" s="218" t="s">
        <v>1841</v>
      </c>
      <c r="G814" s="219">
        <v>4550</v>
      </c>
      <c r="H814" s="219"/>
      <c r="I814" s="219">
        <v>4550</v>
      </c>
      <c r="J814" s="219">
        <f t="shared" si="115"/>
        <v>227.5</v>
      </c>
      <c r="K814" s="219">
        <f t="shared" si="116"/>
        <v>4777.5</v>
      </c>
      <c r="L814" s="220" t="s">
        <v>9</v>
      </c>
    </row>
    <row r="815" spans="2:12" ht="17.25" customHeight="1" x14ac:dyDescent="0.25">
      <c r="B815" s="298" t="s">
        <v>297</v>
      </c>
      <c r="C815" s="314" t="s">
        <v>1832</v>
      </c>
      <c r="D815" s="216">
        <v>45656</v>
      </c>
      <c r="E815" s="300">
        <v>104061690400003</v>
      </c>
      <c r="F815" s="218" t="s">
        <v>1848</v>
      </c>
      <c r="G815" s="219">
        <v>9405</v>
      </c>
      <c r="H815" s="219"/>
      <c r="I815" s="219">
        <v>9405</v>
      </c>
      <c r="J815" s="219">
        <f t="shared" si="115"/>
        <v>470.25</v>
      </c>
      <c r="K815" s="219">
        <f t="shared" si="116"/>
        <v>9875.25</v>
      </c>
      <c r="L815" s="220" t="s">
        <v>9</v>
      </c>
    </row>
    <row r="816" spans="2:12" ht="17.25" customHeight="1" x14ac:dyDescent="0.25">
      <c r="B816" s="298" t="s">
        <v>102</v>
      </c>
      <c r="C816" s="318" t="s">
        <v>1833</v>
      </c>
      <c r="D816" s="216">
        <v>45645</v>
      </c>
      <c r="E816" s="300">
        <v>100593105800003</v>
      </c>
      <c r="F816" s="218" t="s">
        <v>1849</v>
      </c>
      <c r="G816" s="219">
        <v>89.4</v>
      </c>
      <c r="H816" s="219"/>
      <c r="I816" s="219">
        <v>89.4</v>
      </c>
      <c r="J816" s="219">
        <f t="shared" si="115"/>
        <v>4.4700000000000006</v>
      </c>
      <c r="K816" s="219">
        <f t="shared" si="116"/>
        <v>93.87</v>
      </c>
      <c r="L816" s="220" t="s">
        <v>9</v>
      </c>
    </row>
    <row r="817" spans="2:12" ht="17.25" customHeight="1" x14ac:dyDescent="0.25">
      <c r="B817" s="298" t="s">
        <v>102</v>
      </c>
      <c r="C817" s="314" t="s">
        <v>1834</v>
      </c>
      <c r="D817" s="216">
        <v>45645</v>
      </c>
      <c r="E817" s="300">
        <v>100593105800003</v>
      </c>
      <c r="F817" s="218" t="s">
        <v>1850</v>
      </c>
      <c r="G817" s="219">
        <v>23</v>
      </c>
      <c r="H817" s="219"/>
      <c r="I817" s="219">
        <v>23</v>
      </c>
      <c r="J817" s="219">
        <f t="shared" si="115"/>
        <v>1.1500000000000001</v>
      </c>
      <c r="K817" s="219">
        <f t="shared" si="116"/>
        <v>24.15</v>
      </c>
      <c r="L817" s="220" t="s">
        <v>9</v>
      </c>
    </row>
    <row r="818" spans="2:12" ht="17.25" customHeight="1" x14ac:dyDescent="0.25">
      <c r="B818" s="298" t="s">
        <v>1851</v>
      </c>
      <c r="C818" s="314" t="s">
        <v>1835</v>
      </c>
      <c r="D818" s="216">
        <v>45645</v>
      </c>
      <c r="E818" s="300"/>
      <c r="F818" s="218" t="s">
        <v>1852</v>
      </c>
      <c r="G818" s="219">
        <v>1143</v>
      </c>
      <c r="H818" s="219"/>
      <c r="I818" s="219">
        <v>1143</v>
      </c>
      <c r="J818" s="219">
        <v>57</v>
      </c>
      <c r="K818" s="219">
        <f t="shared" si="116"/>
        <v>1200</v>
      </c>
      <c r="L818" s="220" t="s">
        <v>9</v>
      </c>
    </row>
    <row r="819" spans="2:12" ht="17.25" customHeight="1" x14ac:dyDescent="0.25">
      <c r="B819" s="298" t="s">
        <v>1580</v>
      </c>
      <c r="C819" s="314" t="s">
        <v>1836</v>
      </c>
      <c r="D819" s="216">
        <v>45646</v>
      </c>
      <c r="E819" s="300">
        <v>100363376300003</v>
      </c>
      <c r="F819" s="218" t="s">
        <v>1853</v>
      </c>
      <c r="G819" s="219">
        <v>820</v>
      </c>
      <c r="H819" s="219"/>
      <c r="I819" s="219">
        <v>820</v>
      </c>
      <c r="J819" s="219">
        <f t="shared" ref="J819:J841" si="117">G819*5%</f>
        <v>41</v>
      </c>
      <c r="K819" s="219">
        <f t="shared" ref="K819:K841" si="118">G819+J819</f>
        <v>861</v>
      </c>
      <c r="L819" s="220" t="s">
        <v>9</v>
      </c>
    </row>
    <row r="820" spans="2:12" ht="17.25" customHeight="1" x14ac:dyDescent="0.25">
      <c r="B820" s="298" t="s">
        <v>29</v>
      </c>
      <c r="C820" s="314" t="s">
        <v>1837</v>
      </c>
      <c r="D820" s="216">
        <v>45646</v>
      </c>
      <c r="E820" s="300">
        <v>100430750800003</v>
      </c>
      <c r="F820" s="218" t="s">
        <v>1854</v>
      </c>
      <c r="G820" s="219">
        <v>411</v>
      </c>
      <c r="H820" s="219"/>
      <c r="I820" s="219">
        <v>411</v>
      </c>
      <c r="J820" s="219">
        <f t="shared" si="117"/>
        <v>20.55</v>
      </c>
      <c r="K820" s="219">
        <f t="shared" si="118"/>
        <v>431.55</v>
      </c>
      <c r="L820" s="220" t="s">
        <v>9</v>
      </c>
    </row>
    <row r="821" spans="2:12" ht="17.25" customHeight="1" x14ac:dyDescent="0.25">
      <c r="B821" s="298" t="s">
        <v>29</v>
      </c>
      <c r="C821" s="314" t="s">
        <v>1838</v>
      </c>
      <c r="D821" s="216">
        <v>45646</v>
      </c>
      <c r="E821" s="300">
        <v>100430750800003</v>
      </c>
      <c r="F821" s="218" t="s">
        <v>1855</v>
      </c>
      <c r="G821" s="219">
        <v>325</v>
      </c>
      <c r="H821" s="219"/>
      <c r="I821" s="219">
        <v>325</v>
      </c>
      <c r="J821" s="219">
        <f t="shared" si="117"/>
        <v>16.25</v>
      </c>
      <c r="K821" s="219">
        <f t="shared" si="118"/>
        <v>341.25</v>
      </c>
      <c r="L821" s="220" t="s">
        <v>9</v>
      </c>
    </row>
    <row r="822" spans="2:12" ht="17.25" customHeight="1" x14ac:dyDescent="0.25">
      <c r="B822" s="298" t="s">
        <v>1858</v>
      </c>
      <c r="C822" s="314" t="s">
        <v>1856</v>
      </c>
      <c r="D822" s="216">
        <v>45647</v>
      </c>
      <c r="E822" s="72">
        <v>100245036700003</v>
      </c>
      <c r="F822" s="218" t="s">
        <v>1859</v>
      </c>
      <c r="G822" s="219">
        <v>2550</v>
      </c>
      <c r="H822" s="219"/>
      <c r="I822" s="219">
        <v>2550</v>
      </c>
      <c r="J822" s="219">
        <f t="shared" si="117"/>
        <v>127.5</v>
      </c>
      <c r="K822" s="219">
        <f t="shared" si="118"/>
        <v>2677.5</v>
      </c>
      <c r="L822" s="220" t="s">
        <v>9</v>
      </c>
    </row>
    <row r="823" spans="2:12" ht="17.25" customHeight="1" x14ac:dyDescent="0.25">
      <c r="B823" s="9" t="s">
        <v>1006</v>
      </c>
      <c r="C823" s="314" t="s">
        <v>1857</v>
      </c>
      <c r="D823" s="216">
        <v>45647</v>
      </c>
      <c r="E823" s="309"/>
      <c r="F823" s="218" t="s">
        <v>1860</v>
      </c>
      <c r="G823" s="219">
        <v>224</v>
      </c>
      <c r="H823" s="219"/>
      <c r="I823" s="219">
        <v>224</v>
      </c>
      <c r="J823" s="219">
        <f t="shared" si="117"/>
        <v>11.200000000000001</v>
      </c>
      <c r="K823" s="219">
        <f t="shared" si="118"/>
        <v>235.2</v>
      </c>
      <c r="L823" s="220" t="s">
        <v>1046</v>
      </c>
    </row>
    <row r="824" spans="2:12" ht="17.25" customHeight="1" x14ac:dyDescent="0.25">
      <c r="B824" s="298" t="s">
        <v>43</v>
      </c>
      <c r="C824" s="314" t="s">
        <v>1861</v>
      </c>
      <c r="D824" s="216">
        <v>45653</v>
      </c>
      <c r="E824" s="72">
        <v>104166051300003</v>
      </c>
      <c r="F824" s="218" t="s">
        <v>1862</v>
      </c>
      <c r="G824" s="219">
        <v>2735</v>
      </c>
      <c r="H824" s="219"/>
      <c r="I824" s="219">
        <v>2735</v>
      </c>
      <c r="J824" s="219">
        <f t="shared" si="117"/>
        <v>136.75</v>
      </c>
      <c r="K824" s="219">
        <f t="shared" si="118"/>
        <v>2871.75</v>
      </c>
      <c r="L824" s="220" t="s">
        <v>9</v>
      </c>
    </row>
    <row r="825" spans="2:12" ht="17.25" customHeight="1" x14ac:dyDescent="0.25">
      <c r="B825" s="298" t="s">
        <v>1858</v>
      </c>
      <c r="C825" s="314" t="s">
        <v>1863</v>
      </c>
      <c r="D825" s="216">
        <v>45653</v>
      </c>
      <c r="E825" s="72">
        <v>100245036700003</v>
      </c>
      <c r="F825" s="218" t="s">
        <v>1871</v>
      </c>
      <c r="G825" s="219">
        <v>3135</v>
      </c>
      <c r="H825" s="219"/>
      <c r="I825" s="219">
        <v>3135</v>
      </c>
      <c r="J825" s="219">
        <f t="shared" si="117"/>
        <v>156.75</v>
      </c>
      <c r="K825" s="219">
        <f t="shared" si="118"/>
        <v>3291.75</v>
      </c>
      <c r="L825" s="220" t="s">
        <v>9</v>
      </c>
    </row>
    <row r="826" spans="2:12" ht="17.25" customHeight="1" x14ac:dyDescent="0.25">
      <c r="B826" s="298" t="s">
        <v>1858</v>
      </c>
      <c r="C826" s="314" t="s">
        <v>1864</v>
      </c>
      <c r="D826" s="216">
        <v>45653</v>
      </c>
      <c r="E826" s="72">
        <v>100245036700003</v>
      </c>
      <c r="F826" s="218" t="s">
        <v>1872</v>
      </c>
      <c r="G826" s="219">
        <v>95</v>
      </c>
      <c r="H826" s="219"/>
      <c r="I826" s="219">
        <v>95</v>
      </c>
      <c r="J826" s="219">
        <f t="shared" si="117"/>
        <v>4.75</v>
      </c>
      <c r="K826" s="219">
        <f t="shared" si="118"/>
        <v>99.75</v>
      </c>
      <c r="L826" s="220" t="s">
        <v>9</v>
      </c>
    </row>
    <row r="827" spans="2:12" ht="17.25" customHeight="1" x14ac:dyDescent="0.25">
      <c r="B827" s="298" t="s">
        <v>1873</v>
      </c>
      <c r="C827" s="314" t="s">
        <v>1865</v>
      </c>
      <c r="D827" s="216">
        <v>45652</v>
      </c>
      <c r="E827" s="300">
        <v>100362141200003</v>
      </c>
      <c r="F827" s="218" t="s">
        <v>800</v>
      </c>
      <c r="G827" s="219">
        <v>125</v>
      </c>
      <c r="H827" s="219"/>
      <c r="I827" s="219">
        <v>125</v>
      </c>
      <c r="J827" s="219">
        <f t="shared" si="117"/>
        <v>6.25</v>
      </c>
      <c r="K827" s="219">
        <f t="shared" si="118"/>
        <v>131.25</v>
      </c>
      <c r="L827" s="220" t="s">
        <v>1046</v>
      </c>
    </row>
    <row r="828" spans="2:12" ht="17.25" customHeight="1" x14ac:dyDescent="0.25">
      <c r="B828" s="298" t="s">
        <v>1377</v>
      </c>
      <c r="C828" s="314" t="s">
        <v>1866</v>
      </c>
      <c r="D828" s="216">
        <v>45313</v>
      </c>
      <c r="E828" s="72">
        <v>100290916400003</v>
      </c>
      <c r="F828" s="218" t="s">
        <v>1874</v>
      </c>
      <c r="G828" s="219">
        <v>10000</v>
      </c>
      <c r="H828" s="219"/>
      <c r="I828" s="219">
        <v>10000</v>
      </c>
      <c r="J828" s="219">
        <f t="shared" si="117"/>
        <v>500</v>
      </c>
      <c r="K828" s="219">
        <f t="shared" si="118"/>
        <v>10500</v>
      </c>
      <c r="L828" s="220" t="s">
        <v>9</v>
      </c>
    </row>
    <row r="829" spans="2:12" ht="17.25" customHeight="1" x14ac:dyDescent="0.25">
      <c r="B829" s="298" t="s">
        <v>1377</v>
      </c>
      <c r="C829" s="314" t="s">
        <v>1867</v>
      </c>
      <c r="D829" s="216">
        <v>45679</v>
      </c>
      <c r="E829" s="72">
        <v>100290916400003</v>
      </c>
      <c r="F829" s="218" t="s">
        <v>1874</v>
      </c>
      <c r="G829" s="219">
        <v>7500</v>
      </c>
      <c r="H829" s="219"/>
      <c r="I829" s="219">
        <v>7500</v>
      </c>
      <c r="J829" s="219">
        <f t="shared" si="117"/>
        <v>375</v>
      </c>
      <c r="K829" s="219">
        <f t="shared" si="118"/>
        <v>7875</v>
      </c>
      <c r="L829" s="220" t="s">
        <v>9</v>
      </c>
    </row>
    <row r="830" spans="2:12" ht="17.25" customHeight="1" x14ac:dyDescent="0.25">
      <c r="B830" s="9" t="s">
        <v>81</v>
      </c>
      <c r="C830" s="314" t="s">
        <v>1868</v>
      </c>
      <c r="D830" s="216">
        <v>45653</v>
      </c>
      <c r="E830" s="72">
        <v>100056728700003</v>
      </c>
      <c r="F830" s="218" t="s">
        <v>1875</v>
      </c>
      <c r="G830" s="219">
        <v>1460</v>
      </c>
      <c r="H830" s="219"/>
      <c r="I830" s="219">
        <v>1460</v>
      </c>
      <c r="J830" s="219">
        <f t="shared" si="117"/>
        <v>73</v>
      </c>
      <c r="K830" s="219">
        <f t="shared" si="118"/>
        <v>1533</v>
      </c>
      <c r="L830" s="220" t="s">
        <v>9</v>
      </c>
    </row>
    <row r="831" spans="2:12" ht="17.25" customHeight="1" x14ac:dyDescent="0.25">
      <c r="B831" s="9" t="s">
        <v>102</v>
      </c>
      <c r="C831" s="314" t="s">
        <v>1869</v>
      </c>
      <c r="D831" s="216">
        <v>45653</v>
      </c>
      <c r="E831" s="72">
        <v>100593105800003</v>
      </c>
      <c r="F831" s="218" t="s">
        <v>1876</v>
      </c>
      <c r="G831" s="219">
        <v>56</v>
      </c>
      <c r="H831" s="219"/>
      <c r="I831" s="219">
        <v>56</v>
      </c>
      <c r="J831" s="219">
        <f t="shared" si="117"/>
        <v>2.8000000000000003</v>
      </c>
      <c r="K831" s="219">
        <f t="shared" si="118"/>
        <v>58.8</v>
      </c>
      <c r="L831" s="220" t="s">
        <v>9</v>
      </c>
    </row>
    <row r="832" spans="2:12" ht="17.25" customHeight="1" x14ac:dyDescent="0.25">
      <c r="B832" s="298" t="s">
        <v>1858</v>
      </c>
      <c r="C832" s="314" t="s">
        <v>1870</v>
      </c>
      <c r="D832" s="216">
        <v>45653</v>
      </c>
      <c r="E832" s="72">
        <v>100245036700003</v>
      </c>
      <c r="F832" s="218" t="s">
        <v>1877</v>
      </c>
      <c r="G832" s="219">
        <v>490</v>
      </c>
      <c r="H832" s="219"/>
      <c r="I832" s="219">
        <v>490</v>
      </c>
      <c r="J832" s="219">
        <f t="shared" si="117"/>
        <v>24.5</v>
      </c>
      <c r="K832" s="219">
        <f t="shared" si="118"/>
        <v>514.5</v>
      </c>
      <c r="L832" s="220" t="s">
        <v>9</v>
      </c>
    </row>
    <row r="833" spans="2:12" ht="17.25" customHeight="1" x14ac:dyDescent="0.25">
      <c r="B833" s="9" t="s">
        <v>43</v>
      </c>
      <c r="C833" s="314" t="s">
        <v>1878</v>
      </c>
      <c r="D833" s="216">
        <v>45656</v>
      </c>
      <c r="E833" s="72">
        <v>104166051300003</v>
      </c>
      <c r="F833" s="218" t="s">
        <v>1879</v>
      </c>
      <c r="G833" s="219">
        <v>2160</v>
      </c>
      <c r="H833" s="219"/>
      <c r="I833" s="219">
        <v>2160</v>
      </c>
      <c r="J833" s="219">
        <f t="shared" si="117"/>
        <v>108</v>
      </c>
      <c r="K833" s="219">
        <f t="shared" si="118"/>
        <v>2268</v>
      </c>
      <c r="L833" s="220" t="s">
        <v>9</v>
      </c>
    </row>
    <row r="834" spans="2:12" ht="17.25" customHeight="1" x14ac:dyDescent="0.25">
      <c r="B834" s="9" t="s">
        <v>43</v>
      </c>
      <c r="C834" s="314" t="s">
        <v>1880</v>
      </c>
      <c r="D834" s="216">
        <v>45656</v>
      </c>
      <c r="E834" s="72">
        <v>104166051300003</v>
      </c>
      <c r="F834" s="218" t="s">
        <v>95</v>
      </c>
      <c r="G834" s="219">
        <v>295</v>
      </c>
      <c r="H834" s="219"/>
      <c r="I834" s="219">
        <v>295</v>
      </c>
      <c r="J834" s="219">
        <f t="shared" si="117"/>
        <v>14.75</v>
      </c>
      <c r="K834" s="219">
        <f t="shared" si="118"/>
        <v>309.75</v>
      </c>
      <c r="L834" s="220" t="s">
        <v>9</v>
      </c>
    </row>
    <row r="835" spans="2:12" ht="17.25" customHeight="1" x14ac:dyDescent="0.25">
      <c r="B835" s="9" t="s">
        <v>1851</v>
      </c>
      <c r="C835" s="314" t="s">
        <v>1881</v>
      </c>
      <c r="D835" s="216">
        <v>45656</v>
      </c>
      <c r="E835" s="300"/>
      <c r="F835" s="218" t="s">
        <v>1852</v>
      </c>
      <c r="G835" s="219">
        <v>342.86</v>
      </c>
      <c r="H835" s="219"/>
      <c r="I835" s="219">
        <v>342.86</v>
      </c>
      <c r="J835" s="219">
        <f t="shared" si="117"/>
        <v>17.143000000000001</v>
      </c>
      <c r="K835" s="219">
        <f t="shared" si="118"/>
        <v>360.00300000000004</v>
      </c>
      <c r="L835" s="220" t="s">
        <v>9</v>
      </c>
    </row>
    <row r="836" spans="2:12" ht="17.25" customHeight="1" x14ac:dyDescent="0.25">
      <c r="B836" s="343" t="s">
        <v>1858</v>
      </c>
      <c r="C836" s="314" t="s">
        <v>1882</v>
      </c>
      <c r="D836" s="216">
        <v>45657</v>
      </c>
      <c r="E836" s="309">
        <v>100245036700003</v>
      </c>
      <c r="F836" s="218" t="s">
        <v>1891</v>
      </c>
      <c r="G836" s="219">
        <v>190</v>
      </c>
      <c r="H836" s="219"/>
      <c r="I836" s="219">
        <v>190</v>
      </c>
      <c r="J836" s="219">
        <f t="shared" si="117"/>
        <v>9.5</v>
      </c>
      <c r="K836" s="219">
        <f t="shared" si="118"/>
        <v>199.5</v>
      </c>
      <c r="L836" s="220" t="s">
        <v>9</v>
      </c>
    </row>
    <row r="837" spans="2:12" ht="17.25" customHeight="1" x14ac:dyDescent="0.25">
      <c r="B837" s="343" t="s">
        <v>664</v>
      </c>
      <c r="C837" s="314" t="s">
        <v>1883</v>
      </c>
      <c r="D837" s="216">
        <v>45656</v>
      </c>
      <c r="E837" s="309">
        <v>100048520900003</v>
      </c>
      <c r="F837" s="218" t="s">
        <v>1892</v>
      </c>
      <c r="G837" s="219">
        <v>150</v>
      </c>
      <c r="H837" s="219"/>
      <c r="I837" s="219">
        <v>150</v>
      </c>
      <c r="J837" s="219">
        <f t="shared" si="117"/>
        <v>7.5</v>
      </c>
      <c r="K837" s="219">
        <f t="shared" si="118"/>
        <v>157.5</v>
      </c>
      <c r="L837" s="220" t="s">
        <v>9</v>
      </c>
    </row>
    <row r="838" spans="2:12" ht="17.25" customHeight="1" x14ac:dyDescent="0.25">
      <c r="B838" s="343" t="s">
        <v>666</v>
      </c>
      <c r="C838" s="314" t="s">
        <v>1884</v>
      </c>
      <c r="D838" s="216">
        <v>45656</v>
      </c>
      <c r="E838" s="309">
        <v>100048520900003</v>
      </c>
      <c r="F838" s="218" t="s">
        <v>1892</v>
      </c>
      <c r="G838" s="219">
        <v>120</v>
      </c>
      <c r="H838" s="219"/>
      <c r="I838" s="219">
        <v>120</v>
      </c>
      <c r="J838" s="219">
        <f t="shared" si="117"/>
        <v>6</v>
      </c>
      <c r="K838" s="219">
        <f t="shared" si="118"/>
        <v>126</v>
      </c>
      <c r="L838" s="220" t="s">
        <v>9</v>
      </c>
    </row>
    <row r="839" spans="2:12" ht="17.25" customHeight="1" x14ac:dyDescent="0.25">
      <c r="B839" s="343" t="s">
        <v>1893</v>
      </c>
      <c r="C839" s="314" t="s">
        <v>1885</v>
      </c>
      <c r="D839" s="216">
        <v>45656</v>
      </c>
      <c r="E839" s="309"/>
      <c r="F839" s="218" t="s">
        <v>1894</v>
      </c>
      <c r="G839" s="219">
        <v>229.35</v>
      </c>
      <c r="H839" s="219"/>
      <c r="I839" s="219">
        <v>229.35</v>
      </c>
      <c r="J839" s="219">
        <f t="shared" si="117"/>
        <v>11.467500000000001</v>
      </c>
      <c r="K839" s="219">
        <f t="shared" si="118"/>
        <v>240.8175</v>
      </c>
      <c r="L839" s="220" t="s">
        <v>9</v>
      </c>
    </row>
    <row r="840" spans="2:12" ht="17.25" customHeight="1" x14ac:dyDescent="0.25">
      <c r="B840" s="343" t="s">
        <v>22</v>
      </c>
      <c r="C840" s="314" t="s">
        <v>1886</v>
      </c>
      <c r="D840" s="216">
        <v>45656</v>
      </c>
      <c r="E840" s="309">
        <v>100348311000003</v>
      </c>
      <c r="F840" s="218" t="s">
        <v>1895</v>
      </c>
      <c r="G840" s="219">
        <v>630</v>
      </c>
      <c r="H840" s="219"/>
      <c r="I840" s="219">
        <v>630</v>
      </c>
      <c r="J840" s="219">
        <f t="shared" si="117"/>
        <v>31.5</v>
      </c>
      <c r="K840" s="219">
        <f t="shared" si="118"/>
        <v>661.5</v>
      </c>
      <c r="L840" s="220" t="s">
        <v>9</v>
      </c>
    </row>
    <row r="841" spans="2:12" ht="17.25" customHeight="1" x14ac:dyDescent="0.25">
      <c r="B841" s="343" t="s">
        <v>114</v>
      </c>
      <c r="C841" s="314" t="s">
        <v>1887</v>
      </c>
      <c r="D841" s="216">
        <v>45657</v>
      </c>
      <c r="E841" s="309">
        <v>100235699400003</v>
      </c>
      <c r="F841" s="218" t="s">
        <v>1896</v>
      </c>
      <c r="G841" s="219">
        <v>168</v>
      </c>
      <c r="H841" s="219"/>
      <c r="I841" s="219">
        <v>168</v>
      </c>
      <c r="J841" s="219">
        <f t="shared" si="117"/>
        <v>8.4</v>
      </c>
      <c r="K841" s="219">
        <f t="shared" si="118"/>
        <v>176.4</v>
      </c>
      <c r="L841" s="220" t="s">
        <v>9</v>
      </c>
    </row>
    <row r="842" spans="2:12" ht="17.25" customHeight="1" x14ac:dyDescent="0.25">
      <c r="B842" s="343" t="s">
        <v>29</v>
      </c>
      <c r="C842" s="314" t="s">
        <v>1888</v>
      </c>
      <c r="D842" s="216">
        <v>45657</v>
      </c>
      <c r="E842" s="300">
        <v>100430750800003</v>
      </c>
      <c r="F842" s="218" t="s">
        <v>1899</v>
      </c>
      <c r="G842" s="219">
        <v>9036</v>
      </c>
      <c r="H842" s="219"/>
      <c r="I842" s="219">
        <v>9036</v>
      </c>
      <c r="J842" s="219">
        <f t="shared" ref="J842" si="119">G842*5%</f>
        <v>451.8</v>
      </c>
      <c r="K842" s="219">
        <f t="shared" ref="K842" si="120">G842+J842</f>
        <v>9487.7999999999993</v>
      </c>
      <c r="L842" s="220" t="s">
        <v>9</v>
      </c>
    </row>
    <row r="843" spans="2:12" ht="17.25" customHeight="1" x14ac:dyDescent="0.25">
      <c r="B843" s="343" t="s">
        <v>102</v>
      </c>
      <c r="C843" s="314" t="s">
        <v>1889</v>
      </c>
      <c r="D843" s="216">
        <v>45664</v>
      </c>
      <c r="E843" s="309">
        <v>100593105800003</v>
      </c>
      <c r="F843" s="218" t="s">
        <v>1897</v>
      </c>
      <c r="G843" s="219">
        <v>175</v>
      </c>
      <c r="H843" s="219"/>
      <c r="I843" s="219">
        <v>175</v>
      </c>
      <c r="J843" s="219">
        <f t="shared" ref="J843:J844" si="121">G843*5%</f>
        <v>8.75</v>
      </c>
      <c r="K843" s="219">
        <f t="shared" ref="K843:K844" si="122">G843+J843</f>
        <v>183.75</v>
      </c>
      <c r="L843" s="220" t="s">
        <v>9</v>
      </c>
    </row>
    <row r="844" spans="2:12" ht="17.25" customHeight="1" x14ac:dyDescent="0.25">
      <c r="B844" s="343" t="s">
        <v>102</v>
      </c>
      <c r="C844" s="318" t="s">
        <v>1890</v>
      </c>
      <c r="D844" s="216">
        <v>45657</v>
      </c>
      <c r="E844" s="309">
        <v>100593105800003</v>
      </c>
      <c r="F844" s="218" t="s">
        <v>1898</v>
      </c>
      <c r="G844" s="219">
        <v>160</v>
      </c>
      <c r="H844" s="219"/>
      <c r="I844" s="219">
        <v>160</v>
      </c>
      <c r="J844" s="219">
        <f t="shared" si="121"/>
        <v>8</v>
      </c>
      <c r="K844" s="219">
        <f t="shared" si="122"/>
        <v>168</v>
      </c>
      <c r="L844" s="220" t="s">
        <v>9</v>
      </c>
    </row>
  </sheetData>
  <autoFilter ref="B2:L844" xr:uid="{D8D5F0F7-F48B-462A-84DD-C4C196928CFD}"/>
  <phoneticPr fontId="5" type="noConversion"/>
  <conditionalFormatting sqref="B2 E2 L367:L373 B12:B393 B395 B397:B399 B401:B415 B417:B418 B420 B422:B428 B430 B432:B435 B437 B439:B450 E12:E452 B455:B457 B459:B463 E454:E548 B465:B548 E551:E552 B554:B565 E554:E565 B568:B576 E568:E576 B583 E581 E583 E585:E639 B607:B639 B642:B660 B662:B664 B666:B684 F755 E642:E754 B686:B1048576 E756:E1048576">
    <cfRule type="duplicateValues" dxfId="16" priority="297"/>
  </conditionalFormatting>
  <conditionalFormatting sqref="B2 L367:L373 B12:B393 B395 B397:B399 B401:B415 B417:B418 B420 B422:B428 B430 B432:B435 B437 B439:B450 B455:B457 B459:B463 B465:B548 B554:B565 B568:B576 B583 B607:B639 B642:B660 B662:B664 B666:B684 B686:B1048576">
    <cfRule type="duplicateValues" dxfId="15" priority="293"/>
  </conditionalFormatting>
  <conditionalFormatting sqref="B3 E3">
    <cfRule type="duplicateValues" dxfId="14" priority="35"/>
  </conditionalFormatting>
  <conditionalFormatting sqref="B3">
    <cfRule type="duplicateValues" dxfId="13" priority="130"/>
  </conditionalFormatting>
  <conditionalFormatting sqref="B4:B5 E4:E5">
    <cfRule type="duplicateValues" dxfId="12" priority="38"/>
  </conditionalFormatting>
  <conditionalFormatting sqref="B4:B5">
    <cfRule type="duplicateValues" dxfId="11" priority="36"/>
  </conditionalFormatting>
  <conditionalFormatting sqref="B10">
    <cfRule type="duplicateValues" dxfId="10" priority="25"/>
    <cfRule type="duplicateValues" dxfId="9" priority="26"/>
  </conditionalFormatting>
  <conditionalFormatting sqref="E2 E12:E452 E454:E548 E551:E552 E554:E565 E568:E576 E581 E583 E585:E639 F755 E642:E754 E756:E1048576">
    <cfRule type="duplicateValues" dxfId="8" priority="289"/>
  </conditionalFormatting>
  <conditionalFormatting sqref="E3">
    <cfRule type="duplicateValues" dxfId="7" priority="31"/>
    <cfRule type="duplicateValues" dxfId="6" priority="33"/>
    <cfRule type="duplicateValues" dxfId="5" priority="34"/>
  </conditionalFormatting>
  <conditionalFormatting sqref="E4:E5">
    <cfRule type="duplicateValues" dxfId="4" priority="37"/>
  </conditionalFormatting>
  <conditionalFormatting sqref="E490">
    <cfRule type="duplicateValues" dxfId="3" priority="1"/>
    <cfRule type="duplicateValues" dxfId="2" priority="2"/>
  </conditionalFormatting>
  <conditionalFormatting sqref="L367:L373 B1:B393 B395 B397:B399 B401:B415 B417:B418 B420 B422:B428 B430 B432:B435 B437 B439:B450 E1:E452 B455:B457 B459:B463 E454:E548 B465:B548 E551:E552 B554:B565 E554:E565 B568:B576 E568:E576 B583 E581 E583 E585:E639 B607:B639 B642:B660 B662:B664 B666:B684 F755 E642:E754 B686:B1048576 E756:E1048576">
    <cfRule type="duplicateValues" dxfId="1" priority="284"/>
  </conditionalFormatting>
  <dataValidations count="3">
    <dataValidation type="list" allowBlank="1" showInputMessage="1" showErrorMessage="1" sqref="L1:L2 L158 L160:L393 L52 L97 L395:L1048576" xr:uid="{0246B4BB-790C-49E9-918A-E2F3EE820AE9}">
      <formula1>"DM, MARINELLE, REENA,GLEN, BNI, PROFORMA, GAGANDEEP, KF MARIYA, SABARISH"</formula1>
    </dataValidation>
    <dataValidation type="list" allowBlank="1" showInputMessage="1" showErrorMessage="1" sqref="L3:L51 L53:L96 L98:L157 L159" xr:uid="{A7BE184C-7C37-4489-8A40-87686AAB55F9}">
      <formula1>"DM, MARINELLE, REENA,GLEN, PROFORMA,MELVIN"</formula1>
    </dataValidation>
    <dataValidation type="list" allowBlank="1" showInputMessage="1" showErrorMessage="1" sqref="L394" xr:uid="{519DA012-3BFB-40C3-AFC3-9055BCD8B353}">
      <formula1>"DM, MARINELLE, REENA,GLEN, PROFORMA,GAGANDEEP, MARIYA"</formula1>
    </dataValidation>
  </dataValidations>
  <pageMargins left="0.7" right="0.7" top="0.75" bottom="0.75" header="0.3" footer="0.3"/>
  <pageSetup scale="10" orientation="portrait" r:id="rId1"/>
  <colBreaks count="1" manualBreakCount="1">
    <brk id="6" max="616" man="1"/>
  </colBreaks>
  <ignoredErrors>
    <ignoredError sqref="E10:E842" numberStoredAsText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7883-E427-451E-AE5F-DD32DA0D5E41}">
  <dimension ref="B3:O7"/>
  <sheetViews>
    <sheetView workbookViewId="0">
      <selection activeCell="C19" sqref="C19"/>
    </sheetView>
  </sheetViews>
  <sheetFormatPr defaultRowHeight="15" x14ac:dyDescent="0.25"/>
  <cols>
    <col min="2" max="2" width="28.42578125" bestFit="1" customWidth="1"/>
    <col min="3" max="3" width="9.5703125" style="32" bestFit="1" customWidth="1"/>
    <col min="4" max="4" width="5" style="32" bestFit="1" customWidth="1"/>
    <col min="5" max="5" width="11.28515625" style="26" bestFit="1" customWidth="1"/>
    <col min="12" max="12" width="24.5703125" bestFit="1" customWidth="1"/>
    <col min="13" max="13" width="9.5703125" style="32" bestFit="1" customWidth="1"/>
    <col min="14" max="14" width="5" style="32" bestFit="1" customWidth="1"/>
    <col min="15" max="15" width="11.28515625" style="26" bestFit="1" customWidth="1"/>
  </cols>
  <sheetData>
    <row r="3" spans="2:15" x14ac:dyDescent="0.25">
      <c r="B3" s="30" t="s">
        <v>31</v>
      </c>
      <c r="C3" s="86" t="s">
        <v>60</v>
      </c>
      <c r="D3" s="25"/>
      <c r="E3" s="25"/>
      <c r="L3" s="30" t="s">
        <v>14</v>
      </c>
      <c r="M3" s="86" t="s">
        <v>60</v>
      </c>
      <c r="N3" s="25"/>
      <c r="O3" s="25"/>
    </row>
    <row r="4" spans="2:15" x14ac:dyDescent="0.25">
      <c r="B4" s="30" t="s">
        <v>17</v>
      </c>
      <c r="C4" s="25" t="s">
        <v>18</v>
      </c>
      <c r="D4" s="25" t="s">
        <v>269</v>
      </c>
      <c r="E4" s="25" t="s">
        <v>13</v>
      </c>
      <c r="L4" s="30" t="s">
        <v>15</v>
      </c>
      <c r="M4" s="25" t="s">
        <v>18</v>
      </c>
      <c r="N4" s="25" t="s">
        <v>269</v>
      </c>
      <c r="O4" s="25" t="s">
        <v>13</v>
      </c>
    </row>
    <row r="5" spans="2:15" x14ac:dyDescent="0.25">
      <c r="B5" s="27" t="s">
        <v>142</v>
      </c>
      <c r="C5" s="25">
        <v>450</v>
      </c>
      <c r="D5" s="25"/>
      <c r="E5" s="25">
        <v>450</v>
      </c>
      <c r="L5" s="27" t="s">
        <v>9</v>
      </c>
      <c r="M5" s="25">
        <v>750</v>
      </c>
      <c r="N5" s="25">
        <v>1100</v>
      </c>
      <c r="O5" s="25">
        <v>1850</v>
      </c>
    </row>
    <row r="6" spans="2:15" x14ac:dyDescent="0.25">
      <c r="B6" s="27" t="s">
        <v>102</v>
      </c>
      <c r="C6" s="25">
        <v>300</v>
      </c>
      <c r="D6" s="25">
        <v>1100</v>
      </c>
      <c r="E6" s="25">
        <v>1400</v>
      </c>
      <c r="L6" s="27" t="s">
        <v>13</v>
      </c>
      <c r="M6" s="25">
        <v>750</v>
      </c>
      <c r="N6" s="25">
        <v>1100</v>
      </c>
      <c r="O6" s="25">
        <v>1850</v>
      </c>
    </row>
    <row r="7" spans="2:15" x14ac:dyDescent="0.25">
      <c r="B7" s="27" t="s">
        <v>13</v>
      </c>
      <c r="C7" s="25">
        <v>750</v>
      </c>
      <c r="D7" s="25">
        <v>1100</v>
      </c>
      <c r="E7" s="25">
        <v>1850</v>
      </c>
      <c r="M7" s="26"/>
      <c r="N7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5A0B-C643-4C86-AA37-0A6BACD06DAA}">
  <dimension ref="A1:N141"/>
  <sheetViews>
    <sheetView topLeftCell="A56" workbookViewId="0">
      <selection activeCell="E4" sqref="E4"/>
    </sheetView>
  </sheetViews>
  <sheetFormatPr defaultRowHeight="15" x14ac:dyDescent="0.25"/>
  <cols>
    <col min="1" max="1" width="9.140625" style="27"/>
    <col min="2" max="2" width="45.42578125" bestFit="1" customWidth="1"/>
    <col min="3" max="5" width="11.5703125" style="26" bestFit="1" customWidth="1"/>
    <col min="6" max="6" width="10.5703125" style="26" bestFit="1" customWidth="1"/>
    <col min="7" max="8" width="11.5703125" style="26" bestFit="1" customWidth="1"/>
    <col min="9" max="9" width="11.5703125" style="26" customWidth="1"/>
    <col min="10" max="10" width="13.28515625" style="26" bestFit="1" customWidth="1"/>
    <col min="11" max="11" width="8.28515625" style="168" bestFit="1" customWidth="1"/>
    <col min="12" max="13" width="11.5703125" style="26" bestFit="1" customWidth="1"/>
    <col min="14" max="14" width="10.5703125" bestFit="1" customWidth="1"/>
  </cols>
  <sheetData>
    <row r="1" spans="1:14" x14ac:dyDescent="0.25">
      <c r="A1" s="344" t="s">
        <v>891</v>
      </c>
      <c r="B1" s="344"/>
      <c r="C1" s="344"/>
      <c r="D1" s="344"/>
      <c r="E1" s="344"/>
      <c r="F1" s="344"/>
      <c r="G1" s="344"/>
      <c r="H1" s="344"/>
      <c r="I1" s="188"/>
      <c r="J1" s="32"/>
    </row>
    <row r="2" spans="1:14" ht="15.75" thickBot="1" x14ac:dyDescent="0.3"/>
    <row r="3" spans="1:14" x14ac:dyDescent="0.25">
      <c r="A3" s="139"/>
      <c r="B3" s="103"/>
      <c r="C3" s="153"/>
      <c r="D3" s="104"/>
      <c r="E3" s="105"/>
      <c r="F3" s="104"/>
      <c r="G3" s="105"/>
      <c r="H3" s="104"/>
      <c r="I3" s="105"/>
      <c r="J3" s="105"/>
      <c r="K3" s="169"/>
      <c r="L3" s="173"/>
      <c r="M3" s="160"/>
      <c r="N3" s="9"/>
    </row>
    <row r="4" spans="1:14" ht="30.75" thickBot="1" x14ac:dyDescent="0.3">
      <c r="A4" s="140"/>
      <c r="B4" s="106" t="s">
        <v>17</v>
      </c>
      <c r="C4" s="107" t="s">
        <v>18</v>
      </c>
      <c r="D4" s="107" t="s">
        <v>269</v>
      </c>
      <c r="E4" s="108" t="s">
        <v>401</v>
      </c>
      <c r="F4" s="107" t="s">
        <v>600</v>
      </c>
      <c r="G4" s="108" t="s">
        <v>680</v>
      </c>
      <c r="H4" s="107" t="s">
        <v>847</v>
      </c>
      <c r="I4" s="108" t="s">
        <v>1019</v>
      </c>
      <c r="J4" s="108" t="s">
        <v>13</v>
      </c>
      <c r="K4" s="170" t="s">
        <v>864</v>
      </c>
      <c r="L4" s="174" t="s">
        <v>865</v>
      </c>
      <c r="M4" s="175" t="s">
        <v>866</v>
      </c>
      <c r="N4" s="9"/>
    </row>
    <row r="5" spans="1:14" ht="15.75" thickBot="1" x14ac:dyDescent="0.3">
      <c r="A5" s="138"/>
      <c r="B5" s="109" t="s">
        <v>867</v>
      </c>
      <c r="C5" s="110"/>
      <c r="D5" s="107"/>
      <c r="E5" s="108"/>
      <c r="F5" s="107"/>
      <c r="G5" s="108"/>
      <c r="H5" s="107"/>
      <c r="I5" s="160"/>
      <c r="J5" s="108"/>
      <c r="K5" s="170"/>
      <c r="L5" s="174"/>
      <c r="M5" s="175"/>
      <c r="N5" s="9"/>
    </row>
    <row r="6" spans="1:14" x14ac:dyDescent="0.25">
      <c r="A6" s="101">
        <v>1</v>
      </c>
      <c r="B6" s="149" t="s">
        <v>102</v>
      </c>
      <c r="C6" s="117">
        <v>5040.9070000000002</v>
      </c>
      <c r="D6" s="117">
        <v>165010.85</v>
      </c>
      <c r="E6" s="117">
        <v>585</v>
      </c>
      <c r="F6" s="117">
        <v>4197</v>
      </c>
      <c r="G6" s="117">
        <v>16715.669999999998</v>
      </c>
      <c r="H6" s="117">
        <v>160</v>
      </c>
      <c r="I6" s="117">
        <v>3845</v>
      </c>
      <c r="J6" s="117">
        <v>195554.42700000003</v>
      </c>
      <c r="K6" s="197">
        <v>28</v>
      </c>
      <c r="L6" s="154">
        <f t="shared" ref="L6:L15" si="0">J6/K6</f>
        <v>6984.0866785714297</v>
      </c>
      <c r="M6" s="117">
        <f>+J6/7</f>
        <v>27936.346714285719</v>
      </c>
      <c r="N6" s="118"/>
    </row>
    <row r="7" spans="1:14" x14ac:dyDescent="0.25">
      <c r="A7" s="101">
        <v>2</v>
      </c>
      <c r="B7" s="149" t="s">
        <v>10</v>
      </c>
      <c r="C7" s="117">
        <v>9650.49</v>
      </c>
      <c r="D7" s="117">
        <v>16015.5</v>
      </c>
      <c r="E7" s="117">
        <v>18431</v>
      </c>
      <c r="F7" s="117">
        <v>9871</v>
      </c>
      <c r="G7" s="117">
        <v>20166.02</v>
      </c>
      <c r="H7" s="117">
        <v>76627.75</v>
      </c>
      <c r="I7" s="117">
        <v>13364.81</v>
      </c>
      <c r="J7" s="117">
        <v>164126.57</v>
      </c>
      <c r="K7" s="197">
        <v>90</v>
      </c>
      <c r="L7" s="154">
        <f t="shared" si="0"/>
        <v>1823.6285555555555</v>
      </c>
      <c r="M7" s="117">
        <f t="shared" ref="M7:M15" si="1">+J7/7</f>
        <v>23446.652857142857</v>
      </c>
      <c r="N7" s="118"/>
    </row>
    <row r="8" spans="1:14" x14ac:dyDescent="0.25">
      <c r="A8" s="101">
        <v>3</v>
      </c>
      <c r="B8" s="149" t="s">
        <v>29</v>
      </c>
      <c r="C8" s="117">
        <v>10803.35</v>
      </c>
      <c r="D8" s="117"/>
      <c r="E8" s="117">
        <v>12395</v>
      </c>
      <c r="F8" s="117">
        <v>4669</v>
      </c>
      <c r="G8" s="117">
        <v>18700</v>
      </c>
      <c r="H8" s="117">
        <v>35007.5</v>
      </c>
      <c r="I8" s="117">
        <v>977</v>
      </c>
      <c r="J8" s="117">
        <v>82551.850000000006</v>
      </c>
      <c r="K8" s="197">
        <v>34</v>
      </c>
      <c r="L8" s="154">
        <f t="shared" si="0"/>
        <v>2427.9955882352942</v>
      </c>
      <c r="M8" s="117">
        <f t="shared" si="1"/>
        <v>11793.121428571429</v>
      </c>
      <c r="N8" s="118"/>
    </row>
    <row r="9" spans="1:14" x14ac:dyDescent="0.25">
      <c r="A9" s="101">
        <v>4</v>
      </c>
      <c r="B9" s="149" t="s">
        <v>904</v>
      </c>
      <c r="C9" s="117"/>
      <c r="D9" s="117"/>
      <c r="E9" s="117"/>
      <c r="F9" s="117"/>
      <c r="G9" s="117"/>
      <c r="H9" s="117">
        <v>45667.08</v>
      </c>
      <c r="I9" s="117"/>
      <c r="J9" s="117">
        <v>45667.08</v>
      </c>
      <c r="K9" s="197">
        <v>1</v>
      </c>
      <c r="L9" s="154">
        <f t="shared" si="0"/>
        <v>45667.08</v>
      </c>
      <c r="M9" s="117">
        <f t="shared" si="1"/>
        <v>6523.8685714285721</v>
      </c>
      <c r="N9" s="118"/>
    </row>
    <row r="10" spans="1:14" x14ac:dyDescent="0.25">
      <c r="A10" s="101">
        <v>5</v>
      </c>
      <c r="B10" s="149" t="s">
        <v>515</v>
      </c>
      <c r="C10" s="117"/>
      <c r="D10" s="117"/>
      <c r="E10" s="117">
        <v>6920</v>
      </c>
      <c r="F10" s="117"/>
      <c r="G10" s="117">
        <v>12375</v>
      </c>
      <c r="H10" s="117">
        <v>24338.5</v>
      </c>
      <c r="I10" s="117"/>
      <c r="J10" s="117">
        <v>43633.5</v>
      </c>
      <c r="K10" s="197">
        <v>5</v>
      </c>
      <c r="L10" s="154">
        <f t="shared" si="0"/>
        <v>8726.7000000000007</v>
      </c>
      <c r="M10" s="117">
        <f t="shared" si="1"/>
        <v>6233.3571428571431</v>
      </c>
      <c r="N10" s="118"/>
    </row>
    <row r="11" spans="1:14" x14ac:dyDescent="0.25">
      <c r="A11" s="101">
        <v>6</v>
      </c>
      <c r="B11" s="149" t="s">
        <v>911</v>
      </c>
      <c r="C11" s="117"/>
      <c r="D11" s="117"/>
      <c r="E11" s="117"/>
      <c r="F11" s="117"/>
      <c r="G11" s="117"/>
      <c r="H11" s="117">
        <v>39130</v>
      </c>
      <c r="I11" s="117"/>
      <c r="J11" s="117">
        <v>39130</v>
      </c>
      <c r="K11" s="197">
        <v>1</v>
      </c>
      <c r="L11" s="154">
        <f t="shared" si="0"/>
        <v>39130</v>
      </c>
      <c r="M11" s="117">
        <f t="shared" si="1"/>
        <v>5590</v>
      </c>
      <c r="N11" s="118"/>
    </row>
    <row r="12" spans="1:14" x14ac:dyDescent="0.25">
      <c r="A12" s="101">
        <v>7</v>
      </c>
      <c r="B12" s="149" t="s">
        <v>203</v>
      </c>
      <c r="C12" s="117">
        <v>19193.5</v>
      </c>
      <c r="D12" s="117"/>
      <c r="E12" s="117"/>
      <c r="F12" s="117"/>
      <c r="G12" s="117">
        <v>3831.2999999999997</v>
      </c>
      <c r="H12" s="117">
        <v>358.75</v>
      </c>
      <c r="I12" s="117">
        <v>14110</v>
      </c>
      <c r="J12" s="117">
        <v>37493.550000000003</v>
      </c>
      <c r="K12" s="197">
        <v>8</v>
      </c>
      <c r="L12" s="154">
        <f t="shared" si="0"/>
        <v>4686.6937500000004</v>
      </c>
      <c r="M12" s="117">
        <f t="shared" si="1"/>
        <v>5356.221428571429</v>
      </c>
      <c r="N12" s="118"/>
    </row>
    <row r="13" spans="1:14" x14ac:dyDescent="0.25">
      <c r="A13" s="101">
        <v>8</v>
      </c>
      <c r="B13" s="149" t="s">
        <v>122</v>
      </c>
      <c r="C13" s="117">
        <v>4475</v>
      </c>
      <c r="D13" s="117"/>
      <c r="E13" s="117">
        <v>22177.5</v>
      </c>
      <c r="F13" s="117">
        <v>310</v>
      </c>
      <c r="G13" s="117">
        <v>975</v>
      </c>
      <c r="H13" s="117">
        <v>6445</v>
      </c>
      <c r="I13" s="117">
        <v>275</v>
      </c>
      <c r="J13" s="117">
        <v>34657.5</v>
      </c>
      <c r="K13" s="197">
        <v>10</v>
      </c>
      <c r="L13" s="154">
        <f t="shared" si="0"/>
        <v>3465.75</v>
      </c>
      <c r="M13" s="117">
        <f t="shared" si="1"/>
        <v>4951.0714285714284</v>
      </c>
      <c r="N13" s="118"/>
    </row>
    <row r="14" spans="1:14" x14ac:dyDescent="0.25">
      <c r="A14" s="101">
        <v>9</v>
      </c>
      <c r="B14" s="149" t="s">
        <v>535</v>
      </c>
      <c r="C14" s="117"/>
      <c r="D14" s="117"/>
      <c r="E14" s="117">
        <v>31080.870000000003</v>
      </c>
      <c r="F14" s="117"/>
      <c r="G14" s="117">
        <v>1240</v>
      </c>
      <c r="H14" s="117"/>
      <c r="I14" s="117"/>
      <c r="J14" s="117">
        <v>32320.870000000003</v>
      </c>
      <c r="K14" s="197">
        <v>8</v>
      </c>
      <c r="L14" s="154">
        <f t="shared" si="0"/>
        <v>4040.1087500000003</v>
      </c>
      <c r="M14" s="117">
        <f t="shared" si="1"/>
        <v>4617.267142857143</v>
      </c>
      <c r="N14" s="118"/>
    </row>
    <row r="15" spans="1:14" ht="15.75" thickBot="1" x14ac:dyDescent="0.3">
      <c r="A15" s="101">
        <v>10</v>
      </c>
      <c r="B15" s="149" t="s">
        <v>576</v>
      </c>
      <c r="C15" s="117"/>
      <c r="D15" s="117"/>
      <c r="E15" s="117"/>
      <c r="F15" s="117">
        <v>29332.5</v>
      </c>
      <c r="G15" s="117"/>
      <c r="H15" s="117"/>
      <c r="I15" s="117"/>
      <c r="J15" s="117">
        <v>29332.5</v>
      </c>
      <c r="K15" s="197">
        <v>2</v>
      </c>
      <c r="L15" s="154">
        <f t="shared" si="0"/>
        <v>14666.25</v>
      </c>
      <c r="M15" s="117">
        <f t="shared" si="1"/>
        <v>4190.3571428571431</v>
      </c>
      <c r="N15" s="118"/>
    </row>
    <row r="16" spans="1:14" ht="15.75" thickBot="1" x14ac:dyDescent="0.3">
      <c r="A16" s="101"/>
      <c r="B16" s="115"/>
      <c r="C16" s="111">
        <f>SUM(C6:C15)</f>
        <v>49163.247000000003</v>
      </c>
      <c r="D16" s="112">
        <f t="shared" ref="D16:K16" si="2">SUM(D6:D15)</f>
        <v>181026.35</v>
      </c>
      <c r="E16" s="112">
        <f t="shared" si="2"/>
        <v>91589.37</v>
      </c>
      <c r="F16" s="112">
        <f t="shared" si="2"/>
        <v>48379.5</v>
      </c>
      <c r="G16" s="112">
        <f t="shared" si="2"/>
        <v>74002.990000000005</v>
      </c>
      <c r="H16" s="112">
        <f t="shared" si="2"/>
        <v>227734.58000000002</v>
      </c>
      <c r="I16" s="112">
        <f t="shared" si="2"/>
        <v>32571.809999999998</v>
      </c>
      <c r="J16" s="112">
        <f>SUM(J6:J15)</f>
        <v>704467.84700000018</v>
      </c>
      <c r="K16" s="171">
        <f t="shared" si="2"/>
        <v>187</v>
      </c>
      <c r="L16" s="116">
        <f>+J16/K16</f>
        <v>3767.2077379679154</v>
      </c>
      <c r="M16" s="119">
        <f>SUM(M6:M15)</f>
        <v>100638.26385714288</v>
      </c>
      <c r="N16" s="118">
        <f>+J16/J132*100</f>
        <v>62.512485775131545</v>
      </c>
    </row>
    <row r="17" spans="1:14" ht="15.75" thickBot="1" x14ac:dyDescent="0.3"/>
    <row r="18" spans="1:14" ht="15.75" thickBot="1" x14ac:dyDescent="0.3">
      <c r="B18" s="109" t="s">
        <v>868</v>
      </c>
    </row>
    <row r="19" spans="1:14" x14ac:dyDescent="0.25">
      <c r="A19" s="140">
        <v>1</v>
      </c>
      <c r="B19" s="185" t="s">
        <v>566</v>
      </c>
      <c r="C19" s="121"/>
      <c r="D19" s="121"/>
      <c r="E19" s="121"/>
      <c r="F19" s="121">
        <v>24100</v>
      </c>
      <c r="G19" s="121"/>
      <c r="H19" s="121"/>
      <c r="I19" s="121"/>
      <c r="J19" s="121">
        <v>24100</v>
      </c>
      <c r="K19" s="198">
        <v>3</v>
      </c>
      <c r="L19" s="155">
        <f t="shared" ref="L19:L38" si="3">J19/K19</f>
        <v>8033.333333333333</v>
      </c>
      <c r="M19" s="121">
        <f>+J19/7</f>
        <v>3442.8571428571427</v>
      </c>
      <c r="N19" s="122"/>
    </row>
    <row r="20" spans="1:14" x14ac:dyDescent="0.25">
      <c r="A20" s="101">
        <v>2</v>
      </c>
      <c r="B20" s="185" t="s">
        <v>114</v>
      </c>
      <c r="C20" s="121">
        <v>6380</v>
      </c>
      <c r="D20" s="121">
        <v>3000</v>
      </c>
      <c r="E20" s="121">
        <v>3370</v>
      </c>
      <c r="F20" s="121">
        <v>1250</v>
      </c>
      <c r="G20" s="121">
        <v>4864</v>
      </c>
      <c r="H20" s="121">
        <v>1731</v>
      </c>
      <c r="I20" s="121">
        <v>1669</v>
      </c>
      <c r="J20" s="121">
        <v>22264</v>
      </c>
      <c r="K20" s="198">
        <v>30</v>
      </c>
      <c r="L20" s="155">
        <f t="shared" si="3"/>
        <v>742.13333333333333</v>
      </c>
      <c r="M20" s="121">
        <f t="shared" ref="M20:M38" si="4">+J20/7</f>
        <v>3180.5714285714284</v>
      </c>
      <c r="N20" s="122"/>
    </row>
    <row r="21" spans="1:14" x14ac:dyDescent="0.25">
      <c r="A21" s="140">
        <v>3</v>
      </c>
      <c r="B21" s="185" t="s">
        <v>1066</v>
      </c>
      <c r="C21" s="121"/>
      <c r="D21" s="121"/>
      <c r="E21" s="121"/>
      <c r="F21" s="121"/>
      <c r="G21" s="121"/>
      <c r="H21" s="121"/>
      <c r="I21" s="121">
        <v>17900</v>
      </c>
      <c r="J21" s="121">
        <v>17900</v>
      </c>
      <c r="K21" s="198">
        <v>1</v>
      </c>
      <c r="L21" s="155">
        <f t="shared" si="3"/>
        <v>17900</v>
      </c>
      <c r="M21" s="121">
        <f t="shared" si="4"/>
        <v>2557.1428571428573</v>
      </c>
      <c r="N21" s="122"/>
    </row>
    <row r="22" spans="1:14" x14ac:dyDescent="0.25">
      <c r="A22" s="101">
        <v>4</v>
      </c>
      <c r="B22" s="185" t="s">
        <v>257</v>
      </c>
      <c r="C22" s="121">
        <v>14375</v>
      </c>
      <c r="D22" s="121"/>
      <c r="E22" s="121"/>
      <c r="F22" s="121"/>
      <c r="G22" s="121"/>
      <c r="H22" s="121"/>
      <c r="I22" s="121">
        <v>1933.5</v>
      </c>
      <c r="J22" s="121">
        <v>16308.5</v>
      </c>
      <c r="K22" s="198">
        <v>2</v>
      </c>
      <c r="L22" s="155">
        <f t="shared" si="3"/>
        <v>8154.25</v>
      </c>
      <c r="M22" s="121">
        <f t="shared" si="4"/>
        <v>2329.7857142857142</v>
      </c>
      <c r="N22" s="122"/>
    </row>
    <row r="23" spans="1:14" x14ac:dyDescent="0.25">
      <c r="A23" s="140">
        <v>5</v>
      </c>
      <c r="B23" s="185" t="s">
        <v>731</v>
      </c>
      <c r="C23" s="121"/>
      <c r="D23" s="121"/>
      <c r="E23" s="121"/>
      <c r="F23" s="121"/>
      <c r="G23" s="121">
        <v>11490.5</v>
      </c>
      <c r="H23" s="121">
        <v>4517.5</v>
      </c>
      <c r="I23" s="121"/>
      <c r="J23" s="121">
        <v>16008</v>
      </c>
      <c r="K23" s="198">
        <v>5</v>
      </c>
      <c r="L23" s="155">
        <f t="shared" si="3"/>
        <v>3201.6</v>
      </c>
      <c r="M23" s="121">
        <f t="shared" si="4"/>
        <v>2286.8571428571427</v>
      </c>
      <c r="N23" s="122"/>
    </row>
    <row r="24" spans="1:14" x14ac:dyDescent="0.25">
      <c r="A24" s="101">
        <v>6</v>
      </c>
      <c r="B24" s="185" t="s">
        <v>119</v>
      </c>
      <c r="C24" s="121">
        <v>14677.74</v>
      </c>
      <c r="D24" s="121"/>
      <c r="E24" s="121"/>
      <c r="F24" s="121">
        <v>325</v>
      </c>
      <c r="G24" s="121"/>
      <c r="H24" s="121"/>
      <c r="I24" s="121"/>
      <c r="J24" s="121">
        <v>15002.74</v>
      </c>
      <c r="K24" s="198">
        <v>3</v>
      </c>
      <c r="L24" s="155">
        <f t="shared" si="3"/>
        <v>5000.913333333333</v>
      </c>
      <c r="M24" s="121">
        <f t="shared" si="4"/>
        <v>2143.2485714285713</v>
      </c>
      <c r="N24" s="122"/>
    </row>
    <row r="25" spans="1:14" x14ac:dyDescent="0.25">
      <c r="A25" s="140">
        <v>7</v>
      </c>
      <c r="B25" s="185" t="s">
        <v>81</v>
      </c>
      <c r="C25" s="121">
        <v>1250</v>
      </c>
      <c r="D25" s="121"/>
      <c r="E25" s="121">
        <v>9475</v>
      </c>
      <c r="F25" s="121">
        <v>1100</v>
      </c>
      <c r="G25" s="121"/>
      <c r="H25" s="121">
        <v>870</v>
      </c>
      <c r="I25" s="121">
        <v>435</v>
      </c>
      <c r="J25" s="121">
        <v>13130</v>
      </c>
      <c r="K25" s="198">
        <v>8</v>
      </c>
      <c r="L25" s="155">
        <f t="shared" si="3"/>
        <v>1641.25</v>
      </c>
      <c r="M25" s="121">
        <f t="shared" si="4"/>
        <v>1875.7142857142858</v>
      </c>
      <c r="N25" s="122"/>
    </row>
    <row r="26" spans="1:14" x14ac:dyDescent="0.25">
      <c r="A26" s="101">
        <v>8</v>
      </c>
      <c r="B26" s="185" t="s">
        <v>319</v>
      </c>
      <c r="C26" s="121"/>
      <c r="D26" s="121">
        <v>13000</v>
      </c>
      <c r="E26" s="121"/>
      <c r="F26" s="121"/>
      <c r="G26" s="121"/>
      <c r="H26" s="121"/>
      <c r="I26" s="121"/>
      <c r="J26" s="121">
        <v>13000</v>
      </c>
      <c r="K26" s="198">
        <v>1</v>
      </c>
      <c r="L26" s="155">
        <f t="shared" si="3"/>
        <v>13000</v>
      </c>
      <c r="M26" s="121">
        <f t="shared" si="4"/>
        <v>1857.1428571428571</v>
      </c>
      <c r="N26" s="122"/>
    </row>
    <row r="27" spans="1:14" x14ac:dyDescent="0.25">
      <c r="A27" s="140">
        <v>9</v>
      </c>
      <c r="B27" s="185" t="s">
        <v>75</v>
      </c>
      <c r="C27" s="121">
        <v>475</v>
      </c>
      <c r="D27" s="121">
        <v>1347.5</v>
      </c>
      <c r="E27" s="121"/>
      <c r="F27" s="121"/>
      <c r="G27" s="121">
        <v>1060</v>
      </c>
      <c r="H27" s="121">
        <v>10070</v>
      </c>
      <c r="I27" s="121"/>
      <c r="J27" s="121">
        <v>12952.5</v>
      </c>
      <c r="K27" s="198">
        <v>6</v>
      </c>
      <c r="L27" s="155">
        <f t="shared" si="3"/>
        <v>2158.75</v>
      </c>
      <c r="M27" s="121">
        <f t="shared" si="4"/>
        <v>1850.3571428571429</v>
      </c>
      <c r="N27" s="122"/>
    </row>
    <row r="28" spans="1:14" x14ac:dyDescent="0.25">
      <c r="A28" s="101">
        <v>10</v>
      </c>
      <c r="B28" s="185" t="s">
        <v>692</v>
      </c>
      <c r="C28" s="121">
        <v>1445</v>
      </c>
      <c r="D28" s="121">
        <v>9450.0000000000018</v>
      </c>
      <c r="E28" s="121"/>
      <c r="F28" s="121"/>
      <c r="G28" s="121">
        <v>430</v>
      </c>
      <c r="H28" s="121">
        <v>485</v>
      </c>
      <c r="I28" s="121">
        <v>575</v>
      </c>
      <c r="J28" s="121">
        <v>12385.000000000002</v>
      </c>
      <c r="K28" s="198">
        <v>16</v>
      </c>
      <c r="L28" s="155">
        <f t="shared" si="3"/>
        <v>774.06250000000011</v>
      </c>
      <c r="M28" s="121">
        <f t="shared" si="4"/>
        <v>1769.2857142857144</v>
      </c>
      <c r="N28" s="122"/>
    </row>
    <row r="29" spans="1:14" x14ac:dyDescent="0.25">
      <c r="A29" s="140">
        <v>11</v>
      </c>
      <c r="B29" s="185" t="s">
        <v>980</v>
      </c>
      <c r="C29" s="121"/>
      <c r="D29" s="121"/>
      <c r="E29" s="121"/>
      <c r="F29" s="121"/>
      <c r="G29" s="121"/>
      <c r="H29" s="121">
        <v>11142.25</v>
      </c>
      <c r="I29" s="121"/>
      <c r="J29" s="121">
        <v>11142.25</v>
      </c>
      <c r="K29" s="198">
        <v>2</v>
      </c>
      <c r="L29" s="155">
        <f t="shared" si="3"/>
        <v>5571.125</v>
      </c>
      <c r="M29" s="121">
        <f t="shared" si="4"/>
        <v>1591.75</v>
      </c>
      <c r="N29" s="122"/>
    </row>
    <row r="30" spans="1:14" x14ac:dyDescent="0.25">
      <c r="A30" s="101">
        <v>12</v>
      </c>
      <c r="B30" s="185" t="s">
        <v>524</v>
      </c>
      <c r="C30" s="121"/>
      <c r="D30" s="121"/>
      <c r="E30" s="121">
        <v>4225</v>
      </c>
      <c r="F30" s="121"/>
      <c r="G30" s="121">
        <v>350</v>
      </c>
      <c r="H30" s="121">
        <v>5935</v>
      </c>
      <c r="I30" s="121">
        <v>485</v>
      </c>
      <c r="J30" s="121">
        <v>10995</v>
      </c>
      <c r="K30" s="198">
        <v>5</v>
      </c>
      <c r="L30" s="155">
        <f t="shared" si="3"/>
        <v>2199</v>
      </c>
      <c r="M30" s="121">
        <f t="shared" si="4"/>
        <v>1570.7142857142858</v>
      </c>
      <c r="N30" s="122"/>
    </row>
    <row r="31" spans="1:14" x14ac:dyDescent="0.25">
      <c r="A31" s="140">
        <v>13</v>
      </c>
      <c r="B31" s="185" t="s">
        <v>281</v>
      </c>
      <c r="C31" s="121"/>
      <c r="D31" s="121">
        <v>10965</v>
      </c>
      <c r="E31" s="121"/>
      <c r="F31" s="121"/>
      <c r="G31" s="121"/>
      <c r="H31" s="121"/>
      <c r="I31" s="121"/>
      <c r="J31" s="121">
        <v>10965</v>
      </c>
      <c r="K31" s="198">
        <v>1</v>
      </c>
      <c r="L31" s="155">
        <f t="shared" si="3"/>
        <v>10965</v>
      </c>
      <c r="M31" s="121">
        <f t="shared" si="4"/>
        <v>1566.4285714285713</v>
      </c>
      <c r="N31" s="122"/>
    </row>
    <row r="32" spans="1:14" x14ac:dyDescent="0.25">
      <c r="A32" s="101">
        <v>14</v>
      </c>
      <c r="B32" s="185" t="s">
        <v>345</v>
      </c>
      <c r="C32" s="121"/>
      <c r="D32" s="121">
        <v>8850</v>
      </c>
      <c r="E32" s="121"/>
      <c r="F32" s="121"/>
      <c r="G32" s="121"/>
      <c r="H32" s="121"/>
      <c r="I32" s="121"/>
      <c r="J32" s="121">
        <v>8850</v>
      </c>
      <c r="K32" s="198">
        <v>1</v>
      </c>
      <c r="L32" s="155">
        <f t="shared" si="3"/>
        <v>8850</v>
      </c>
      <c r="M32" s="121">
        <f t="shared" si="4"/>
        <v>1264.2857142857142</v>
      </c>
      <c r="N32" s="122"/>
    </row>
    <row r="33" spans="1:14" x14ac:dyDescent="0.25">
      <c r="A33" s="140">
        <v>15</v>
      </c>
      <c r="B33" s="185" t="s">
        <v>297</v>
      </c>
      <c r="C33" s="121"/>
      <c r="D33" s="121">
        <v>989</v>
      </c>
      <c r="E33" s="121"/>
      <c r="F33" s="121"/>
      <c r="G33" s="121">
        <v>7425</v>
      </c>
      <c r="H33" s="121"/>
      <c r="I33" s="121"/>
      <c r="J33" s="121">
        <v>8414</v>
      </c>
      <c r="K33" s="198">
        <v>2</v>
      </c>
      <c r="L33" s="155">
        <f t="shared" si="3"/>
        <v>4207</v>
      </c>
      <c r="M33" s="121">
        <f t="shared" si="4"/>
        <v>1202</v>
      </c>
      <c r="N33" s="122"/>
    </row>
    <row r="34" spans="1:14" x14ac:dyDescent="0.25">
      <c r="A34" s="101">
        <v>16</v>
      </c>
      <c r="B34" s="185" t="s">
        <v>739</v>
      </c>
      <c r="C34" s="121"/>
      <c r="D34" s="121"/>
      <c r="E34" s="121"/>
      <c r="F34" s="121"/>
      <c r="G34" s="121">
        <v>8385</v>
      </c>
      <c r="H34" s="121"/>
      <c r="I34" s="121"/>
      <c r="J34" s="121">
        <v>8385</v>
      </c>
      <c r="K34" s="198">
        <v>1</v>
      </c>
      <c r="L34" s="155">
        <f t="shared" si="3"/>
        <v>8385</v>
      </c>
      <c r="M34" s="121">
        <f t="shared" si="4"/>
        <v>1197.8571428571429</v>
      </c>
      <c r="N34" s="122"/>
    </row>
    <row r="35" spans="1:14" x14ac:dyDescent="0.25">
      <c r="A35" s="140">
        <v>17</v>
      </c>
      <c r="B35" s="185" t="s">
        <v>48</v>
      </c>
      <c r="C35" s="121">
        <v>8360</v>
      </c>
      <c r="D35" s="121"/>
      <c r="E35" s="121"/>
      <c r="F35" s="121"/>
      <c r="G35" s="121"/>
      <c r="H35" s="121"/>
      <c r="I35" s="121"/>
      <c r="J35" s="121">
        <v>8360</v>
      </c>
      <c r="K35" s="198">
        <v>2</v>
      </c>
      <c r="L35" s="155">
        <f t="shared" si="3"/>
        <v>4180</v>
      </c>
      <c r="M35" s="121">
        <f t="shared" si="4"/>
        <v>1194.2857142857142</v>
      </c>
      <c r="N35" s="122"/>
    </row>
    <row r="36" spans="1:14" x14ac:dyDescent="0.25">
      <c r="A36" s="101">
        <v>18</v>
      </c>
      <c r="B36" s="185" t="s">
        <v>142</v>
      </c>
      <c r="C36" s="121"/>
      <c r="D36" s="121">
        <v>3835</v>
      </c>
      <c r="E36" s="121"/>
      <c r="F36" s="121"/>
      <c r="G36" s="121">
        <v>1266</v>
      </c>
      <c r="H36" s="121">
        <v>3086</v>
      </c>
      <c r="I36" s="121"/>
      <c r="J36" s="121">
        <v>8187</v>
      </c>
      <c r="K36" s="198">
        <v>5</v>
      </c>
      <c r="L36" s="155">
        <f t="shared" si="3"/>
        <v>1637.4</v>
      </c>
      <c r="M36" s="121">
        <f t="shared" si="4"/>
        <v>1169.5714285714287</v>
      </c>
      <c r="N36" s="122"/>
    </row>
    <row r="37" spans="1:14" x14ac:dyDescent="0.25">
      <c r="A37" s="140">
        <v>19</v>
      </c>
      <c r="B37" s="185" t="s">
        <v>97</v>
      </c>
      <c r="C37" s="121">
        <v>5975</v>
      </c>
      <c r="D37" s="121"/>
      <c r="E37" s="121"/>
      <c r="F37" s="121"/>
      <c r="G37" s="121">
        <v>1612.5</v>
      </c>
      <c r="H37" s="121"/>
      <c r="I37" s="121"/>
      <c r="J37" s="121">
        <v>7587.5</v>
      </c>
      <c r="K37" s="198">
        <v>2</v>
      </c>
      <c r="L37" s="155">
        <f t="shared" si="3"/>
        <v>3793.75</v>
      </c>
      <c r="M37" s="121">
        <f t="shared" si="4"/>
        <v>1083.9285714285713</v>
      </c>
      <c r="N37" s="122"/>
    </row>
    <row r="38" spans="1:14" ht="15.75" thickBot="1" x14ac:dyDescent="0.3">
      <c r="A38" s="101">
        <v>20</v>
      </c>
      <c r="B38" s="185" t="s">
        <v>43</v>
      </c>
      <c r="C38" s="121">
        <v>553.75</v>
      </c>
      <c r="D38" s="121">
        <v>2410.5</v>
      </c>
      <c r="E38" s="121">
        <v>792.5</v>
      </c>
      <c r="F38" s="121"/>
      <c r="G38" s="121">
        <v>869</v>
      </c>
      <c r="H38" s="121">
        <v>2138</v>
      </c>
      <c r="I38" s="121">
        <v>725</v>
      </c>
      <c r="J38" s="121">
        <v>7488.75</v>
      </c>
      <c r="K38" s="198">
        <v>9</v>
      </c>
      <c r="L38" s="155">
        <f t="shared" si="3"/>
        <v>832.08333333333337</v>
      </c>
      <c r="M38" s="121">
        <f t="shared" si="4"/>
        <v>1069.8214285714287</v>
      </c>
      <c r="N38" s="122"/>
    </row>
    <row r="39" spans="1:14" ht="15.75" thickBot="1" x14ac:dyDescent="0.3">
      <c r="B39" s="113"/>
      <c r="C39" s="114">
        <f>SUM(C19:C38)</f>
        <v>53491.49</v>
      </c>
      <c r="D39" s="114">
        <f t="shared" ref="D39:J39" si="5">SUM(D19:D38)</f>
        <v>53847</v>
      </c>
      <c r="E39" s="114">
        <f t="shared" si="5"/>
        <v>17862.5</v>
      </c>
      <c r="F39" s="114">
        <f t="shared" si="5"/>
        <v>26775</v>
      </c>
      <c r="G39" s="114">
        <f t="shared" si="5"/>
        <v>37752</v>
      </c>
      <c r="H39" s="114">
        <f t="shared" si="5"/>
        <v>39974.75</v>
      </c>
      <c r="I39" s="114">
        <f t="shared" si="5"/>
        <v>23722.5</v>
      </c>
      <c r="J39" s="114">
        <f t="shared" si="5"/>
        <v>253425.24</v>
      </c>
      <c r="K39" s="172">
        <f>SUM(K19:K38)</f>
        <v>105</v>
      </c>
      <c r="L39" s="120">
        <f>+J39/K39</f>
        <v>2413.5737142857142</v>
      </c>
      <c r="M39" s="123">
        <f>SUM(M19:M38)</f>
        <v>36203.60571428571</v>
      </c>
      <c r="N39" s="124">
        <f>+J39/J132*100</f>
        <v>22.488239566963934</v>
      </c>
    </row>
    <row r="40" spans="1:14" ht="15.75" thickBot="1" x14ac:dyDescent="0.3"/>
    <row r="41" spans="1:14" x14ac:dyDescent="0.25">
      <c r="B41" s="125" t="s">
        <v>869</v>
      </c>
    </row>
    <row r="42" spans="1:14" x14ac:dyDescent="0.25">
      <c r="A42" s="150">
        <v>1</v>
      </c>
      <c r="B42" s="150" t="s">
        <v>199</v>
      </c>
      <c r="C42" s="127">
        <v>1125</v>
      </c>
      <c r="D42" s="127">
        <v>225</v>
      </c>
      <c r="E42" s="127"/>
      <c r="F42" s="127">
        <v>375</v>
      </c>
      <c r="G42" s="127">
        <v>4355</v>
      </c>
      <c r="H42" s="127">
        <v>1233.75</v>
      </c>
      <c r="I42" s="127"/>
      <c r="J42" s="127">
        <v>7313.75</v>
      </c>
      <c r="K42" s="196">
        <v>6</v>
      </c>
      <c r="L42" s="127">
        <f t="shared" ref="L42:L79" si="6">J42/K42</f>
        <v>1218.9583333333333</v>
      </c>
      <c r="M42" s="127">
        <f>+J42/7</f>
        <v>1044.8214285714287</v>
      </c>
      <c r="N42" s="126"/>
    </row>
    <row r="43" spans="1:14" x14ac:dyDescent="0.25">
      <c r="A43" s="150">
        <v>2</v>
      </c>
      <c r="B43" s="150" t="s">
        <v>221</v>
      </c>
      <c r="C43" s="127">
        <v>1140</v>
      </c>
      <c r="D43" s="127"/>
      <c r="E43" s="127"/>
      <c r="F43" s="127">
        <v>6000</v>
      </c>
      <c r="G43" s="127"/>
      <c r="H43" s="127"/>
      <c r="I43" s="127"/>
      <c r="J43" s="127">
        <v>7140</v>
      </c>
      <c r="K43" s="196">
        <v>2</v>
      </c>
      <c r="L43" s="127">
        <f t="shared" si="6"/>
        <v>3570</v>
      </c>
      <c r="M43" s="127">
        <f t="shared" ref="M43:M78" si="7">+J43/7</f>
        <v>1020</v>
      </c>
      <c r="N43" s="126"/>
    </row>
    <row r="44" spans="1:14" x14ac:dyDescent="0.25">
      <c r="A44" s="150">
        <v>3</v>
      </c>
      <c r="B44" s="150" t="s">
        <v>379</v>
      </c>
      <c r="C44" s="127"/>
      <c r="D44" s="127">
        <v>6775</v>
      </c>
      <c r="E44" s="127"/>
      <c r="F44" s="127"/>
      <c r="G44" s="127"/>
      <c r="H44" s="127"/>
      <c r="I44" s="127"/>
      <c r="J44" s="127">
        <v>6775</v>
      </c>
      <c r="K44" s="196">
        <v>2</v>
      </c>
      <c r="L44" s="127">
        <f t="shared" si="6"/>
        <v>3387.5</v>
      </c>
      <c r="M44" s="127">
        <f t="shared" si="7"/>
        <v>967.85714285714289</v>
      </c>
      <c r="N44" s="126"/>
    </row>
    <row r="45" spans="1:14" x14ac:dyDescent="0.25">
      <c r="A45" s="150">
        <v>4</v>
      </c>
      <c r="B45" s="150" t="s">
        <v>482</v>
      </c>
      <c r="C45" s="127"/>
      <c r="D45" s="127"/>
      <c r="E45" s="127">
        <v>6625</v>
      </c>
      <c r="F45" s="127"/>
      <c r="G45" s="127"/>
      <c r="H45" s="127"/>
      <c r="I45" s="127"/>
      <c r="J45" s="127">
        <v>6625</v>
      </c>
      <c r="K45" s="196">
        <v>2</v>
      </c>
      <c r="L45" s="127">
        <f t="shared" si="6"/>
        <v>3312.5</v>
      </c>
      <c r="M45" s="127">
        <f t="shared" si="7"/>
        <v>946.42857142857144</v>
      </c>
      <c r="N45" s="126"/>
    </row>
    <row r="46" spans="1:14" x14ac:dyDescent="0.25">
      <c r="A46" s="150">
        <v>5</v>
      </c>
      <c r="B46" s="150" t="s">
        <v>45</v>
      </c>
      <c r="C46" s="127">
        <v>6050</v>
      </c>
      <c r="D46" s="127"/>
      <c r="E46" s="127"/>
      <c r="F46" s="127"/>
      <c r="G46" s="127"/>
      <c r="H46" s="127"/>
      <c r="I46" s="127"/>
      <c r="J46" s="127">
        <v>6050</v>
      </c>
      <c r="K46" s="196">
        <v>2</v>
      </c>
      <c r="L46" s="127">
        <f t="shared" si="6"/>
        <v>3025</v>
      </c>
      <c r="M46" s="127">
        <f t="shared" si="7"/>
        <v>864.28571428571433</v>
      </c>
      <c r="N46" s="126"/>
    </row>
    <row r="47" spans="1:14" x14ac:dyDescent="0.25">
      <c r="A47" s="150">
        <v>6</v>
      </c>
      <c r="B47" s="150" t="s">
        <v>167</v>
      </c>
      <c r="C47" s="127">
        <v>5781</v>
      </c>
      <c r="D47" s="127"/>
      <c r="E47" s="127"/>
      <c r="F47" s="127"/>
      <c r="G47" s="127"/>
      <c r="H47" s="127"/>
      <c r="I47" s="127"/>
      <c r="J47" s="127">
        <v>5781</v>
      </c>
      <c r="K47" s="196">
        <v>2</v>
      </c>
      <c r="L47" s="127">
        <f t="shared" si="6"/>
        <v>2890.5</v>
      </c>
      <c r="M47" s="127">
        <f t="shared" si="7"/>
        <v>825.85714285714289</v>
      </c>
      <c r="N47" s="126"/>
    </row>
    <row r="48" spans="1:14" x14ac:dyDescent="0.25">
      <c r="A48" s="150">
        <v>7</v>
      </c>
      <c r="B48" s="150" t="s">
        <v>49</v>
      </c>
      <c r="C48" s="127">
        <v>5373</v>
      </c>
      <c r="D48" s="127"/>
      <c r="E48" s="127"/>
      <c r="F48" s="127"/>
      <c r="G48" s="127">
        <v>217.5</v>
      </c>
      <c r="H48" s="127"/>
      <c r="I48" s="127"/>
      <c r="J48" s="127">
        <v>5590.5</v>
      </c>
      <c r="K48" s="196">
        <v>3</v>
      </c>
      <c r="L48" s="127">
        <f t="shared" si="6"/>
        <v>1863.5</v>
      </c>
      <c r="M48" s="127">
        <f t="shared" si="7"/>
        <v>798.64285714285711</v>
      </c>
      <c r="N48" s="126"/>
    </row>
    <row r="49" spans="1:14" x14ac:dyDescent="0.25">
      <c r="A49" s="150">
        <v>8</v>
      </c>
      <c r="B49" s="150" t="s">
        <v>886</v>
      </c>
      <c r="C49" s="127"/>
      <c r="D49" s="127"/>
      <c r="E49" s="127"/>
      <c r="F49" s="127">
        <v>1205</v>
      </c>
      <c r="G49" s="127"/>
      <c r="H49" s="127">
        <v>4000</v>
      </c>
      <c r="I49" s="127"/>
      <c r="J49" s="127">
        <v>5205</v>
      </c>
      <c r="K49" s="196">
        <v>2</v>
      </c>
      <c r="L49" s="127">
        <f t="shared" si="6"/>
        <v>2602.5</v>
      </c>
      <c r="M49" s="127">
        <f t="shared" si="7"/>
        <v>743.57142857142856</v>
      </c>
      <c r="N49" s="126"/>
    </row>
    <row r="50" spans="1:14" x14ac:dyDescent="0.25">
      <c r="A50" s="150">
        <v>9</v>
      </c>
      <c r="B50" s="150" t="s">
        <v>184</v>
      </c>
      <c r="C50" s="127">
        <v>3950</v>
      </c>
      <c r="D50" s="127"/>
      <c r="E50" s="127"/>
      <c r="F50" s="127">
        <v>1050</v>
      </c>
      <c r="G50" s="127">
        <v>190</v>
      </c>
      <c r="H50" s="127"/>
      <c r="I50" s="127"/>
      <c r="J50" s="127">
        <v>5190</v>
      </c>
      <c r="K50" s="196">
        <v>3</v>
      </c>
      <c r="L50" s="127">
        <f t="shared" si="6"/>
        <v>1730</v>
      </c>
      <c r="M50" s="127">
        <f t="shared" si="7"/>
        <v>741.42857142857144</v>
      </c>
      <c r="N50" s="126"/>
    </row>
    <row r="51" spans="1:14" x14ac:dyDescent="0.25">
      <c r="A51" s="150">
        <v>10</v>
      </c>
      <c r="B51" s="150" t="s">
        <v>86</v>
      </c>
      <c r="C51" s="127">
        <v>825</v>
      </c>
      <c r="D51" s="127">
        <v>310</v>
      </c>
      <c r="E51" s="127"/>
      <c r="F51" s="127">
        <v>825</v>
      </c>
      <c r="G51" s="127"/>
      <c r="H51" s="127"/>
      <c r="I51" s="127">
        <v>3210</v>
      </c>
      <c r="J51" s="127">
        <v>5170</v>
      </c>
      <c r="K51" s="196">
        <v>4</v>
      </c>
      <c r="L51" s="127">
        <f t="shared" si="6"/>
        <v>1292.5</v>
      </c>
      <c r="M51" s="127">
        <f t="shared" si="7"/>
        <v>738.57142857142856</v>
      </c>
      <c r="N51" s="126"/>
    </row>
    <row r="52" spans="1:14" x14ac:dyDescent="0.25">
      <c r="A52" s="150">
        <v>11</v>
      </c>
      <c r="B52" s="150" t="s">
        <v>552</v>
      </c>
      <c r="C52" s="127"/>
      <c r="D52" s="127">
        <v>3335</v>
      </c>
      <c r="E52" s="127"/>
      <c r="F52" s="127">
        <v>1750.5</v>
      </c>
      <c r="G52" s="127"/>
      <c r="H52" s="127"/>
      <c r="I52" s="127"/>
      <c r="J52" s="127">
        <v>5085.5</v>
      </c>
      <c r="K52" s="196">
        <v>2</v>
      </c>
      <c r="L52" s="127">
        <f t="shared" si="6"/>
        <v>2542.75</v>
      </c>
      <c r="M52" s="127">
        <f t="shared" si="7"/>
        <v>726.5</v>
      </c>
      <c r="N52" s="126"/>
    </row>
    <row r="53" spans="1:14" x14ac:dyDescent="0.25">
      <c r="A53" s="150">
        <v>12</v>
      </c>
      <c r="B53" s="150" t="s">
        <v>89</v>
      </c>
      <c r="C53" s="127">
        <v>4252.5</v>
      </c>
      <c r="D53" s="127"/>
      <c r="E53" s="127"/>
      <c r="F53" s="127"/>
      <c r="G53" s="127"/>
      <c r="H53" s="127"/>
      <c r="I53" s="127">
        <v>700</v>
      </c>
      <c r="J53" s="127">
        <v>4952.5</v>
      </c>
      <c r="K53" s="196">
        <v>2</v>
      </c>
      <c r="L53" s="127">
        <f t="shared" si="6"/>
        <v>2476.25</v>
      </c>
      <c r="M53" s="127">
        <f t="shared" si="7"/>
        <v>707.5</v>
      </c>
      <c r="N53" s="126"/>
    </row>
    <row r="54" spans="1:14" x14ac:dyDescent="0.25">
      <c r="A54" s="150">
        <v>13</v>
      </c>
      <c r="B54" s="150" t="s">
        <v>386</v>
      </c>
      <c r="C54" s="127"/>
      <c r="D54" s="127">
        <v>3490</v>
      </c>
      <c r="E54" s="127"/>
      <c r="F54" s="127"/>
      <c r="G54" s="127"/>
      <c r="H54" s="127"/>
      <c r="I54" s="127">
        <v>1395</v>
      </c>
      <c r="J54" s="127">
        <v>4885</v>
      </c>
      <c r="K54" s="196">
        <v>2</v>
      </c>
      <c r="L54" s="127">
        <f t="shared" si="6"/>
        <v>2442.5</v>
      </c>
      <c r="M54" s="127">
        <f t="shared" si="7"/>
        <v>697.85714285714289</v>
      </c>
      <c r="N54" s="126"/>
    </row>
    <row r="55" spans="1:14" x14ac:dyDescent="0.25">
      <c r="A55" s="150">
        <v>14</v>
      </c>
      <c r="B55" s="150" t="s">
        <v>195</v>
      </c>
      <c r="C55" s="127">
        <v>4687.5</v>
      </c>
      <c r="D55" s="127"/>
      <c r="E55" s="127"/>
      <c r="F55" s="127"/>
      <c r="G55" s="127"/>
      <c r="H55" s="127"/>
      <c r="I55" s="127"/>
      <c r="J55" s="127">
        <v>4687.5</v>
      </c>
      <c r="K55" s="196">
        <v>1</v>
      </c>
      <c r="L55" s="127">
        <f t="shared" si="6"/>
        <v>4687.5</v>
      </c>
      <c r="M55" s="127">
        <f t="shared" si="7"/>
        <v>669.64285714285711</v>
      </c>
      <c r="N55" s="126"/>
    </row>
    <row r="56" spans="1:14" x14ac:dyDescent="0.25">
      <c r="A56" s="150">
        <v>15</v>
      </c>
      <c r="B56" s="150" t="s">
        <v>290</v>
      </c>
      <c r="C56" s="127"/>
      <c r="D56" s="127">
        <v>779</v>
      </c>
      <c r="E56" s="127"/>
      <c r="F56" s="127"/>
      <c r="G56" s="127">
        <v>770</v>
      </c>
      <c r="H56" s="127"/>
      <c r="I56" s="127">
        <v>2435</v>
      </c>
      <c r="J56" s="127">
        <v>3984</v>
      </c>
      <c r="K56" s="196">
        <v>5</v>
      </c>
      <c r="L56" s="127">
        <f t="shared" si="6"/>
        <v>796.8</v>
      </c>
      <c r="M56" s="127">
        <f t="shared" si="7"/>
        <v>569.14285714285711</v>
      </c>
      <c r="N56" s="126"/>
    </row>
    <row r="57" spans="1:14" x14ac:dyDescent="0.25">
      <c r="A57" s="150">
        <v>16</v>
      </c>
      <c r="B57" s="150" t="s">
        <v>736</v>
      </c>
      <c r="C57" s="127"/>
      <c r="D57" s="127"/>
      <c r="E57" s="127"/>
      <c r="F57" s="127"/>
      <c r="G57" s="127">
        <v>2195</v>
      </c>
      <c r="H57" s="127">
        <v>893</v>
      </c>
      <c r="I57" s="127">
        <v>700</v>
      </c>
      <c r="J57" s="127">
        <v>3788</v>
      </c>
      <c r="K57" s="196">
        <v>5</v>
      </c>
      <c r="L57" s="127">
        <f t="shared" si="6"/>
        <v>757.6</v>
      </c>
      <c r="M57" s="127">
        <f t="shared" si="7"/>
        <v>541.14285714285711</v>
      </c>
      <c r="N57" s="126"/>
    </row>
    <row r="58" spans="1:14" x14ac:dyDescent="0.25">
      <c r="A58" s="150">
        <v>17</v>
      </c>
      <c r="B58" s="150" t="s">
        <v>136</v>
      </c>
      <c r="C58" s="127">
        <v>3150</v>
      </c>
      <c r="D58" s="127"/>
      <c r="E58" s="127"/>
      <c r="F58" s="127"/>
      <c r="G58" s="127"/>
      <c r="H58" s="127"/>
      <c r="I58" s="127"/>
      <c r="J58" s="127">
        <v>3150</v>
      </c>
      <c r="K58" s="196">
        <v>1</v>
      </c>
      <c r="L58" s="127">
        <f t="shared" si="6"/>
        <v>3150</v>
      </c>
      <c r="M58" s="127">
        <f t="shared" si="7"/>
        <v>450</v>
      </c>
      <c r="N58" s="126"/>
    </row>
    <row r="59" spans="1:14" x14ac:dyDescent="0.25">
      <c r="A59" s="150">
        <v>18</v>
      </c>
      <c r="B59" s="150" t="s">
        <v>263</v>
      </c>
      <c r="C59" s="127"/>
      <c r="D59" s="127">
        <v>3150</v>
      </c>
      <c r="E59" s="127"/>
      <c r="F59" s="127"/>
      <c r="G59" s="127"/>
      <c r="H59" s="127"/>
      <c r="I59" s="127"/>
      <c r="J59" s="127">
        <v>3150</v>
      </c>
      <c r="K59" s="196">
        <v>2</v>
      </c>
      <c r="L59" s="127">
        <f t="shared" si="6"/>
        <v>1575</v>
      </c>
      <c r="M59" s="127">
        <f t="shared" si="7"/>
        <v>450</v>
      </c>
      <c r="N59" s="126"/>
    </row>
    <row r="60" spans="1:14" x14ac:dyDescent="0.25">
      <c r="A60" s="150">
        <v>19</v>
      </c>
      <c r="B60" s="150" t="s">
        <v>299</v>
      </c>
      <c r="C60" s="127"/>
      <c r="D60" s="127">
        <v>1580</v>
      </c>
      <c r="E60" s="127">
        <v>1130</v>
      </c>
      <c r="F60" s="127"/>
      <c r="G60" s="127"/>
      <c r="H60" s="127">
        <v>389.75</v>
      </c>
      <c r="I60" s="127"/>
      <c r="J60" s="127">
        <v>3099.75</v>
      </c>
      <c r="K60" s="196">
        <v>3</v>
      </c>
      <c r="L60" s="127">
        <f t="shared" si="6"/>
        <v>1033.25</v>
      </c>
      <c r="M60" s="127">
        <f t="shared" si="7"/>
        <v>442.82142857142856</v>
      </c>
      <c r="N60" s="126"/>
    </row>
    <row r="61" spans="1:14" x14ac:dyDescent="0.25">
      <c r="A61" s="150">
        <v>20</v>
      </c>
      <c r="B61" s="150" t="s">
        <v>595</v>
      </c>
      <c r="C61" s="127"/>
      <c r="D61" s="127"/>
      <c r="E61" s="127"/>
      <c r="F61" s="127">
        <v>2850</v>
      </c>
      <c r="G61" s="127"/>
      <c r="H61" s="127"/>
      <c r="I61" s="127"/>
      <c r="J61" s="127">
        <v>2850</v>
      </c>
      <c r="K61" s="196">
        <v>1</v>
      </c>
      <c r="L61" s="127">
        <f t="shared" si="6"/>
        <v>2850</v>
      </c>
      <c r="M61" s="127">
        <f t="shared" si="7"/>
        <v>407.14285714285717</v>
      </c>
      <c r="N61" s="126"/>
    </row>
    <row r="62" spans="1:14" x14ac:dyDescent="0.25">
      <c r="A62" s="150">
        <v>21</v>
      </c>
      <c r="B62" s="150" t="s">
        <v>1023</v>
      </c>
      <c r="C62" s="127"/>
      <c r="D62" s="127"/>
      <c r="E62" s="127"/>
      <c r="F62" s="127"/>
      <c r="G62" s="127"/>
      <c r="H62" s="127"/>
      <c r="I62" s="127">
        <v>2800</v>
      </c>
      <c r="J62" s="127">
        <v>2800</v>
      </c>
      <c r="K62" s="196">
        <v>1</v>
      </c>
      <c r="L62" s="127">
        <f t="shared" si="6"/>
        <v>2800</v>
      </c>
      <c r="M62" s="127">
        <f t="shared" si="7"/>
        <v>400</v>
      </c>
      <c r="N62" s="126"/>
    </row>
    <row r="63" spans="1:14" x14ac:dyDescent="0.25">
      <c r="A63" s="150">
        <v>22</v>
      </c>
      <c r="B63" s="150" t="s">
        <v>1077</v>
      </c>
      <c r="C63" s="127"/>
      <c r="D63" s="127"/>
      <c r="E63" s="127"/>
      <c r="F63" s="127"/>
      <c r="G63" s="127"/>
      <c r="H63" s="127"/>
      <c r="I63" s="127">
        <v>2750</v>
      </c>
      <c r="J63" s="127">
        <v>2750</v>
      </c>
      <c r="K63" s="196">
        <v>1</v>
      </c>
      <c r="L63" s="127">
        <f t="shared" si="6"/>
        <v>2750</v>
      </c>
      <c r="M63" s="127">
        <f t="shared" si="7"/>
        <v>392.85714285714283</v>
      </c>
      <c r="N63" s="126"/>
    </row>
    <row r="64" spans="1:14" x14ac:dyDescent="0.25">
      <c r="A64" s="150">
        <v>23</v>
      </c>
      <c r="B64" s="150" t="s">
        <v>365</v>
      </c>
      <c r="C64" s="127"/>
      <c r="D64" s="127">
        <v>2715</v>
      </c>
      <c r="E64" s="127"/>
      <c r="F64" s="127"/>
      <c r="G64" s="127"/>
      <c r="H64" s="127"/>
      <c r="I64" s="127"/>
      <c r="J64" s="127">
        <v>2715</v>
      </c>
      <c r="K64" s="196">
        <v>1</v>
      </c>
      <c r="L64" s="127">
        <f t="shared" si="6"/>
        <v>2715</v>
      </c>
      <c r="M64" s="127">
        <f t="shared" si="7"/>
        <v>387.85714285714283</v>
      </c>
      <c r="N64" s="126"/>
    </row>
    <row r="65" spans="1:14" x14ac:dyDescent="0.25">
      <c r="A65" s="150">
        <v>24</v>
      </c>
      <c r="B65" s="150" t="s">
        <v>266</v>
      </c>
      <c r="C65" s="127"/>
      <c r="D65" s="127">
        <v>1400</v>
      </c>
      <c r="E65" s="127"/>
      <c r="F65" s="127"/>
      <c r="G65" s="127">
        <v>944</v>
      </c>
      <c r="H65" s="127"/>
      <c r="I65" s="127"/>
      <c r="J65" s="127">
        <v>2344</v>
      </c>
      <c r="K65" s="196">
        <v>2</v>
      </c>
      <c r="L65" s="127">
        <f t="shared" si="6"/>
        <v>1172</v>
      </c>
      <c r="M65" s="127">
        <f t="shared" si="7"/>
        <v>334.85714285714283</v>
      </c>
      <c r="N65" s="126"/>
    </row>
    <row r="66" spans="1:14" x14ac:dyDescent="0.25">
      <c r="A66" s="150">
        <v>25</v>
      </c>
      <c r="B66" s="150" t="s">
        <v>100</v>
      </c>
      <c r="C66" s="127">
        <v>120</v>
      </c>
      <c r="D66" s="127">
        <v>190</v>
      </c>
      <c r="E66" s="127"/>
      <c r="F66" s="127"/>
      <c r="G66" s="127">
        <v>1145</v>
      </c>
      <c r="H66" s="127">
        <v>820</v>
      </c>
      <c r="I66" s="127"/>
      <c r="J66" s="127">
        <v>2275</v>
      </c>
      <c r="K66" s="196">
        <v>4</v>
      </c>
      <c r="L66" s="127">
        <f t="shared" si="6"/>
        <v>568.75</v>
      </c>
      <c r="M66" s="127">
        <f t="shared" si="7"/>
        <v>325</v>
      </c>
      <c r="N66" s="126"/>
    </row>
    <row r="67" spans="1:14" x14ac:dyDescent="0.25">
      <c r="A67" s="150">
        <v>26</v>
      </c>
      <c r="B67" s="150" t="s">
        <v>669</v>
      </c>
      <c r="C67" s="127"/>
      <c r="D67" s="127"/>
      <c r="E67" s="127"/>
      <c r="F67" s="127"/>
      <c r="G67" s="127">
        <v>2225</v>
      </c>
      <c r="H67" s="127"/>
      <c r="I67" s="127"/>
      <c r="J67" s="127">
        <v>2225</v>
      </c>
      <c r="K67" s="196">
        <v>1</v>
      </c>
      <c r="L67" s="127">
        <f t="shared" si="6"/>
        <v>2225</v>
      </c>
      <c r="M67" s="127">
        <f t="shared" si="7"/>
        <v>317.85714285714283</v>
      </c>
      <c r="N67" s="126"/>
    </row>
    <row r="68" spans="1:14" x14ac:dyDescent="0.25">
      <c r="A68" s="150">
        <v>27</v>
      </c>
      <c r="B68" s="150" t="s">
        <v>753</v>
      </c>
      <c r="C68" s="127"/>
      <c r="D68" s="127"/>
      <c r="E68" s="127"/>
      <c r="F68" s="127"/>
      <c r="G68" s="127">
        <v>2173.75</v>
      </c>
      <c r="H68" s="127"/>
      <c r="I68" s="127"/>
      <c r="J68" s="127">
        <v>2173.75</v>
      </c>
      <c r="K68" s="196">
        <v>1</v>
      </c>
      <c r="L68" s="127">
        <f t="shared" si="6"/>
        <v>2173.75</v>
      </c>
      <c r="M68" s="127">
        <f t="shared" si="7"/>
        <v>310.53571428571428</v>
      </c>
      <c r="N68" s="126"/>
    </row>
    <row r="69" spans="1:14" x14ac:dyDescent="0.25">
      <c r="A69" s="150">
        <v>28</v>
      </c>
      <c r="B69" s="150" t="s">
        <v>1039</v>
      </c>
      <c r="C69" s="127"/>
      <c r="D69" s="127"/>
      <c r="E69" s="127"/>
      <c r="F69" s="127"/>
      <c r="G69" s="127"/>
      <c r="H69" s="127"/>
      <c r="I69" s="127">
        <v>2032.5</v>
      </c>
      <c r="J69" s="127">
        <v>2032.5</v>
      </c>
      <c r="K69" s="196">
        <v>1</v>
      </c>
      <c r="L69" s="127">
        <f t="shared" si="6"/>
        <v>2032.5</v>
      </c>
      <c r="M69" s="127">
        <f t="shared" si="7"/>
        <v>290.35714285714283</v>
      </c>
      <c r="N69" s="126"/>
    </row>
    <row r="70" spans="1:14" x14ac:dyDescent="0.25">
      <c r="A70" s="150">
        <v>29</v>
      </c>
      <c r="B70" s="150" t="s">
        <v>814</v>
      </c>
      <c r="C70" s="127"/>
      <c r="D70" s="127"/>
      <c r="E70" s="127"/>
      <c r="F70" s="127"/>
      <c r="G70" s="127">
        <v>2000</v>
      </c>
      <c r="H70" s="127"/>
      <c r="I70" s="127"/>
      <c r="J70" s="127">
        <v>2000</v>
      </c>
      <c r="K70" s="196">
        <v>1</v>
      </c>
      <c r="L70" s="127">
        <f t="shared" si="6"/>
        <v>2000</v>
      </c>
      <c r="M70" s="127">
        <f t="shared" si="7"/>
        <v>285.71428571428572</v>
      </c>
      <c r="N70" s="126"/>
    </row>
    <row r="71" spans="1:14" x14ac:dyDescent="0.25">
      <c r="A71" s="150">
        <v>30</v>
      </c>
      <c r="B71" s="150" t="s">
        <v>450</v>
      </c>
      <c r="C71" s="127"/>
      <c r="D71" s="127">
        <v>1925</v>
      </c>
      <c r="E71" s="127"/>
      <c r="F71" s="127"/>
      <c r="G71" s="127"/>
      <c r="H71" s="127"/>
      <c r="I71" s="127"/>
      <c r="J71" s="127">
        <v>1925</v>
      </c>
      <c r="K71" s="196">
        <v>1</v>
      </c>
      <c r="L71" s="127">
        <f t="shared" si="6"/>
        <v>1925</v>
      </c>
      <c r="M71" s="127">
        <f t="shared" si="7"/>
        <v>275</v>
      </c>
      <c r="N71" s="126"/>
    </row>
    <row r="72" spans="1:14" x14ac:dyDescent="0.25">
      <c r="A72" s="150">
        <v>31</v>
      </c>
      <c r="B72" s="150" t="s">
        <v>346</v>
      </c>
      <c r="C72" s="127"/>
      <c r="D72" s="127">
        <v>1920</v>
      </c>
      <c r="E72" s="127"/>
      <c r="F72" s="127"/>
      <c r="G72" s="127"/>
      <c r="H72" s="127"/>
      <c r="I72" s="127"/>
      <c r="J72" s="127">
        <v>1920</v>
      </c>
      <c r="K72" s="196">
        <v>1</v>
      </c>
      <c r="L72" s="127">
        <f t="shared" si="6"/>
        <v>1920</v>
      </c>
      <c r="M72" s="127">
        <f t="shared" si="7"/>
        <v>274.28571428571428</v>
      </c>
      <c r="N72" s="126"/>
    </row>
    <row r="73" spans="1:14" x14ac:dyDescent="0.25">
      <c r="A73" s="150">
        <v>32</v>
      </c>
      <c r="B73" s="150" t="s">
        <v>1036</v>
      </c>
      <c r="C73" s="127"/>
      <c r="D73" s="127"/>
      <c r="E73" s="127"/>
      <c r="F73" s="127"/>
      <c r="G73" s="127"/>
      <c r="H73" s="127"/>
      <c r="I73" s="127">
        <v>1803.75</v>
      </c>
      <c r="J73" s="127">
        <v>1803.75</v>
      </c>
      <c r="K73" s="196">
        <v>1</v>
      </c>
      <c r="L73" s="127">
        <f t="shared" si="6"/>
        <v>1803.75</v>
      </c>
      <c r="M73" s="127">
        <f t="shared" si="7"/>
        <v>257.67857142857144</v>
      </c>
      <c r="N73" s="126"/>
    </row>
    <row r="74" spans="1:14" x14ac:dyDescent="0.25">
      <c r="A74" s="150">
        <v>33</v>
      </c>
      <c r="B74" s="150" t="s">
        <v>262</v>
      </c>
      <c r="C74" s="127">
        <v>1780</v>
      </c>
      <c r="D74" s="127"/>
      <c r="E74" s="127"/>
      <c r="F74" s="127"/>
      <c r="G74" s="127"/>
      <c r="H74" s="127"/>
      <c r="I74" s="127"/>
      <c r="J74" s="127">
        <v>1780</v>
      </c>
      <c r="K74" s="196">
        <v>1</v>
      </c>
      <c r="L74" s="127">
        <f t="shared" si="6"/>
        <v>1780</v>
      </c>
      <c r="M74" s="127">
        <f t="shared" si="7"/>
        <v>254.28571428571428</v>
      </c>
      <c r="N74" s="126"/>
    </row>
    <row r="75" spans="1:14" x14ac:dyDescent="0.25">
      <c r="A75" s="150">
        <v>34</v>
      </c>
      <c r="B75" s="150" t="s">
        <v>26</v>
      </c>
      <c r="C75" s="127">
        <v>1315</v>
      </c>
      <c r="D75" s="127"/>
      <c r="E75" s="127"/>
      <c r="F75" s="127"/>
      <c r="G75" s="127">
        <v>450</v>
      </c>
      <c r="H75" s="127"/>
      <c r="I75" s="127"/>
      <c r="J75" s="127">
        <v>1765</v>
      </c>
      <c r="K75" s="196">
        <v>4</v>
      </c>
      <c r="L75" s="127">
        <f t="shared" si="6"/>
        <v>441.25</v>
      </c>
      <c r="M75" s="127">
        <f t="shared" si="7"/>
        <v>252.14285714285714</v>
      </c>
      <c r="N75" s="126"/>
    </row>
    <row r="76" spans="1:14" x14ac:dyDescent="0.25">
      <c r="A76" s="150">
        <v>35</v>
      </c>
      <c r="B76" s="150" t="s">
        <v>486</v>
      </c>
      <c r="C76" s="127"/>
      <c r="D76" s="127"/>
      <c r="E76" s="127">
        <v>1725</v>
      </c>
      <c r="F76" s="127"/>
      <c r="G76" s="127"/>
      <c r="H76" s="127"/>
      <c r="I76" s="127"/>
      <c r="J76" s="127">
        <v>1725</v>
      </c>
      <c r="K76" s="196">
        <v>1</v>
      </c>
      <c r="L76" s="127">
        <f t="shared" si="6"/>
        <v>1725</v>
      </c>
      <c r="M76" s="127">
        <f t="shared" si="7"/>
        <v>246.42857142857142</v>
      </c>
      <c r="N76" s="126"/>
    </row>
    <row r="77" spans="1:14" x14ac:dyDescent="0.25">
      <c r="A77" s="150">
        <v>36</v>
      </c>
      <c r="B77" s="150" t="s">
        <v>92</v>
      </c>
      <c r="C77" s="127">
        <v>1690</v>
      </c>
      <c r="D77" s="127"/>
      <c r="E77" s="127"/>
      <c r="F77" s="127"/>
      <c r="G77" s="127"/>
      <c r="H77" s="127"/>
      <c r="I77" s="127"/>
      <c r="J77" s="127">
        <v>1690</v>
      </c>
      <c r="K77" s="196">
        <v>1</v>
      </c>
      <c r="L77" s="127">
        <f t="shared" si="6"/>
        <v>1690</v>
      </c>
      <c r="M77" s="127">
        <f t="shared" si="7"/>
        <v>241.42857142857142</v>
      </c>
      <c r="N77" s="126"/>
    </row>
    <row r="78" spans="1:14" x14ac:dyDescent="0.25">
      <c r="A78" s="150">
        <v>37</v>
      </c>
      <c r="B78" s="150" t="s">
        <v>94</v>
      </c>
      <c r="C78" s="127">
        <v>310</v>
      </c>
      <c r="D78" s="127"/>
      <c r="E78" s="127"/>
      <c r="F78" s="127"/>
      <c r="G78" s="127">
        <v>1010</v>
      </c>
      <c r="H78" s="127">
        <v>285</v>
      </c>
      <c r="I78" s="127"/>
      <c r="J78" s="127">
        <v>1605</v>
      </c>
      <c r="K78" s="196">
        <v>4</v>
      </c>
      <c r="L78" s="127">
        <f t="shared" si="6"/>
        <v>401.25</v>
      </c>
      <c r="M78" s="127">
        <f t="shared" si="7"/>
        <v>229.28571428571428</v>
      </c>
      <c r="N78" s="126"/>
    </row>
    <row r="79" spans="1:14" x14ac:dyDescent="0.25">
      <c r="A79" s="150"/>
      <c r="B79" s="150"/>
      <c r="C79" s="128">
        <f>SUM(C42:C78)</f>
        <v>41549</v>
      </c>
      <c r="D79" s="128">
        <f t="shared" ref="D79:K79" si="8">SUM(D42:D78)</f>
        <v>27794</v>
      </c>
      <c r="E79" s="128">
        <f t="shared" si="8"/>
        <v>9480</v>
      </c>
      <c r="F79" s="128">
        <f t="shared" si="8"/>
        <v>14055.5</v>
      </c>
      <c r="G79" s="128">
        <f t="shared" si="8"/>
        <v>17675.25</v>
      </c>
      <c r="H79" s="128">
        <f t="shared" si="8"/>
        <v>7621.5</v>
      </c>
      <c r="I79" s="128">
        <f t="shared" si="8"/>
        <v>17826.25</v>
      </c>
      <c r="J79" s="128">
        <f t="shared" si="8"/>
        <v>136001.5</v>
      </c>
      <c r="K79" s="189">
        <f t="shared" si="8"/>
        <v>79</v>
      </c>
      <c r="L79" s="128">
        <f t="shared" si="6"/>
        <v>1721.5379746835442</v>
      </c>
      <c r="M79" s="128">
        <f>SUM(M42:M77)</f>
        <v>19199.500000000004</v>
      </c>
      <c r="N79" s="129">
        <f>+J79/J132*100</f>
        <v>12.068388742441146</v>
      </c>
    </row>
    <row r="80" spans="1:14" ht="15.75" thickBot="1" x14ac:dyDescent="0.3"/>
    <row r="81" spans="1:14" x14ac:dyDescent="0.25">
      <c r="B81" s="125" t="s">
        <v>1140</v>
      </c>
    </row>
    <row r="82" spans="1:14" x14ac:dyDescent="0.25">
      <c r="A82" s="186">
        <v>1</v>
      </c>
      <c r="B82" s="199" t="s">
        <v>244</v>
      </c>
      <c r="C82" s="200">
        <v>1250</v>
      </c>
      <c r="D82" s="200"/>
      <c r="E82" s="200"/>
      <c r="F82" s="200"/>
      <c r="G82" s="200"/>
      <c r="H82" s="200">
        <v>210</v>
      </c>
      <c r="I82" s="200"/>
      <c r="J82" s="200">
        <v>1460</v>
      </c>
      <c r="K82" s="201">
        <v>2</v>
      </c>
      <c r="L82" s="131">
        <f t="shared" ref="L82:L132" si="9">J82/K82</f>
        <v>730</v>
      </c>
      <c r="M82" s="131">
        <f>+J82/7</f>
        <v>208.57142857142858</v>
      </c>
      <c r="N82" s="130"/>
    </row>
    <row r="83" spans="1:14" x14ac:dyDescent="0.25">
      <c r="A83" s="186">
        <v>2</v>
      </c>
      <c r="B83" s="199" t="s">
        <v>513</v>
      </c>
      <c r="C83" s="200"/>
      <c r="D83" s="200"/>
      <c r="E83" s="200">
        <v>1440</v>
      </c>
      <c r="F83" s="200"/>
      <c r="G83" s="200"/>
      <c r="H83" s="200"/>
      <c r="I83" s="200"/>
      <c r="J83" s="200">
        <v>1440</v>
      </c>
      <c r="K83" s="201">
        <v>1</v>
      </c>
      <c r="L83" s="131">
        <f t="shared" si="9"/>
        <v>1440</v>
      </c>
      <c r="M83" s="131">
        <f t="shared" ref="M83:M132" si="10">+J83/7</f>
        <v>205.71428571428572</v>
      </c>
      <c r="N83" s="130"/>
    </row>
    <row r="84" spans="1:14" x14ac:dyDescent="0.25">
      <c r="A84" s="186">
        <v>3</v>
      </c>
      <c r="B84" s="199" t="s">
        <v>558</v>
      </c>
      <c r="C84" s="200"/>
      <c r="D84" s="200"/>
      <c r="E84" s="200"/>
      <c r="F84" s="200">
        <v>1167</v>
      </c>
      <c r="G84" s="200">
        <v>250</v>
      </c>
      <c r="H84" s="200"/>
      <c r="I84" s="200"/>
      <c r="J84" s="200">
        <v>1417</v>
      </c>
      <c r="K84" s="201">
        <v>2</v>
      </c>
      <c r="L84" s="131">
        <f t="shared" si="9"/>
        <v>708.5</v>
      </c>
      <c r="M84" s="131">
        <f t="shared" si="10"/>
        <v>202.42857142857142</v>
      </c>
      <c r="N84" s="130"/>
    </row>
    <row r="85" spans="1:14" x14ac:dyDescent="0.25">
      <c r="A85" s="186">
        <v>4</v>
      </c>
      <c r="B85" s="199" t="s">
        <v>236</v>
      </c>
      <c r="C85" s="200">
        <v>375</v>
      </c>
      <c r="D85" s="200">
        <v>195</v>
      </c>
      <c r="E85" s="200">
        <v>150</v>
      </c>
      <c r="F85" s="200">
        <v>270</v>
      </c>
      <c r="G85" s="200">
        <v>270</v>
      </c>
      <c r="H85" s="200">
        <v>90</v>
      </c>
      <c r="I85" s="200"/>
      <c r="J85" s="200">
        <v>1350</v>
      </c>
      <c r="K85" s="201">
        <v>12</v>
      </c>
      <c r="L85" s="131">
        <f t="shared" si="9"/>
        <v>112.5</v>
      </c>
      <c r="M85" s="131">
        <f t="shared" si="10"/>
        <v>192.85714285714286</v>
      </c>
      <c r="N85" s="130"/>
    </row>
    <row r="86" spans="1:14" x14ac:dyDescent="0.25">
      <c r="A86" s="186">
        <v>5</v>
      </c>
      <c r="B86" s="199" t="s">
        <v>147</v>
      </c>
      <c r="C86" s="200">
        <v>1250</v>
      </c>
      <c r="D86" s="200"/>
      <c r="E86" s="200"/>
      <c r="F86" s="200"/>
      <c r="G86" s="200"/>
      <c r="H86" s="200"/>
      <c r="I86" s="200"/>
      <c r="J86" s="200">
        <v>1250</v>
      </c>
      <c r="K86" s="201">
        <v>1</v>
      </c>
      <c r="L86" s="131">
        <f t="shared" si="9"/>
        <v>1250</v>
      </c>
      <c r="M86" s="131">
        <f t="shared" si="10"/>
        <v>178.57142857142858</v>
      </c>
      <c r="N86" s="130"/>
    </row>
    <row r="87" spans="1:14" x14ac:dyDescent="0.25">
      <c r="A87" s="186">
        <v>6</v>
      </c>
      <c r="B87" s="199" t="s">
        <v>631</v>
      </c>
      <c r="C87" s="200"/>
      <c r="D87" s="200"/>
      <c r="E87" s="200"/>
      <c r="F87" s="200">
        <v>1249.5</v>
      </c>
      <c r="G87" s="200"/>
      <c r="H87" s="200"/>
      <c r="I87" s="200"/>
      <c r="J87" s="200">
        <v>1249.5</v>
      </c>
      <c r="K87" s="201">
        <v>1</v>
      </c>
      <c r="L87" s="131">
        <f t="shared" si="9"/>
        <v>1249.5</v>
      </c>
      <c r="M87" s="131">
        <f t="shared" si="10"/>
        <v>178.5</v>
      </c>
      <c r="N87" s="130"/>
    </row>
    <row r="88" spans="1:14" x14ac:dyDescent="0.25">
      <c r="A88" s="186">
        <v>7</v>
      </c>
      <c r="B88" s="199" t="s">
        <v>1018</v>
      </c>
      <c r="C88" s="200"/>
      <c r="D88" s="200"/>
      <c r="E88" s="200"/>
      <c r="F88" s="200"/>
      <c r="G88" s="200"/>
      <c r="H88" s="200"/>
      <c r="I88" s="200">
        <v>1243.75</v>
      </c>
      <c r="J88" s="200">
        <v>1243.75</v>
      </c>
      <c r="K88" s="201">
        <v>1</v>
      </c>
      <c r="L88" s="131">
        <f t="shared" si="9"/>
        <v>1243.75</v>
      </c>
      <c r="M88" s="131">
        <f t="shared" si="10"/>
        <v>177.67857142857142</v>
      </c>
      <c r="N88" s="130"/>
    </row>
    <row r="89" spans="1:14" x14ac:dyDescent="0.25">
      <c r="A89" s="186">
        <v>8</v>
      </c>
      <c r="B89" s="199" t="s">
        <v>324</v>
      </c>
      <c r="C89" s="200"/>
      <c r="D89" s="200">
        <v>1225</v>
      </c>
      <c r="E89" s="200"/>
      <c r="F89" s="200"/>
      <c r="G89" s="200"/>
      <c r="H89" s="200"/>
      <c r="I89" s="200"/>
      <c r="J89" s="200">
        <v>1225</v>
      </c>
      <c r="K89" s="201">
        <v>1</v>
      </c>
      <c r="L89" s="131">
        <f t="shared" si="9"/>
        <v>1225</v>
      </c>
      <c r="M89" s="131">
        <f t="shared" si="10"/>
        <v>175</v>
      </c>
      <c r="N89" s="130"/>
    </row>
    <row r="90" spans="1:14" x14ac:dyDescent="0.25">
      <c r="A90" s="186">
        <v>9</v>
      </c>
      <c r="B90" s="199" t="s">
        <v>1060</v>
      </c>
      <c r="C90" s="200"/>
      <c r="D90" s="200"/>
      <c r="E90" s="200"/>
      <c r="F90" s="200"/>
      <c r="G90" s="200"/>
      <c r="H90" s="200"/>
      <c r="I90" s="200">
        <v>1195</v>
      </c>
      <c r="J90" s="200">
        <v>1195</v>
      </c>
      <c r="K90" s="201">
        <v>1</v>
      </c>
      <c r="L90" s="131">
        <f t="shared" si="9"/>
        <v>1195</v>
      </c>
      <c r="M90" s="131">
        <f t="shared" si="10"/>
        <v>170.71428571428572</v>
      </c>
      <c r="N90" s="130"/>
    </row>
    <row r="91" spans="1:14" x14ac:dyDescent="0.25">
      <c r="A91" s="186">
        <v>10</v>
      </c>
      <c r="B91" s="199" t="s">
        <v>770</v>
      </c>
      <c r="C91" s="200"/>
      <c r="D91" s="200"/>
      <c r="E91" s="200"/>
      <c r="F91" s="200"/>
      <c r="G91" s="200">
        <v>1183</v>
      </c>
      <c r="H91" s="200"/>
      <c r="I91" s="200"/>
      <c r="J91" s="200">
        <v>1183</v>
      </c>
      <c r="K91" s="201">
        <v>1</v>
      </c>
      <c r="L91" s="131">
        <f t="shared" si="9"/>
        <v>1183</v>
      </c>
      <c r="M91" s="131">
        <f t="shared" si="10"/>
        <v>169</v>
      </c>
      <c r="N91" s="130"/>
    </row>
    <row r="92" spans="1:14" x14ac:dyDescent="0.25">
      <c r="A92" s="186">
        <v>11</v>
      </c>
      <c r="B92" s="199" t="s">
        <v>357</v>
      </c>
      <c r="C92" s="200"/>
      <c r="D92" s="200">
        <v>420</v>
      </c>
      <c r="E92" s="200">
        <v>185</v>
      </c>
      <c r="F92" s="200"/>
      <c r="G92" s="200">
        <v>420</v>
      </c>
      <c r="H92" s="200"/>
      <c r="I92" s="200">
        <v>125</v>
      </c>
      <c r="J92" s="200">
        <v>1150</v>
      </c>
      <c r="K92" s="201">
        <v>5</v>
      </c>
      <c r="L92" s="131">
        <f t="shared" si="9"/>
        <v>230</v>
      </c>
      <c r="M92" s="131">
        <f t="shared" si="10"/>
        <v>164.28571428571428</v>
      </c>
      <c r="N92" s="130"/>
    </row>
    <row r="93" spans="1:14" x14ac:dyDescent="0.25">
      <c r="A93" s="186">
        <v>12</v>
      </c>
      <c r="B93" s="199" t="s">
        <v>443</v>
      </c>
      <c r="C93" s="200"/>
      <c r="D93" s="200"/>
      <c r="E93" s="200">
        <v>405</v>
      </c>
      <c r="F93" s="200"/>
      <c r="G93" s="200"/>
      <c r="H93" s="200">
        <v>735</v>
      </c>
      <c r="I93" s="200"/>
      <c r="J93" s="200">
        <v>1140</v>
      </c>
      <c r="K93" s="201">
        <v>3</v>
      </c>
      <c r="L93" s="131">
        <f t="shared" si="9"/>
        <v>380</v>
      </c>
      <c r="M93" s="131">
        <f t="shared" si="10"/>
        <v>162.85714285714286</v>
      </c>
      <c r="N93" s="130"/>
    </row>
    <row r="94" spans="1:14" x14ac:dyDescent="0.25">
      <c r="A94" s="186">
        <v>13</v>
      </c>
      <c r="B94" s="199" t="s">
        <v>321</v>
      </c>
      <c r="C94" s="200"/>
      <c r="D94" s="200">
        <v>525</v>
      </c>
      <c r="E94" s="200">
        <v>550</v>
      </c>
      <c r="F94" s="200"/>
      <c r="G94" s="200"/>
      <c r="H94" s="200"/>
      <c r="I94" s="200"/>
      <c r="J94" s="200">
        <v>1075</v>
      </c>
      <c r="K94" s="201">
        <v>2</v>
      </c>
      <c r="L94" s="131">
        <f t="shared" si="9"/>
        <v>537.5</v>
      </c>
      <c r="M94" s="131">
        <f t="shared" si="10"/>
        <v>153.57142857142858</v>
      </c>
      <c r="N94" s="130"/>
    </row>
    <row r="95" spans="1:14" x14ac:dyDescent="0.25">
      <c r="A95" s="186">
        <v>14</v>
      </c>
      <c r="B95" s="199" t="s">
        <v>238</v>
      </c>
      <c r="C95" s="200">
        <v>150</v>
      </c>
      <c r="D95" s="200">
        <v>915</v>
      </c>
      <c r="E95" s="200"/>
      <c r="F95" s="200"/>
      <c r="G95" s="200"/>
      <c r="H95" s="200"/>
      <c r="I95" s="200"/>
      <c r="J95" s="200">
        <v>1065</v>
      </c>
      <c r="K95" s="201">
        <v>2</v>
      </c>
      <c r="L95" s="131">
        <f t="shared" si="9"/>
        <v>532.5</v>
      </c>
      <c r="M95" s="131">
        <f t="shared" si="10"/>
        <v>152.14285714285714</v>
      </c>
      <c r="N95" s="130"/>
    </row>
    <row r="96" spans="1:14" x14ac:dyDescent="0.25">
      <c r="A96" s="186">
        <v>15</v>
      </c>
      <c r="B96" s="199" t="s">
        <v>253</v>
      </c>
      <c r="C96" s="200">
        <v>1060</v>
      </c>
      <c r="D96" s="200"/>
      <c r="E96" s="200"/>
      <c r="F96" s="200"/>
      <c r="G96" s="200"/>
      <c r="H96" s="200"/>
      <c r="I96" s="200"/>
      <c r="J96" s="200">
        <v>1060</v>
      </c>
      <c r="K96" s="201">
        <v>1</v>
      </c>
      <c r="L96" s="131">
        <f t="shared" si="9"/>
        <v>1060</v>
      </c>
      <c r="M96" s="131">
        <f t="shared" si="10"/>
        <v>151.42857142857142</v>
      </c>
      <c r="N96" s="130"/>
    </row>
    <row r="97" spans="1:14" x14ac:dyDescent="0.25">
      <c r="A97" s="186">
        <v>16</v>
      </c>
      <c r="B97" s="199" t="s">
        <v>161</v>
      </c>
      <c r="C97" s="200">
        <v>995</v>
      </c>
      <c r="D97" s="200"/>
      <c r="E97" s="200"/>
      <c r="F97" s="200"/>
      <c r="G97" s="200"/>
      <c r="H97" s="200"/>
      <c r="I97" s="200"/>
      <c r="J97" s="200">
        <v>995</v>
      </c>
      <c r="K97" s="201">
        <v>1</v>
      </c>
      <c r="L97" s="131">
        <f t="shared" si="9"/>
        <v>995</v>
      </c>
      <c r="M97" s="131">
        <f t="shared" si="10"/>
        <v>142.14285714285714</v>
      </c>
      <c r="N97" s="130"/>
    </row>
    <row r="98" spans="1:14" x14ac:dyDescent="0.25">
      <c r="A98" s="186">
        <v>17</v>
      </c>
      <c r="B98" s="199" t="s">
        <v>436</v>
      </c>
      <c r="C98" s="200"/>
      <c r="D98" s="200"/>
      <c r="E98" s="200">
        <v>925</v>
      </c>
      <c r="F98" s="200"/>
      <c r="G98" s="200"/>
      <c r="H98" s="200"/>
      <c r="I98" s="200"/>
      <c r="J98" s="200">
        <v>925</v>
      </c>
      <c r="K98" s="201">
        <v>1</v>
      </c>
      <c r="L98" s="131">
        <f t="shared" si="9"/>
        <v>925</v>
      </c>
      <c r="M98" s="131">
        <f t="shared" si="10"/>
        <v>132.14285714285714</v>
      </c>
      <c r="N98" s="130"/>
    </row>
    <row r="99" spans="1:14" x14ac:dyDescent="0.25">
      <c r="A99" s="186">
        <v>18</v>
      </c>
      <c r="B99" s="199" t="s">
        <v>649</v>
      </c>
      <c r="C99" s="200"/>
      <c r="D99" s="200"/>
      <c r="E99" s="200"/>
      <c r="F99" s="200">
        <v>900</v>
      </c>
      <c r="G99" s="200"/>
      <c r="H99" s="200"/>
      <c r="I99" s="200"/>
      <c r="J99" s="200">
        <v>900</v>
      </c>
      <c r="K99" s="201">
        <v>1</v>
      </c>
      <c r="L99" s="131">
        <f t="shared" si="9"/>
        <v>900</v>
      </c>
      <c r="M99" s="131">
        <f t="shared" si="10"/>
        <v>128.57142857142858</v>
      </c>
      <c r="N99" s="130"/>
    </row>
    <row r="100" spans="1:14" x14ac:dyDescent="0.25">
      <c r="A100" s="186">
        <v>19</v>
      </c>
      <c r="B100" s="199" t="s">
        <v>337</v>
      </c>
      <c r="C100" s="200"/>
      <c r="D100" s="200">
        <v>892.5</v>
      </c>
      <c r="E100" s="200"/>
      <c r="F100" s="200"/>
      <c r="G100" s="200"/>
      <c r="H100" s="200"/>
      <c r="I100" s="200"/>
      <c r="J100" s="200">
        <v>892.5</v>
      </c>
      <c r="K100" s="201">
        <v>1</v>
      </c>
      <c r="L100" s="131">
        <f t="shared" si="9"/>
        <v>892.5</v>
      </c>
      <c r="M100" s="131">
        <f t="shared" si="10"/>
        <v>127.5</v>
      </c>
      <c r="N100" s="130"/>
    </row>
    <row r="101" spans="1:14" x14ac:dyDescent="0.25">
      <c r="A101" s="186">
        <v>20</v>
      </c>
      <c r="B101" s="199" t="s">
        <v>644</v>
      </c>
      <c r="C101" s="200"/>
      <c r="D101" s="200"/>
      <c r="E101" s="200"/>
      <c r="F101" s="200">
        <v>380</v>
      </c>
      <c r="G101" s="200"/>
      <c r="H101" s="200">
        <v>459.52</v>
      </c>
      <c r="I101" s="200"/>
      <c r="J101" s="200">
        <v>839.52</v>
      </c>
      <c r="K101" s="201">
        <v>2</v>
      </c>
      <c r="L101" s="131">
        <f t="shared" si="9"/>
        <v>419.76</v>
      </c>
      <c r="M101" s="131">
        <f t="shared" si="10"/>
        <v>119.93142857142857</v>
      </c>
      <c r="N101" s="130"/>
    </row>
    <row r="102" spans="1:14" x14ac:dyDescent="0.25">
      <c r="A102" s="186">
        <v>21</v>
      </c>
      <c r="B102" s="199" t="s">
        <v>460</v>
      </c>
      <c r="C102" s="200"/>
      <c r="D102" s="200"/>
      <c r="E102" s="200">
        <v>750</v>
      </c>
      <c r="F102" s="200"/>
      <c r="G102" s="200"/>
      <c r="H102" s="200"/>
      <c r="I102" s="200"/>
      <c r="J102" s="200">
        <v>750</v>
      </c>
      <c r="K102" s="201">
        <v>1</v>
      </c>
      <c r="L102" s="131">
        <f t="shared" si="9"/>
        <v>750</v>
      </c>
      <c r="M102" s="131">
        <f t="shared" si="10"/>
        <v>107.14285714285714</v>
      </c>
      <c r="N102" s="130"/>
    </row>
    <row r="103" spans="1:14" x14ac:dyDescent="0.25">
      <c r="A103" s="186">
        <v>22</v>
      </c>
      <c r="B103" s="199" t="s">
        <v>1006</v>
      </c>
      <c r="C103" s="200"/>
      <c r="D103" s="200"/>
      <c r="E103" s="200"/>
      <c r="F103" s="200"/>
      <c r="G103" s="200"/>
      <c r="H103" s="200">
        <v>714.29</v>
      </c>
      <c r="I103" s="200"/>
      <c r="J103" s="200">
        <v>714.29</v>
      </c>
      <c r="K103" s="201">
        <v>1</v>
      </c>
      <c r="L103" s="131">
        <f t="shared" si="9"/>
        <v>714.29</v>
      </c>
      <c r="M103" s="131">
        <f t="shared" si="10"/>
        <v>102.04142857142857</v>
      </c>
      <c r="N103" s="130"/>
    </row>
    <row r="104" spans="1:14" x14ac:dyDescent="0.25">
      <c r="A104" s="186">
        <v>23</v>
      </c>
      <c r="B104" s="199" t="s">
        <v>863</v>
      </c>
      <c r="C104" s="200"/>
      <c r="D104" s="200"/>
      <c r="E104" s="200"/>
      <c r="F104" s="200">
        <v>285.5</v>
      </c>
      <c r="G104" s="200"/>
      <c r="H104" s="200">
        <v>367.5</v>
      </c>
      <c r="I104" s="200"/>
      <c r="J104" s="200">
        <v>653</v>
      </c>
      <c r="K104" s="201">
        <v>2</v>
      </c>
      <c r="L104" s="131">
        <f t="shared" si="9"/>
        <v>326.5</v>
      </c>
      <c r="M104" s="131">
        <f t="shared" si="10"/>
        <v>93.285714285714292</v>
      </c>
      <c r="N104" s="130"/>
    </row>
    <row r="105" spans="1:14" x14ac:dyDescent="0.25">
      <c r="A105" s="186">
        <v>24</v>
      </c>
      <c r="B105" s="199" t="s">
        <v>1063</v>
      </c>
      <c r="C105" s="200"/>
      <c r="D105" s="200"/>
      <c r="E105" s="200"/>
      <c r="F105" s="200"/>
      <c r="G105" s="200"/>
      <c r="H105" s="200"/>
      <c r="I105" s="200">
        <v>625</v>
      </c>
      <c r="J105" s="200">
        <v>625</v>
      </c>
      <c r="K105" s="201">
        <v>1</v>
      </c>
      <c r="L105" s="131">
        <f t="shared" si="9"/>
        <v>625</v>
      </c>
      <c r="M105" s="131">
        <f t="shared" si="10"/>
        <v>89.285714285714292</v>
      </c>
      <c r="N105" s="130"/>
    </row>
    <row r="106" spans="1:14" x14ac:dyDescent="0.25">
      <c r="A106" s="186">
        <v>25</v>
      </c>
      <c r="B106" s="199" t="s">
        <v>276</v>
      </c>
      <c r="C106" s="200"/>
      <c r="D106" s="200">
        <v>625</v>
      </c>
      <c r="E106" s="200"/>
      <c r="F106" s="200"/>
      <c r="G106" s="200"/>
      <c r="H106" s="200"/>
      <c r="I106" s="200"/>
      <c r="J106" s="200">
        <v>625</v>
      </c>
      <c r="K106" s="201">
        <v>2</v>
      </c>
      <c r="L106" s="131">
        <f t="shared" si="9"/>
        <v>312.5</v>
      </c>
      <c r="M106" s="131">
        <f t="shared" si="10"/>
        <v>89.285714285714292</v>
      </c>
      <c r="N106" s="130"/>
    </row>
    <row r="107" spans="1:14" x14ac:dyDescent="0.25">
      <c r="A107" s="186">
        <v>26</v>
      </c>
      <c r="B107" s="199" t="s">
        <v>1065</v>
      </c>
      <c r="C107" s="200"/>
      <c r="D107" s="200"/>
      <c r="E107" s="200"/>
      <c r="F107" s="200"/>
      <c r="G107" s="200"/>
      <c r="H107" s="200"/>
      <c r="I107" s="200">
        <v>565</v>
      </c>
      <c r="J107" s="200">
        <v>565</v>
      </c>
      <c r="K107" s="201">
        <v>1</v>
      </c>
      <c r="L107" s="131">
        <f t="shared" si="9"/>
        <v>565</v>
      </c>
      <c r="M107" s="131">
        <f t="shared" si="10"/>
        <v>80.714285714285708</v>
      </c>
      <c r="N107" s="130"/>
    </row>
    <row r="108" spans="1:14" x14ac:dyDescent="0.25">
      <c r="A108" s="186">
        <v>27</v>
      </c>
      <c r="B108" s="199" t="s">
        <v>56</v>
      </c>
      <c r="C108" s="200">
        <v>530</v>
      </c>
      <c r="D108" s="200"/>
      <c r="E108" s="200"/>
      <c r="F108" s="200"/>
      <c r="G108" s="200"/>
      <c r="H108" s="200"/>
      <c r="I108" s="200"/>
      <c r="J108" s="200">
        <v>530</v>
      </c>
      <c r="K108" s="201">
        <v>1</v>
      </c>
      <c r="L108" s="131">
        <f t="shared" si="9"/>
        <v>530</v>
      </c>
      <c r="M108" s="131">
        <f t="shared" si="10"/>
        <v>75.714285714285708</v>
      </c>
      <c r="N108" s="130"/>
    </row>
    <row r="109" spans="1:14" x14ac:dyDescent="0.25">
      <c r="A109" s="186">
        <v>28</v>
      </c>
      <c r="B109" s="199" t="s">
        <v>229</v>
      </c>
      <c r="C109" s="200">
        <v>525</v>
      </c>
      <c r="D109" s="200"/>
      <c r="E109" s="200"/>
      <c r="F109" s="200"/>
      <c r="G109" s="200"/>
      <c r="H109" s="200"/>
      <c r="I109" s="200"/>
      <c r="J109" s="200">
        <v>525</v>
      </c>
      <c r="K109" s="201">
        <v>1</v>
      </c>
      <c r="L109" s="131">
        <f t="shared" si="9"/>
        <v>525</v>
      </c>
      <c r="M109" s="131">
        <f t="shared" si="10"/>
        <v>75</v>
      </c>
      <c r="N109" s="130"/>
    </row>
    <row r="110" spans="1:14" x14ac:dyDescent="0.25">
      <c r="A110" s="186">
        <v>29</v>
      </c>
      <c r="B110" s="199" t="s">
        <v>512</v>
      </c>
      <c r="C110" s="200"/>
      <c r="D110" s="200"/>
      <c r="E110" s="200">
        <v>435</v>
      </c>
      <c r="F110" s="200"/>
      <c r="G110" s="200"/>
      <c r="H110" s="200"/>
      <c r="I110" s="200"/>
      <c r="J110" s="200">
        <v>435</v>
      </c>
      <c r="K110" s="201">
        <v>1</v>
      </c>
      <c r="L110" s="131">
        <f t="shared" si="9"/>
        <v>435</v>
      </c>
      <c r="M110" s="131">
        <f t="shared" si="10"/>
        <v>62.142857142857146</v>
      </c>
      <c r="N110" s="130"/>
    </row>
    <row r="111" spans="1:14" x14ac:dyDescent="0.25">
      <c r="A111" s="186">
        <v>30</v>
      </c>
      <c r="B111" s="199" t="s">
        <v>963</v>
      </c>
      <c r="C111" s="200"/>
      <c r="D111" s="200"/>
      <c r="E111" s="200"/>
      <c r="F111" s="200"/>
      <c r="G111" s="200"/>
      <c r="H111" s="200">
        <v>425</v>
      </c>
      <c r="I111" s="200"/>
      <c r="J111" s="200">
        <v>425</v>
      </c>
      <c r="K111" s="201">
        <v>1</v>
      </c>
      <c r="L111" s="131">
        <f t="shared" si="9"/>
        <v>425</v>
      </c>
      <c r="M111" s="131">
        <f t="shared" si="10"/>
        <v>60.714285714285715</v>
      </c>
      <c r="N111" s="130"/>
    </row>
    <row r="112" spans="1:14" x14ac:dyDescent="0.25">
      <c r="A112" s="186">
        <v>31</v>
      </c>
      <c r="B112" s="199" t="s">
        <v>172</v>
      </c>
      <c r="C112" s="200">
        <v>400</v>
      </c>
      <c r="D112" s="200"/>
      <c r="E112" s="200"/>
      <c r="F112" s="200"/>
      <c r="G112" s="200"/>
      <c r="H112" s="200"/>
      <c r="I112" s="200"/>
      <c r="J112" s="200">
        <v>400</v>
      </c>
      <c r="K112" s="201">
        <v>1</v>
      </c>
      <c r="L112" s="131">
        <f t="shared" si="9"/>
        <v>400</v>
      </c>
      <c r="M112" s="131">
        <f t="shared" si="10"/>
        <v>57.142857142857146</v>
      </c>
      <c r="N112" s="130"/>
    </row>
    <row r="113" spans="1:14" x14ac:dyDescent="0.25">
      <c r="A113" s="186">
        <v>32</v>
      </c>
      <c r="B113" s="199" t="s">
        <v>628</v>
      </c>
      <c r="C113" s="200"/>
      <c r="D113" s="200"/>
      <c r="E113" s="200"/>
      <c r="F113" s="200">
        <v>202.95</v>
      </c>
      <c r="G113" s="200">
        <v>195</v>
      </c>
      <c r="H113" s="200"/>
      <c r="I113" s="200"/>
      <c r="J113" s="200">
        <v>397.95</v>
      </c>
      <c r="K113" s="201">
        <v>2</v>
      </c>
      <c r="L113" s="131">
        <f t="shared" si="9"/>
        <v>198.97499999999999</v>
      </c>
      <c r="M113" s="131">
        <f t="shared" si="10"/>
        <v>56.85</v>
      </c>
      <c r="N113" s="130"/>
    </row>
    <row r="114" spans="1:14" x14ac:dyDescent="0.25">
      <c r="A114" s="186">
        <v>33</v>
      </c>
      <c r="B114" s="199" t="s">
        <v>139</v>
      </c>
      <c r="C114" s="200">
        <v>380</v>
      </c>
      <c r="D114" s="200"/>
      <c r="E114" s="200"/>
      <c r="F114" s="200"/>
      <c r="G114" s="200"/>
      <c r="H114" s="200"/>
      <c r="I114" s="200"/>
      <c r="J114" s="200">
        <v>380</v>
      </c>
      <c r="K114" s="201">
        <v>1</v>
      </c>
      <c r="L114" s="131">
        <f t="shared" si="9"/>
        <v>380</v>
      </c>
      <c r="M114" s="131">
        <f t="shared" si="10"/>
        <v>54.285714285714285</v>
      </c>
      <c r="N114" s="130"/>
    </row>
    <row r="115" spans="1:14" x14ac:dyDescent="0.25">
      <c r="A115" s="186">
        <v>34</v>
      </c>
      <c r="B115" s="199" t="s">
        <v>591</v>
      </c>
      <c r="C115" s="200"/>
      <c r="D115" s="200"/>
      <c r="E115" s="200"/>
      <c r="F115" s="200">
        <v>380</v>
      </c>
      <c r="G115" s="200"/>
      <c r="H115" s="200"/>
      <c r="I115" s="200"/>
      <c r="J115" s="200">
        <v>380</v>
      </c>
      <c r="K115" s="201">
        <v>1</v>
      </c>
      <c r="L115" s="131">
        <f t="shared" si="9"/>
        <v>380</v>
      </c>
      <c r="M115" s="131">
        <f t="shared" si="10"/>
        <v>54.285714285714285</v>
      </c>
      <c r="N115" s="130"/>
    </row>
    <row r="116" spans="1:14" x14ac:dyDescent="0.25">
      <c r="A116" s="186">
        <v>35</v>
      </c>
      <c r="B116" s="199" t="s">
        <v>670</v>
      </c>
      <c r="C116" s="200"/>
      <c r="D116" s="200"/>
      <c r="E116" s="200"/>
      <c r="F116" s="200"/>
      <c r="G116" s="200">
        <v>350</v>
      </c>
      <c r="H116" s="200"/>
      <c r="I116" s="200"/>
      <c r="J116" s="200">
        <v>350</v>
      </c>
      <c r="K116" s="201">
        <v>1</v>
      </c>
      <c r="L116" s="131">
        <f t="shared" si="9"/>
        <v>350</v>
      </c>
      <c r="M116" s="131">
        <f t="shared" si="10"/>
        <v>50</v>
      </c>
      <c r="N116" s="130"/>
    </row>
    <row r="117" spans="1:14" x14ac:dyDescent="0.25">
      <c r="A117" s="186">
        <v>36</v>
      </c>
      <c r="B117" s="199" t="s">
        <v>231</v>
      </c>
      <c r="C117" s="200">
        <v>300</v>
      </c>
      <c r="D117" s="200"/>
      <c r="E117" s="200"/>
      <c r="F117" s="200"/>
      <c r="G117" s="200"/>
      <c r="H117" s="200"/>
      <c r="I117" s="200"/>
      <c r="J117" s="200">
        <v>300</v>
      </c>
      <c r="K117" s="201">
        <v>1</v>
      </c>
      <c r="L117" s="131">
        <f t="shared" si="9"/>
        <v>300</v>
      </c>
      <c r="M117" s="131">
        <f t="shared" si="10"/>
        <v>42.857142857142854</v>
      </c>
      <c r="N117" s="130"/>
    </row>
    <row r="118" spans="1:14" x14ac:dyDescent="0.25">
      <c r="A118" s="186">
        <v>37</v>
      </c>
      <c r="B118" s="199" t="s">
        <v>750</v>
      </c>
      <c r="C118" s="200"/>
      <c r="D118" s="200"/>
      <c r="E118" s="200"/>
      <c r="F118" s="200"/>
      <c r="G118" s="200">
        <v>285.70999999999998</v>
      </c>
      <c r="H118" s="200"/>
      <c r="I118" s="200"/>
      <c r="J118" s="200">
        <v>285.70999999999998</v>
      </c>
      <c r="K118" s="201">
        <v>1</v>
      </c>
      <c r="L118" s="131">
        <f t="shared" si="9"/>
        <v>285.70999999999998</v>
      </c>
      <c r="M118" s="131">
        <f t="shared" si="10"/>
        <v>40.815714285714286</v>
      </c>
      <c r="N118" s="130"/>
    </row>
    <row r="119" spans="1:14" x14ac:dyDescent="0.25">
      <c r="A119" s="186">
        <v>38</v>
      </c>
      <c r="B119" s="199" t="s">
        <v>494</v>
      </c>
      <c r="C119" s="200"/>
      <c r="D119" s="200"/>
      <c r="E119" s="200">
        <v>285</v>
      </c>
      <c r="F119" s="200"/>
      <c r="G119" s="200"/>
      <c r="H119" s="200"/>
      <c r="I119" s="200"/>
      <c r="J119" s="200">
        <v>285</v>
      </c>
      <c r="K119" s="201">
        <v>1</v>
      </c>
      <c r="L119" s="131">
        <f t="shared" si="9"/>
        <v>285</v>
      </c>
      <c r="M119" s="131">
        <f t="shared" si="10"/>
        <v>40.714285714285715</v>
      </c>
      <c r="N119" s="130"/>
    </row>
    <row r="120" spans="1:14" x14ac:dyDescent="0.25">
      <c r="A120" s="186">
        <v>39</v>
      </c>
      <c r="B120" s="199" t="s">
        <v>957</v>
      </c>
      <c r="C120" s="200"/>
      <c r="D120" s="200"/>
      <c r="E120" s="200"/>
      <c r="F120" s="200"/>
      <c r="G120" s="200"/>
      <c r="H120" s="200">
        <v>285</v>
      </c>
      <c r="I120" s="200"/>
      <c r="J120" s="200">
        <v>285</v>
      </c>
      <c r="K120" s="201">
        <v>1</v>
      </c>
      <c r="L120" s="131">
        <f t="shared" si="9"/>
        <v>285</v>
      </c>
      <c r="M120" s="131">
        <f t="shared" si="10"/>
        <v>40.714285714285715</v>
      </c>
      <c r="N120" s="130"/>
    </row>
    <row r="121" spans="1:14" x14ac:dyDescent="0.25">
      <c r="A121" s="186">
        <v>40</v>
      </c>
      <c r="B121" s="199" t="s">
        <v>990</v>
      </c>
      <c r="C121" s="200"/>
      <c r="D121" s="200"/>
      <c r="E121" s="200"/>
      <c r="F121" s="200"/>
      <c r="G121" s="200"/>
      <c r="H121" s="200">
        <v>235</v>
      </c>
      <c r="I121" s="200"/>
      <c r="J121" s="200">
        <v>235</v>
      </c>
      <c r="K121" s="201">
        <v>1</v>
      </c>
      <c r="L121" s="131">
        <f t="shared" si="9"/>
        <v>235</v>
      </c>
      <c r="M121" s="131">
        <f t="shared" si="10"/>
        <v>33.571428571428569</v>
      </c>
      <c r="N121" s="130"/>
    </row>
    <row r="122" spans="1:14" x14ac:dyDescent="0.25">
      <c r="A122" s="186">
        <v>41</v>
      </c>
      <c r="B122" s="199" t="s">
        <v>1016</v>
      </c>
      <c r="C122" s="200"/>
      <c r="D122" s="200"/>
      <c r="E122" s="200"/>
      <c r="F122" s="200"/>
      <c r="G122" s="200"/>
      <c r="H122" s="200"/>
      <c r="I122" s="200">
        <v>200</v>
      </c>
      <c r="J122" s="200">
        <v>200</v>
      </c>
      <c r="K122" s="201">
        <v>1</v>
      </c>
      <c r="L122" s="131">
        <f t="shared" si="9"/>
        <v>200</v>
      </c>
      <c r="M122" s="131">
        <f t="shared" si="10"/>
        <v>28.571428571428573</v>
      </c>
      <c r="N122" s="130"/>
    </row>
    <row r="123" spans="1:14" x14ac:dyDescent="0.25">
      <c r="A123" s="186">
        <v>42</v>
      </c>
      <c r="B123" s="199" t="s">
        <v>699</v>
      </c>
      <c r="C123" s="200"/>
      <c r="D123" s="200"/>
      <c r="E123" s="200"/>
      <c r="F123" s="200"/>
      <c r="G123" s="200">
        <v>175</v>
      </c>
      <c r="H123" s="200"/>
      <c r="I123" s="200"/>
      <c r="J123" s="200">
        <v>175</v>
      </c>
      <c r="K123" s="201">
        <v>1</v>
      </c>
      <c r="L123" s="131">
        <f t="shared" si="9"/>
        <v>175</v>
      </c>
      <c r="M123" s="131">
        <f t="shared" si="10"/>
        <v>25</v>
      </c>
      <c r="N123" s="130"/>
    </row>
    <row r="124" spans="1:14" x14ac:dyDescent="0.25">
      <c r="A124" s="186">
        <v>43</v>
      </c>
      <c r="B124" s="199" t="s">
        <v>292</v>
      </c>
      <c r="C124" s="200"/>
      <c r="D124" s="200">
        <v>140</v>
      </c>
      <c r="E124" s="200"/>
      <c r="F124" s="200"/>
      <c r="G124" s="200"/>
      <c r="H124" s="200"/>
      <c r="I124" s="200"/>
      <c r="J124" s="200">
        <v>140</v>
      </c>
      <c r="K124" s="201">
        <v>1</v>
      </c>
      <c r="L124" s="131">
        <f t="shared" si="9"/>
        <v>140</v>
      </c>
      <c r="M124" s="131">
        <f t="shared" si="10"/>
        <v>20</v>
      </c>
      <c r="N124" s="130"/>
    </row>
    <row r="125" spans="1:14" x14ac:dyDescent="0.25">
      <c r="A125" s="186">
        <v>44</v>
      </c>
      <c r="B125" s="199" t="s">
        <v>163</v>
      </c>
      <c r="C125" s="200">
        <v>95</v>
      </c>
      <c r="D125" s="200"/>
      <c r="E125" s="200"/>
      <c r="F125" s="200"/>
      <c r="G125" s="200"/>
      <c r="H125" s="200"/>
      <c r="I125" s="200"/>
      <c r="J125" s="200">
        <v>95</v>
      </c>
      <c r="K125" s="201">
        <v>1</v>
      </c>
      <c r="L125" s="131">
        <f t="shared" si="9"/>
        <v>95</v>
      </c>
      <c r="M125" s="131">
        <f t="shared" si="10"/>
        <v>13.571428571428571</v>
      </c>
      <c r="N125" s="130"/>
    </row>
    <row r="126" spans="1:14" x14ac:dyDescent="0.25">
      <c r="A126" s="186">
        <v>45</v>
      </c>
      <c r="B126" s="199" t="s">
        <v>835</v>
      </c>
      <c r="C126" s="200"/>
      <c r="D126" s="200"/>
      <c r="E126" s="200"/>
      <c r="F126" s="200"/>
      <c r="G126" s="200"/>
      <c r="H126" s="200">
        <v>90</v>
      </c>
      <c r="I126" s="200"/>
      <c r="J126" s="200">
        <v>90</v>
      </c>
      <c r="K126" s="201">
        <v>1</v>
      </c>
      <c r="L126" s="131">
        <f t="shared" si="9"/>
        <v>90</v>
      </c>
      <c r="M126" s="131">
        <f t="shared" si="10"/>
        <v>12.857142857142858</v>
      </c>
      <c r="N126" s="130"/>
    </row>
    <row r="127" spans="1:14" x14ac:dyDescent="0.25">
      <c r="A127" s="186">
        <v>46</v>
      </c>
      <c r="B127" s="199" t="s">
        <v>1092</v>
      </c>
      <c r="C127" s="200"/>
      <c r="D127" s="200"/>
      <c r="E127" s="200"/>
      <c r="F127" s="200"/>
      <c r="G127" s="200"/>
      <c r="H127" s="200"/>
      <c r="I127" s="200">
        <v>80</v>
      </c>
      <c r="J127" s="200">
        <v>80</v>
      </c>
      <c r="K127" s="201">
        <v>1</v>
      </c>
      <c r="L127" s="131">
        <f t="shared" ref="L127:L130" si="11">J127/K127</f>
        <v>80</v>
      </c>
      <c r="M127" s="131">
        <f t="shared" ref="M127:M130" si="12">+J127/7</f>
        <v>11.428571428571429</v>
      </c>
      <c r="N127" s="130"/>
    </row>
    <row r="128" spans="1:14" x14ac:dyDescent="0.25">
      <c r="A128" s="186">
        <v>47</v>
      </c>
      <c r="B128" s="199" t="s">
        <v>394</v>
      </c>
      <c r="C128" s="200"/>
      <c r="D128" s="200">
        <v>47.62</v>
      </c>
      <c r="E128" s="200"/>
      <c r="F128" s="200"/>
      <c r="G128" s="200"/>
      <c r="H128" s="200"/>
      <c r="I128" s="200"/>
      <c r="J128" s="200">
        <v>47.62</v>
      </c>
      <c r="K128" s="201">
        <v>1</v>
      </c>
      <c r="L128" s="131">
        <f t="shared" si="11"/>
        <v>47.62</v>
      </c>
      <c r="M128" s="131">
        <f t="shared" si="12"/>
        <v>6.8028571428571425</v>
      </c>
      <c r="N128" s="130"/>
    </row>
    <row r="129" spans="1:14" x14ac:dyDescent="0.25">
      <c r="A129" s="186">
        <v>48</v>
      </c>
      <c r="B129" s="199" t="s">
        <v>241</v>
      </c>
      <c r="C129" s="200">
        <v>0</v>
      </c>
      <c r="D129" s="200"/>
      <c r="E129" s="200"/>
      <c r="F129" s="200"/>
      <c r="G129" s="200"/>
      <c r="H129" s="200"/>
      <c r="I129" s="200"/>
      <c r="J129" s="200">
        <v>0</v>
      </c>
      <c r="K129" s="201">
        <v>1</v>
      </c>
      <c r="L129" s="131">
        <f t="shared" si="11"/>
        <v>0</v>
      </c>
      <c r="M129" s="131">
        <f t="shared" si="12"/>
        <v>0</v>
      </c>
      <c r="N129" s="130"/>
    </row>
    <row r="130" spans="1:14" x14ac:dyDescent="0.25">
      <c r="A130" s="186">
        <v>49</v>
      </c>
      <c r="B130" s="199" t="s">
        <v>983</v>
      </c>
      <c r="C130" s="200"/>
      <c r="D130" s="200"/>
      <c r="E130" s="200"/>
      <c r="F130" s="200"/>
      <c r="G130" s="200"/>
      <c r="H130" s="200">
        <v>0</v>
      </c>
      <c r="I130" s="200"/>
      <c r="J130" s="200">
        <v>0</v>
      </c>
      <c r="K130" s="201">
        <v>1</v>
      </c>
      <c r="L130" s="131">
        <f t="shared" si="11"/>
        <v>0</v>
      </c>
      <c r="M130" s="131">
        <f t="shared" si="12"/>
        <v>0</v>
      </c>
      <c r="N130" s="130"/>
    </row>
    <row r="131" spans="1:14" x14ac:dyDescent="0.25">
      <c r="B131" s="42"/>
      <c r="C131" s="132">
        <f>SUM(C82:C130)</f>
        <v>7310</v>
      </c>
      <c r="D131" s="132">
        <f t="shared" ref="D131:K131" si="13">SUM(D82:D130)</f>
        <v>4985.12</v>
      </c>
      <c r="E131" s="132">
        <f t="shared" si="13"/>
        <v>5125</v>
      </c>
      <c r="F131" s="132">
        <f t="shared" si="13"/>
        <v>4834.95</v>
      </c>
      <c r="G131" s="132">
        <f t="shared" si="13"/>
        <v>3128.71</v>
      </c>
      <c r="H131" s="132">
        <f t="shared" si="13"/>
        <v>3611.31</v>
      </c>
      <c r="I131" s="132">
        <f t="shared" si="13"/>
        <v>4033.75</v>
      </c>
      <c r="J131" s="132">
        <f t="shared" si="13"/>
        <v>33028.840000000004</v>
      </c>
      <c r="K131" s="190">
        <f t="shared" si="13"/>
        <v>74</v>
      </c>
      <c r="L131" s="132">
        <f>+J131/K131</f>
        <v>446.3356756756757</v>
      </c>
      <c r="M131" s="187">
        <f t="shared" si="10"/>
        <v>4718.4057142857146</v>
      </c>
      <c r="N131" s="136">
        <f>+J131/J132*100</f>
        <v>2.9308859154633575</v>
      </c>
    </row>
    <row r="132" spans="1:14" x14ac:dyDescent="0.25">
      <c r="C132" s="181">
        <f t="shared" ref="C132:I132" si="14">SUM(C16+C39+C79+C131)</f>
        <v>151513.73699999999</v>
      </c>
      <c r="D132" s="181">
        <f t="shared" si="14"/>
        <v>267652.46999999997</v>
      </c>
      <c r="E132" s="181">
        <f t="shared" si="14"/>
        <v>124056.87</v>
      </c>
      <c r="F132" s="181">
        <f t="shared" si="14"/>
        <v>94044.95</v>
      </c>
      <c r="G132" s="181">
        <f t="shared" si="14"/>
        <v>132558.95000000001</v>
      </c>
      <c r="H132" s="181">
        <f t="shared" si="14"/>
        <v>278942.14</v>
      </c>
      <c r="I132" s="181">
        <f t="shared" si="14"/>
        <v>78154.31</v>
      </c>
      <c r="J132" s="181">
        <f>SUM(J16+J39+J79+J131)</f>
        <v>1126923.4270000004</v>
      </c>
      <c r="K132" s="182">
        <f>SUM(K16+K39+K79+K131)</f>
        <v>445</v>
      </c>
      <c r="L132" s="181">
        <f t="shared" si="9"/>
        <v>2532.4121955056189</v>
      </c>
      <c r="M132" s="181">
        <f t="shared" si="10"/>
        <v>160989.06100000005</v>
      </c>
      <c r="N132" s="183"/>
    </row>
    <row r="139" spans="1:14" x14ac:dyDescent="0.25">
      <c r="B139" s="152" t="s">
        <v>872</v>
      </c>
      <c r="C139" s="202">
        <v>445</v>
      </c>
    </row>
    <row r="140" spans="1:14" x14ac:dyDescent="0.25">
      <c r="B140" s="152" t="s">
        <v>871</v>
      </c>
      <c r="C140" s="202">
        <v>10</v>
      </c>
    </row>
    <row r="141" spans="1:14" x14ac:dyDescent="0.25">
      <c r="B141" s="106"/>
      <c r="C141" s="202">
        <f>C139-C140</f>
        <v>435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B298-3CEE-49FE-95BF-F6921DB03209}">
  <dimension ref="A3:S143"/>
  <sheetViews>
    <sheetView workbookViewId="0">
      <selection activeCell="B22" sqref="B22"/>
    </sheetView>
  </sheetViews>
  <sheetFormatPr defaultRowHeight="15" x14ac:dyDescent="0.25"/>
  <cols>
    <col min="1" max="1" width="55" bestFit="1" customWidth="1"/>
    <col min="2" max="2" width="16.28515625" style="26" bestFit="1" customWidth="1"/>
    <col min="3" max="3" width="7.42578125" style="26" bestFit="1" customWidth="1"/>
    <col min="4" max="4" width="10.85546875" style="26" bestFit="1" customWidth="1"/>
    <col min="5" max="5" width="7.42578125" style="26" bestFit="1" customWidth="1"/>
    <col min="6" max="6" width="10.85546875" style="26" bestFit="1" customWidth="1"/>
    <col min="7" max="7" width="7.42578125" style="26" bestFit="1" customWidth="1"/>
    <col min="8" max="8" width="9" style="26" bestFit="1" customWidth="1"/>
    <col min="9" max="9" width="10.140625" style="26" bestFit="1" customWidth="1"/>
    <col min="10" max="10" width="10.85546875" style="26" bestFit="1" customWidth="1"/>
    <col min="11" max="11" width="7.140625" style="26" bestFit="1" customWidth="1"/>
    <col min="12" max="12" width="10.85546875" style="26" bestFit="1" customWidth="1"/>
    <col min="13" max="13" width="7.140625" style="26" bestFit="1" customWidth="1"/>
    <col min="14" max="14" width="10" style="26" bestFit="1" customWidth="1"/>
    <col min="15" max="15" width="7.140625" style="26" bestFit="1" customWidth="1"/>
    <col min="16" max="16" width="13.28515625" style="26" bestFit="1" customWidth="1"/>
    <col min="17" max="17" width="10.140625" bestFit="1" customWidth="1"/>
    <col min="18" max="18" width="10.5703125" bestFit="1" customWidth="1"/>
    <col min="19" max="19" width="7.42578125" bestFit="1" customWidth="1"/>
  </cols>
  <sheetData>
    <row r="3" spans="1:19" x14ac:dyDescent="0.25">
      <c r="A3" s="9"/>
      <c r="B3" s="100" t="s">
        <v>537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83.25" customHeight="1" x14ac:dyDescent="0.25">
      <c r="A4" s="9"/>
      <c r="B4" s="9" t="s">
        <v>18</v>
      </c>
      <c r="C4" s="9"/>
      <c r="D4" s="9" t="s">
        <v>269</v>
      </c>
      <c r="E4" s="9"/>
      <c r="F4" s="9" t="s">
        <v>401</v>
      </c>
      <c r="G4" s="9"/>
      <c r="H4" s="9" t="s">
        <v>600</v>
      </c>
      <c r="I4" s="9"/>
      <c r="J4" s="9" t="s">
        <v>680</v>
      </c>
      <c r="K4" s="9"/>
      <c r="L4" s="9" t="s">
        <v>847</v>
      </c>
      <c r="M4" s="9"/>
      <c r="N4" s="9" t="s">
        <v>1019</v>
      </c>
      <c r="O4" s="9"/>
      <c r="P4" s="9" t="s">
        <v>1139</v>
      </c>
      <c r="Q4" s="9"/>
      <c r="R4" s="102" t="s">
        <v>861</v>
      </c>
      <c r="S4" s="102" t="s">
        <v>862</v>
      </c>
    </row>
    <row r="5" spans="1:19" ht="66" customHeight="1" x14ac:dyDescent="0.25">
      <c r="A5" s="100" t="s">
        <v>859</v>
      </c>
      <c r="B5" s="102" t="s">
        <v>31</v>
      </c>
      <c r="C5" s="102" t="s">
        <v>860</v>
      </c>
      <c r="D5" s="102" t="s">
        <v>31</v>
      </c>
      <c r="E5" s="102" t="s">
        <v>860</v>
      </c>
      <c r="F5" s="102" t="s">
        <v>31</v>
      </c>
      <c r="G5" s="102" t="s">
        <v>860</v>
      </c>
      <c r="H5" s="102" t="s">
        <v>31</v>
      </c>
      <c r="I5" s="102" t="s">
        <v>860</v>
      </c>
      <c r="J5" s="102" t="s">
        <v>31</v>
      </c>
      <c r="K5" s="102" t="s">
        <v>860</v>
      </c>
      <c r="L5" s="102" t="s">
        <v>31</v>
      </c>
      <c r="M5" s="102" t="s">
        <v>860</v>
      </c>
      <c r="N5" s="102" t="s">
        <v>31</v>
      </c>
      <c r="O5" s="102" t="s">
        <v>860</v>
      </c>
      <c r="P5" s="102" t="s">
        <v>31</v>
      </c>
      <c r="Q5" s="102" t="s">
        <v>860</v>
      </c>
      <c r="R5" s="102"/>
      <c r="S5" s="102"/>
    </row>
    <row r="6" spans="1:19" x14ac:dyDescent="0.25">
      <c r="A6" s="101" t="s">
        <v>102</v>
      </c>
      <c r="B6" s="9">
        <v>4813</v>
      </c>
      <c r="C6" s="9">
        <v>3</v>
      </c>
      <c r="D6" s="9">
        <v>165010.85</v>
      </c>
      <c r="E6" s="9">
        <v>8</v>
      </c>
      <c r="F6" s="9">
        <v>585</v>
      </c>
      <c r="G6" s="9">
        <v>1</v>
      </c>
      <c r="H6" s="9">
        <v>4197</v>
      </c>
      <c r="I6" s="9">
        <v>3</v>
      </c>
      <c r="J6" s="9">
        <v>16715.669999999998</v>
      </c>
      <c r="K6" s="9">
        <v>9</v>
      </c>
      <c r="L6" s="9">
        <v>160</v>
      </c>
      <c r="M6" s="9">
        <v>1</v>
      </c>
      <c r="N6" s="9">
        <v>5885</v>
      </c>
      <c r="O6" s="9">
        <v>3</v>
      </c>
      <c r="P6" s="9"/>
      <c r="Q6" s="9"/>
      <c r="R6" s="205">
        <v>197366.52000000002</v>
      </c>
      <c r="S6" s="9">
        <v>28</v>
      </c>
    </row>
    <row r="7" spans="1:19" x14ac:dyDescent="0.25">
      <c r="A7" s="101" t="s">
        <v>10</v>
      </c>
      <c r="B7" s="9">
        <v>9650.49</v>
      </c>
      <c r="C7" s="9">
        <v>10</v>
      </c>
      <c r="D7" s="9">
        <v>16015.5</v>
      </c>
      <c r="E7" s="9">
        <v>10</v>
      </c>
      <c r="F7" s="9">
        <v>18431</v>
      </c>
      <c r="G7" s="9">
        <v>14</v>
      </c>
      <c r="H7" s="9">
        <v>9871</v>
      </c>
      <c r="I7" s="9">
        <v>10</v>
      </c>
      <c r="J7" s="9">
        <v>20166.02</v>
      </c>
      <c r="K7" s="9">
        <v>21</v>
      </c>
      <c r="L7" s="9">
        <v>76627.75</v>
      </c>
      <c r="M7" s="9">
        <v>18</v>
      </c>
      <c r="N7" s="9">
        <v>15382.81</v>
      </c>
      <c r="O7" s="9">
        <v>10</v>
      </c>
      <c r="P7" s="9"/>
      <c r="Q7" s="9"/>
      <c r="R7" s="205">
        <v>166144.57</v>
      </c>
      <c r="S7" s="9">
        <v>93</v>
      </c>
    </row>
    <row r="8" spans="1:19" x14ac:dyDescent="0.25">
      <c r="A8" s="101" t="s">
        <v>29</v>
      </c>
      <c r="B8" s="9">
        <v>10803.35</v>
      </c>
      <c r="C8" s="9">
        <v>4</v>
      </c>
      <c r="D8" s="9"/>
      <c r="E8" s="9"/>
      <c r="F8" s="9">
        <v>550</v>
      </c>
      <c r="G8" s="9">
        <v>2</v>
      </c>
      <c r="H8" s="9">
        <v>4669</v>
      </c>
      <c r="I8" s="9">
        <v>4</v>
      </c>
      <c r="J8" s="9">
        <v>12497.5</v>
      </c>
      <c r="K8" s="9">
        <v>9</v>
      </c>
      <c r="L8" s="9">
        <v>33682.5</v>
      </c>
      <c r="M8" s="9">
        <v>3</v>
      </c>
      <c r="N8" s="9">
        <v>977</v>
      </c>
      <c r="O8" s="9">
        <v>2</v>
      </c>
      <c r="P8" s="9"/>
      <c r="Q8" s="9"/>
      <c r="R8" s="205">
        <v>63179.35</v>
      </c>
      <c r="S8" s="9">
        <v>24</v>
      </c>
    </row>
    <row r="9" spans="1:19" x14ac:dyDescent="0.25">
      <c r="A9" s="101" t="s">
        <v>904</v>
      </c>
      <c r="B9" s="9"/>
      <c r="C9" s="9"/>
      <c r="D9" s="9"/>
      <c r="E9" s="9"/>
      <c r="F9" s="9"/>
      <c r="G9" s="9"/>
      <c r="H9" s="9"/>
      <c r="I9" s="9"/>
      <c r="J9" s="9"/>
      <c r="K9" s="9"/>
      <c r="L9" s="9">
        <v>45667.08</v>
      </c>
      <c r="M9" s="9">
        <v>1</v>
      </c>
      <c r="N9" s="9"/>
      <c r="O9" s="9"/>
      <c r="P9" s="9"/>
      <c r="Q9" s="9"/>
      <c r="R9" s="205">
        <v>45667.08</v>
      </c>
      <c r="S9" s="9">
        <v>1</v>
      </c>
    </row>
    <row r="10" spans="1:19" x14ac:dyDescent="0.25">
      <c r="A10" s="101" t="s">
        <v>515</v>
      </c>
      <c r="B10" s="9"/>
      <c r="C10" s="9"/>
      <c r="D10" s="9"/>
      <c r="E10" s="9"/>
      <c r="F10" s="9">
        <v>6920</v>
      </c>
      <c r="G10" s="9">
        <v>1</v>
      </c>
      <c r="H10" s="9"/>
      <c r="I10" s="9"/>
      <c r="J10" s="9">
        <v>12375</v>
      </c>
      <c r="K10" s="9">
        <v>1</v>
      </c>
      <c r="L10" s="9">
        <v>24338.5</v>
      </c>
      <c r="M10" s="9">
        <v>3</v>
      </c>
      <c r="N10" s="9"/>
      <c r="O10" s="9"/>
      <c r="P10" s="9"/>
      <c r="Q10" s="9"/>
      <c r="R10" s="205">
        <v>43633.5</v>
      </c>
      <c r="S10" s="9">
        <v>5</v>
      </c>
    </row>
    <row r="11" spans="1:19" x14ac:dyDescent="0.25">
      <c r="A11" s="101" t="s">
        <v>911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>
        <v>39130</v>
      </c>
      <c r="M11" s="9">
        <v>1</v>
      </c>
      <c r="N11" s="9"/>
      <c r="O11" s="9"/>
      <c r="P11" s="9"/>
      <c r="Q11" s="9"/>
      <c r="R11" s="205">
        <v>39130</v>
      </c>
      <c r="S11" s="9">
        <v>1</v>
      </c>
    </row>
    <row r="12" spans="1:19" x14ac:dyDescent="0.25">
      <c r="A12" s="101" t="s">
        <v>203</v>
      </c>
      <c r="B12" s="9">
        <v>19193.5</v>
      </c>
      <c r="C12" s="9">
        <v>2</v>
      </c>
      <c r="D12" s="9"/>
      <c r="E12" s="9"/>
      <c r="F12" s="9"/>
      <c r="G12" s="9"/>
      <c r="H12" s="9"/>
      <c r="I12" s="9"/>
      <c r="J12" s="9">
        <v>3831.2999999999997</v>
      </c>
      <c r="K12" s="9">
        <v>4</v>
      </c>
      <c r="L12" s="9">
        <v>358.75</v>
      </c>
      <c r="M12" s="9">
        <v>1</v>
      </c>
      <c r="N12" s="9">
        <v>14110</v>
      </c>
      <c r="O12" s="9">
        <v>1</v>
      </c>
      <c r="P12" s="9"/>
      <c r="Q12" s="9"/>
      <c r="R12" s="205">
        <v>37493.550000000003</v>
      </c>
      <c r="S12" s="9">
        <v>8</v>
      </c>
    </row>
    <row r="13" spans="1:19" x14ac:dyDescent="0.25">
      <c r="A13" s="101" t="s">
        <v>122</v>
      </c>
      <c r="B13" s="9">
        <v>4475</v>
      </c>
      <c r="C13" s="9">
        <v>2</v>
      </c>
      <c r="D13" s="9"/>
      <c r="E13" s="9"/>
      <c r="F13" s="9">
        <v>22177.5</v>
      </c>
      <c r="G13" s="9">
        <v>3</v>
      </c>
      <c r="H13" s="9">
        <v>310</v>
      </c>
      <c r="I13" s="9">
        <v>1</v>
      </c>
      <c r="J13" s="9">
        <v>975</v>
      </c>
      <c r="K13" s="9">
        <v>1</v>
      </c>
      <c r="L13" s="9">
        <v>6445</v>
      </c>
      <c r="M13" s="9">
        <v>2</v>
      </c>
      <c r="N13" s="9">
        <v>275</v>
      </c>
      <c r="O13" s="9">
        <v>1</v>
      </c>
      <c r="P13" s="9"/>
      <c r="Q13" s="9"/>
      <c r="R13" s="205">
        <v>34657.5</v>
      </c>
      <c r="S13" s="9">
        <v>10</v>
      </c>
    </row>
    <row r="14" spans="1:19" s="42" customFormat="1" x14ac:dyDescent="0.25">
      <c r="A14" s="137" t="s">
        <v>576</v>
      </c>
      <c r="B14" s="39"/>
      <c r="C14" s="39"/>
      <c r="D14" s="39"/>
      <c r="E14" s="39"/>
      <c r="F14" s="39"/>
      <c r="G14" s="39"/>
      <c r="H14" s="39">
        <v>29332.5</v>
      </c>
      <c r="I14" s="39">
        <v>2</v>
      </c>
      <c r="J14" s="39"/>
      <c r="K14" s="39"/>
      <c r="L14" s="39"/>
      <c r="M14" s="39"/>
      <c r="N14" s="39"/>
      <c r="O14" s="39"/>
      <c r="P14" s="39"/>
      <c r="Q14" s="39"/>
      <c r="R14" s="207">
        <v>29332.5</v>
      </c>
      <c r="S14" s="39">
        <v>2</v>
      </c>
    </row>
    <row r="15" spans="1:19" s="42" customFormat="1" x14ac:dyDescent="0.25">
      <c r="A15" s="150" t="s">
        <v>1066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>
        <v>24876</v>
      </c>
      <c r="O15" s="196">
        <v>2</v>
      </c>
      <c r="P15" s="196"/>
      <c r="Q15" s="196"/>
      <c r="R15" s="206">
        <v>24876</v>
      </c>
      <c r="S15" s="196">
        <v>2</v>
      </c>
    </row>
    <row r="16" spans="1:19" s="42" customFormat="1" x14ac:dyDescent="0.25">
      <c r="A16" s="137" t="s">
        <v>566</v>
      </c>
      <c r="B16" s="39"/>
      <c r="C16" s="39"/>
      <c r="D16" s="39"/>
      <c r="E16" s="39"/>
      <c r="F16" s="39"/>
      <c r="G16" s="39"/>
      <c r="H16" s="39">
        <v>24100</v>
      </c>
      <c r="I16" s="39">
        <v>3</v>
      </c>
      <c r="J16" s="39"/>
      <c r="K16" s="39"/>
      <c r="L16" s="39"/>
      <c r="M16" s="39"/>
      <c r="N16" s="39"/>
      <c r="O16" s="39"/>
      <c r="P16" s="39"/>
      <c r="Q16" s="39"/>
      <c r="R16" s="207">
        <v>24100</v>
      </c>
      <c r="S16" s="39">
        <v>3</v>
      </c>
    </row>
    <row r="17" spans="1:19" x14ac:dyDescent="0.25">
      <c r="A17" s="101" t="s">
        <v>114</v>
      </c>
      <c r="B17" s="9">
        <v>5975</v>
      </c>
      <c r="C17" s="9">
        <v>5</v>
      </c>
      <c r="D17" s="9">
        <v>3000</v>
      </c>
      <c r="E17" s="9">
        <v>4</v>
      </c>
      <c r="F17" s="9">
        <v>2830</v>
      </c>
      <c r="G17" s="9">
        <v>4</v>
      </c>
      <c r="H17" s="9">
        <v>405</v>
      </c>
      <c r="I17" s="9">
        <v>1</v>
      </c>
      <c r="J17" s="9">
        <v>4864</v>
      </c>
      <c r="K17" s="9">
        <v>7</v>
      </c>
      <c r="L17" s="9">
        <v>1731</v>
      </c>
      <c r="M17" s="9">
        <v>2</v>
      </c>
      <c r="N17" s="9">
        <v>4369</v>
      </c>
      <c r="O17" s="9">
        <v>4</v>
      </c>
      <c r="P17" s="9"/>
      <c r="Q17" s="9"/>
      <c r="R17" s="205">
        <v>23174</v>
      </c>
      <c r="S17" s="9">
        <v>27</v>
      </c>
    </row>
    <row r="18" spans="1:19" x14ac:dyDescent="0.25">
      <c r="A18" s="101" t="s">
        <v>257</v>
      </c>
      <c r="B18" s="9">
        <v>14375</v>
      </c>
      <c r="C18" s="9">
        <v>1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>
        <v>1933.5</v>
      </c>
      <c r="O18" s="9">
        <v>1</v>
      </c>
      <c r="P18" s="9"/>
      <c r="Q18" s="9"/>
      <c r="R18" s="205">
        <v>16308.5</v>
      </c>
      <c r="S18" s="9">
        <v>2</v>
      </c>
    </row>
    <row r="19" spans="1:19" x14ac:dyDescent="0.25">
      <c r="A19" s="101" t="s">
        <v>81</v>
      </c>
      <c r="B19" s="9">
        <v>1250</v>
      </c>
      <c r="C19" s="9">
        <v>1</v>
      </c>
      <c r="D19" s="9"/>
      <c r="E19" s="9"/>
      <c r="F19" s="9">
        <v>9475</v>
      </c>
      <c r="G19" s="9">
        <v>3</v>
      </c>
      <c r="H19" s="9">
        <v>1100</v>
      </c>
      <c r="I19" s="9">
        <v>1</v>
      </c>
      <c r="J19" s="9"/>
      <c r="K19" s="9"/>
      <c r="L19" s="9">
        <v>870</v>
      </c>
      <c r="M19" s="9">
        <v>2</v>
      </c>
      <c r="N19" s="9">
        <v>3110</v>
      </c>
      <c r="O19" s="9">
        <v>2</v>
      </c>
      <c r="P19" s="9"/>
      <c r="Q19" s="9"/>
      <c r="R19" s="205">
        <v>15805</v>
      </c>
      <c r="S19" s="9">
        <v>9</v>
      </c>
    </row>
    <row r="20" spans="1:19" x14ac:dyDescent="0.25">
      <c r="A20" s="101" t="s">
        <v>119</v>
      </c>
      <c r="B20" s="9">
        <v>14677.74</v>
      </c>
      <c r="C20" s="9">
        <v>2</v>
      </c>
      <c r="D20" s="9"/>
      <c r="E20" s="9"/>
      <c r="F20" s="9"/>
      <c r="G20" s="9"/>
      <c r="H20" s="9">
        <v>325</v>
      </c>
      <c r="I20" s="9">
        <v>1</v>
      </c>
      <c r="J20" s="9"/>
      <c r="K20" s="9"/>
      <c r="L20" s="9"/>
      <c r="M20" s="9"/>
      <c r="N20" s="9"/>
      <c r="O20" s="9"/>
      <c r="P20" s="9"/>
      <c r="Q20" s="9"/>
      <c r="R20" s="205">
        <v>15002.74</v>
      </c>
      <c r="S20" s="9">
        <v>3</v>
      </c>
    </row>
    <row r="21" spans="1:19" x14ac:dyDescent="0.25">
      <c r="A21" s="101" t="s">
        <v>535</v>
      </c>
      <c r="B21" s="9"/>
      <c r="C21" s="9"/>
      <c r="D21" s="9"/>
      <c r="E21" s="9"/>
      <c r="F21" s="9">
        <v>12626.25</v>
      </c>
      <c r="G21" s="9">
        <v>3</v>
      </c>
      <c r="H21" s="9"/>
      <c r="I21" s="9"/>
      <c r="J21" s="9">
        <v>1240</v>
      </c>
      <c r="K21" s="9">
        <v>1</v>
      </c>
      <c r="L21" s="9"/>
      <c r="M21" s="9"/>
      <c r="N21" s="9"/>
      <c r="O21" s="9"/>
      <c r="P21" s="9"/>
      <c r="Q21" s="9"/>
      <c r="R21" s="205">
        <v>13866.25</v>
      </c>
      <c r="S21" s="9">
        <v>4</v>
      </c>
    </row>
    <row r="22" spans="1:19" x14ac:dyDescent="0.25">
      <c r="A22" s="101" t="s">
        <v>142</v>
      </c>
      <c r="B22" s="9"/>
      <c r="C22" s="9"/>
      <c r="D22" s="9">
        <v>3835</v>
      </c>
      <c r="E22" s="9">
        <v>2</v>
      </c>
      <c r="F22" s="9"/>
      <c r="G22" s="9"/>
      <c r="H22" s="9"/>
      <c r="I22" s="9"/>
      <c r="J22" s="9">
        <v>1266</v>
      </c>
      <c r="K22" s="9">
        <v>1</v>
      </c>
      <c r="L22" s="9">
        <v>3086</v>
      </c>
      <c r="M22" s="9">
        <v>2</v>
      </c>
      <c r="N22" s="9">
        <v>5528.75</v>
      </c>
      <c r="O22" s="9">
        <v>1</v>
      </c>
      <c r="P22" s="9"/>
      <c r="Q22" s="9"/>
      <c r="R22" s="205">
        <v>13715.75</v>
      </c>
      <c r="S22" s="9">
        <v>6</v>
      </c>
    </row>
    <row r="23" spans="1:19" x14ac:dyDescent="0.25">
      <c r="A23" s="101" t="s">
        <v>319</v>
      </c>
      <c r="B23" s="9"/>
      <c r="C23" s="9"/>
      <c r="D23" s="9">
        <v>13000</v>
      </c>
      <c r="E23" s="9">
        <v>1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205">
        <v>13000</v>
      </c>
      <c r="S23" s="9">
        <v>1</v>
      </c>
    </row>
    <row r="24" spans="1:19" x14ac:dyDescent="0.25">
      <c r="A24" s="101" t="s">
        <v>75</v>
      </c>
      <c r="B24" s="9">
        <v>475</v>
      </c>
      <c r="C24" s="9">
        <v>1</v>
      </c>
      <c r="D24" s="9">
        <v>1347.5</v>
      </c>
      <c r="E24" s="9">
        <v>2</v>
      </c>
      <c r="F24" s="9"/>
      <c r="G24" s="9"/>
      <c r="H24" s="9"/>
      <c r="I24" s="9"/>
      <c r="J24" s="9">
        <v>1060</v>
      </c>
      <c r="K24" s="9">
        <v>1</v>
      </c>
      <c r="L24" s="9">
        <v>10070</v>
      </c>
      <c r="M24" s="9">
        <v>2</v>
      </c>
      <c r="N24" s="9"/>
      <c r="O24" s="9"/>
      <c r="P24" s="9"/>
      <c r="Q24" s="9"/>
      <c r="R24" s="205">
        <v>12952.5</v>
      </c>
      <c r="S24" s="9">
        <v>6</v>
      </c>
    </row>
    <row r="25" spans="1:19" x14ac:dyDescent="0.25">
      <c r="A25" s="101" t="s">
        <v>731</v>
      </c>
      <c r="B25" s="9"/>
      <c r="C25" s="9"/>
      <c r="D25" s="9"/>
      <c r="E25" s="9"/>
      <c r="F25" s="9"/>
      <c r="G25" s="9"/>
      <c r="H25" s="9"/>
      <c r="I25" s="9"/>
      <c r="J25" s="9">
        <v>11490.5</v>
      </c>
      <c r="K25" s="9">
        <v>3</v>
      </c>
      <c r="L25" s="9"/>
      <c r="M25" s="9"/>
      <c r="N25" s="9"/>
      <c r="O25" s="9"/>
      <c r="P25" s="9"/>
      <c r="Q25" s="9"/>
      <c r="R25" s="205">
        <v>11490.5</v>
      </c>
      <c r="S25" s="9">
        <v>3</v>
      </c>
    </row>
    <row r="26" spans="1:19" x14ac:dyDescent="0.25">
      <c r="A26" s="101" t="s">
        <v>980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>
        <v>11142.25</v>
      </c>
      <c r="M26" s="9">
        <v>2</v>
      </c>
      <c r="N26" s="9"/>
      <c r="O26" s="9"/>
      <c r="P26" s="9"/>
      <c r="Q26" s="9"/>
      <c r="R26" s="205">
        <v>11142.25</v>
      </c>
      <c r="S26" s="9">
        <v>2</v>
      </c>
    </row>
    <row r="27" spans="1:19" x14ac:dyDescent="0.25">
      <c r="A27" s="101" t="s">
        <v>524</v>
      </c>
      <c r="B27" s="9"/>
      <c r="C27" s="9"/>
      <c r="D27" s="9"/>
      <c r="E27" s="9"/>
      <c r="F27" s="9">
        <v>4225</v>
      </c>
      <c r="G27" s="9">
        <v>2</v>
      </c>
      <c r="H27" s="9"/>
      <c r="I27" s="9"/>
      <c r="J27" s="9">
        <v>350</v>
      </c>
      <c r="K27" s="9">
        <v>1</v>
      </c>
      <c r="L27" s="9">
        <v>5935</v>
      </c>
      <c r="M27" s="9">
        <v>1</v>
      </c>
      <c r="N27" s="9">
        <v>485</v>
      </c>
      <c r="O27" s="9">
        <v>1</v>
      </c>
      <c r="P27" s="9"/>
      <c r="Q27" s="9"/>
      <c r="R27" s="205">
        <v>10995</v>
      </c>
      <c r="S27" s="9">
        <v>5</v>
      </c>
    </row>
    <row r="28" spans="1:19" x14ac:dyDescent="0.25">
      <c r="A28" s="101" t="s">
        <v>281</v>
      </c>
      <c r="B28" s="9"/>
      <c r="C28" s="9"/>
      <c r="D28" s="9">
        <v>10965</v>
      </c>
      <c r="E28" s="9">
        <v>1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205">
        <v>10965</v>
      </c>
      <c r="S28" s="9">
        <v>1</v>
      </c>
    </row>
    <row r="29" spans="1:19" x14ac:dyDescent="0.25">
      <c r="A29" s="101" t="s">
        <v>492</v>
      </c>
      <c r="B29" s="9"/>
      <c r="C29" s="9"/>
      <c r="D29" s="9"/>
      <c r="E29" s="9"/>
      <c r="F29" s="9">
        <v>10720</v>
      </c>
      <c r="G29" s="9">
        <v>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205">
        <v>10720</v>
      </c>
      <c r="S29" s="9">
        <v>3</v>
      </c>
    </row>
    <row r="30" spans="1:19" x14ac:dyDescent="0.25">
      <c r="A30" s="101" t="s">
        <v>345</v>
      </c>
      <c r="B30" s="9"/>
      <c r="C30" s="9"/>
      <c r="D30" s="9">
        <v>8850</v>
      </c>
      <c r="E30" s="9">
        <v>1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205">
        <v>8850</v>
      </c>
      <c r="S30" s="9">
        <v>1</v>
      </c>
    </row>
    <row r="31" spans="1:19" x14ac:dyDescent="0.25">
      <c r="A31" s="101" t="s">
        <v>398</v>
      </c>
      <c r="B31" s="9"/>
      <c r="C31" s="9"/>
      <c r="D31" s="9"/>
      <c r="E31" s="9"/>
      <c r="F31" s="9">
        <v>1125</v>
      </c>
      <c r="G31" s="9">
        <v>3</v>
      </c>
      <c r="H31" s="9"/>
      <c r="I31" s="9"/>
      <c r="J31" s="9">
        <v>6202.5</v>
      </c>
      <c r="K31" s="9">
        <v>3</v>
      </c>
      <c r="L31" s="9">
        <v>1325</v>
      </c>
      <c r="M31" s="9">
        <v>1</v>
      </c>
      <c r="N31" s="9"/>
      <c r="O31" s="9"/>
      <c r="P31" s="9"/>
      <c r="Q31" s="9"/>
      <c r="R31" s="205">
        <v>8652.5</v>
      </c>
      <c r="S31" s="9">
        <v>7</v>
      </c>
    </row>
    <row r="32" spans="1:19" x14ac:dyDescent="0.25">
      <c r="A32" s="101" t="s">
        <v>562</v>
      </c>
      <c r="B32" s="9"/>
      <c r="C32" s="9"/>
      <c r="D32" s="9"/>
      <c r="E32" s="9"/>
      <c r="F32" s="9">
        <v>8463.75</v>
      </c>
      <c r="G32" s="9">
        <v>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205">
        <v>8463.75</v>
      </c>
      <c r="S32" s="9">
        <v>1</v>
      </c>
    </row>
    <row r="33" spans="1:19" x14ac:dyDescent="0.25">
      <c r="A33" s="101" t="s">
        <v>297</v>
      </c>
      <c r="B33" s="9"/>
      <c r="C33" s="9"/>
      <c r="D33" s="9">
        <v>989</v>
      </c>
      <c r="E33" s="9">
        <v>1</v>
      </c>
      <c r="F33" s="9"/>
      <c r="G33" s="9"/>
      <c r="H33" s="9"/>
      <c r="I33" s="9"/>
      <c r="J33" s="9">
        <v>7425</v>
      </c>
      <c r="K33" s="9">
        <v>1</v>
      </c>
      <c r="L33" s="9"/>
      <c r="M33" s="9"/>
      <c r="N33" s="9"/>
      <c r="O33" s="9"/>
      <c r="P33" s="9"/>
      <c r="Q33" s="9"/>
      <c r="R33" s="205">
        <v>8414</v>
      </c>
      <c r="S33" s="9">
        <v>2</v>
      </c>
    </row>
    <row r="34" spans="1:19" x14ac:dyDescent="0.25">
      <c r="A34" s="101" t="s">
        <v>739</v>
      </c>
      <c r="B34" s="9"/>
      <c r="C34" s="9"/>
      <c r="D34" s="9"/>
      <c r="E34" s="9"/>
      <c r="F34" s="9"/>
      <c r="G34" s="9"/>
      <c r="H34" s="9"/>
      <c r="I34" s="9"/>
      <c r="J34" s="9">
        <v>8385</v>
      </c>
      <c r="K34" s="9">
        <v>1</v>
      </c>
      <c r="L34" s="9"/>
      <c r="M34" s="9"/>
      <c r="N34" s="9"/>
      <c r="O34" s="9"/>
      <c r="P34" s="9"/>
      <c r="Q34" s="9"/>
      <c r="R34" s="205">
        <v>8385</v>
      </c>
      <c r="S34" s="9">
        <v>1</v>
      </c>
    </row>
    <row r="35" spans="1:19" s="42" customFormat="1" x14ac:dyDescent="0.25">
      <c r="A35" s="150" t="s">
        <v>48</v>
      </c>
      <c r="B35" s="196">
        <v>8360</v>
      </c>
      <c r="C35" s="196">
        <v>2</v>
      </c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206">
        <v>8360</v>
      </c>
      <c r="S35" s="196">
        <v>2</v>
      </c>
    </row>
    <row r="36" spans="1:19" s="42" customFormat="1" x14ac:dyDescent="0.25">
      <c r="A36" s="137" t="s">
        <v>43</v>
      </c>
      <c r="B36" s="39">
        <v>553.75</v>
      </c>
      <c r="C36" s="39">
        <v>2</v>
      </c>
      <c r="D36" s="39">
        <v>2410.5</v>
      </c>
      <c r="E36" s="39">
        <v>2</v>
      </c>
      <c r="F36" s="39">
        <v>792.5</v>
      </c>
      <c r="G36" s="39">
        <v>1</v>
      </c>
      <c r="H36" s="39"/>
      <c r="I36" s="39"/>
      <c r="J36" s="39">
        <v>869</v>
      </c>
      <c r="K36" s="39">
        <v>1</v>
      </c>
      <c r="L36" s="39">
        <v>2138</v>
      </c>
      <c r="M36" s="39">
        <v>2</v>
      </c>
      <c r="N36" s="39">
        <v>1000</v>
      </c>
      <c r="O36" s="39">
        <v>2</v>
      </c>
      <c r="P36" s="39"/>
      <c r="Q36" s="39"/>
      <c r="R36" s="207">
        <v>7763.75</v>
      </c>
      <c r="S36" s="39">
        <v>10</v>
      </c>
    </row>
    <row r="37" spans="1:19" s="42" customFormat="1" x14ac:dyDescent="0.25">
      <c r="A37" s="101" t="s">
        <v>97</v>
      </c>
      <c r="B37" s="9">
        <v>5975</v>
      </c>
      <c r="C37" s="9">
        <v>1</v>
      </c>
      <c r="D37" s="9"/>
      <c r="E37" s="9"/>
      <c r="F37" s="9"/>
      <c r="G37" s="9"/>
      <c r="H37" s="9"/>
      <c r="I37" s="9"/>
      <c r="J37" s="9">
        <v>1612.5</v>
      </c>
      <c r="K37" s="9">
        <v>1</v>
      </c>
      <c r="L37" s="9"/>
      <c r="M37" s="9"/>
      <c r="N37" s="9"/>
      <c r="O37" s="9"/>
      <c r="P37" s="9"/>
      <c r="Q37" s="9"/>
      <c r="R37" s="205">
        <v>7587.5</v>
      </c>
      <c r="S37" s="9">
        <v>2</v>
      </c>
    </row>
    <row r="38" spans="1:19" x14ac:dyDescent="0.25">
      <c r="A38" s="101" t="s">
        <v>563</v>
      </c>
      <c r="B38" s="9"/>
      <c r="C38" s="9"/>
      <c r="D38" s="9"/>
      <c r="E38" s="9"/>
      <c r="F38" s="9">
        <v>7493.15</v>
      </c>
      <c r="G38" s="9">
        <v>2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205">
        <v>7493.15</v>
      </c>
      <c r="S38" s="9">
        <v>2</v>
      </c>
    </row>
    <row r="39" spans="1:19" x14ac:dyDescent="0.25">
      <c r="A39" s="101" t="s">
        <v>199</v>
      </c>
      <c r="B39" s="9">
        <v>1125</v>
      </c>
      <c r="C39" s="9">
        <v>1</v>
      </c>
      <c r="D39" s="9">
        <v>225</v>
      </c>
      <c r="E39" s="9">
        <v>1</v>
      </c>
      <c r="F39" s="9"/>
      <c r="G39" s="9"/>
      <c r="H39" s="9">
        <v>375</v>
      </c>
      <c r="I39" s="9">
        <v>1</v>
      </c>
      <c r="J39" s="9">
        <v>4355</v>
      </c>
      <c r="K39" s="9">
        <v>2</v>
      </c>
      <c r="L39" s="9">
        <v>1233.75</v>
      </c>
      <c r="M39" s="9">
        <v>1</v>
      </c>
      <c r="N39" s="9"/>
      <c r="O39" s="9"/>
      <c r="P39" s="9"/>
      <c r="Q39" s="9"/>
      <c r="R39" s="205">
        <v>7313.75</v>
      </c>
      <c r="S39" s="9">
        <v>6</v>
      </c>
    </row>
    <row r="40" spans="1:19" x14ac:dyDescent="0.25">
      <c r="A40" s="137" t="s">
        <v>221</v>
      </c>
      <c r="B40" s="39">
        <v>1140</v>
      </c>
      <c r="C40" s="39">
        <v>1</v>
      </c>
      <c r="D40" s="39"/>
      <c r="E40" s="39"/>
      <c r="F40" s="39"/>
      <c r="G40" s="39"/>
      <c r="H40" s="39">
        <v>6000</v>
      </c>
      <c r="I40" s="39">
        <v>1</v>
      </c>
      <c r="J40" s="39"/>
      <c r="K40" s="39"/>
      <c r="L40" s="39"/>
      <c r="M40" s="39"/>
      <c r="N40" s="39"/>
      <c r="O40" s="39"/>
      <c r="P40" s="39"/>
      <c r="Q40" s="39"/>
      <c r="R40" s="207">
        <v>7140</v>
      </c>
      <c r="S40" s="39">
        <v>2</v>
      </c>
    </row>
    <row r="41" spans="1:19" x14ac:dyDescent="0.25">
      <c r="A41" s="101" t="s">
        <v>379</v>
      </c>
      <c r="B41" s="9"/>
      <c r="C41" s="9"/>
      <c r="D41" s="9">
        <v>6775</v>
      </c>
      <c r="E41" s="9">
        <v>2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205">
        <v>6775</v>
      </c>
      <c r="S41" s="9">
        <v>2</v>
      </c>
    </row>
    <row r="42" spans="1:19" x14ac:dyDescent="0.25">
      <c r="A42" s="101" t="s">
        <v>482</v>
      </c>
      <c r="B42" s="9"/>
      <c r="C42" s="9"/>
      <c r="D42" s="9"/>
      <c r="E42" s="9"/>
      <c r="F42" s="9">
        <v>6625</v>
      </c>
      <c r="G42" s="9">
        <v>2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205">
        <v>6625</v>
      </c>
      <c r="S42" s="9">
        <v>2</v>
      </c>
    </row>
    <row r="43" spans="1:19" x14ac:dyDescent="0.25">
      <c r="A43" s="101" t="s">
        <v>45</v>
      </c>
      <c r="B43" s="9">
        <v>6050</v>
      </c>
      <c r="C43" s="9">
        <v>2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205">
        <v>6050</v>
      </c>
      <c r="S43" s="9">
        <v>2</v>
      </c>
    </row>
    <row r="44" spans="1:19" x14ac:dyDescent="0.25">
      <c r="A44" s="101" t="s">
        <v>167</v>
      </c>
      <c r="B44" s="9">
        <v>5781</v>
      </c>
      <c r="C44" s="9">
        <v>2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205">
        <v>5781</v>
      </c>
      <c r="S44" s="9">
        <v>2</v>
      </c>
    </row>
    <row r="45" spans="1:19" x14ac:dyDescent="0.25">
      <c r="A45" s="101" t="s">
        <v>49</v>
      </c>
      <c r="B45" s="9">
        <v>5373</v>
      </c>
      <c r="C45" s="9">
        <v>2</v>
      </c>
      <c r="D45" s="9"/>
      <c r="E45" s="9"/>
      <c r="F45" s="9"/>
      <c r="G45" s="9"/>
      <c r="H45" s="9"/>
      <c r="I45" s="9"/>
      <c r="J45" s="9">
        <v>217.5</v>
      </c>
      <c r="K45" s="9">
        <v>1</v>
      </c>
      <c r="L45" s="9"/>
      <c r="M45" s="9"/>
      <c r="N45" s="9"/>
      <c r="O45" s="9"/>
      <c r="P45" s="9"/>
      <c r="Q45" s="9"/>
      <c r="R45" s="205">
        <v>5590.5</v>
      </c>
      <c r="S45" s="9">
        <v>3</v>
      </c>
    </row>
    <row r="46" spans="1:19" x14ac:dyDescent="0.25">
      <c r="A46" s="101" t="s">
        <v>886</v>
      </c>
      <c r="B46" s="9"/>
      <c r="C46" s="9"/>
      <c r="D46" s="9"/>
      <c r="E46" s="9"/>
      <c r="F46" s="9"/>
      <c r="G46" s="9"/>
      <c r="H46" s="9">
        <v>1205</v>
      </c>
      <c r="I46" s="9">
        <v>1</v>
      </c>
      <c r="J46" s="9"/>
      <c r="K46" s="9"/>
      <c r="L46" s="9">
        <v>4000</v>
      </c>
      <c r="M46" s="9">
        <v>1</v>
      </c>
      <c r="N46" s="9"/>
      <c r="O46" s="9"/>
      <c r="P46" s="9"/>
      <c r="Q46" s="9"/>
      <c r="R46" s="205">
        <v>5205</v>
      </c>
      <c r="S46" s="9">
        <v>2</v>
      </c>
    </row>
    <row r="47" spans="1:19" x14ac:dyDescent="0.25">
      <c r="A47" s="101" t="s">
        <v>184</v>
      </c>
      <c r="B47" s="9">
        <v>3950</v>
      </c>
      <c r="C47" s="9">
        <v>1</v>
      </c>
      <c r="D47" s="9"/>
      <c r="E47" s="9"/>
      <c r="F47" s="9"/>
      <c r="G47" s="9"/>
      <c r="H47" s="9">
        <v>1050</v>
      </c>
      <c r="I47" s="9">
        <v>1</v>
      </c>
      <c r="J47" s="9">
        <v>190</v>
      </c>
      <c r="K47" s="9">
        <v>1</v>
      </c>
      <c r="L47" s="9"/>
      <c r="M47" s="9"/>
      <c r="N47" s="9"/>
      <c r="O47" s="9"/>
      <c r="P47" s="9"/>
      <c r="Q47" s="9"/>
      <c r="R47" s="205">
        <v>5190</v>
      </c>
      <c r="S47" s="9">
        <v>3</v>
      </c>
    </row>
    <row r="48" spans="1:19" s="42" customFormat="1" x14ac:dyDescent="0.25">
      <c r="A48" s="101" t="s">
        <v>86</v>
      </c>
      <c r="B48" s="9">
        <v>825</v>
      </c>
      <c r="C48" s="9">
        <v>1</v>
      </c>
      <c r="D48" s="9">
        <v>310</v>
      </c>
      <c r="E48" s="9">
        <v>1</v>
      </c>
      <c r="F48" s="9"/>
      <c r="G48" s="9"/>
      <c r="H48" s="9">
        <v>825</v>
      </c>
      <c r="I48" s="9">
        <v>1</v>
      </c>
      <c r="J48" s="9"/>
      <c r="K48" s="9"/>
      <c r="L48" s="9"/>
      <c r="M48" s="9"/>
      <c r="N48" s="9">
        <v>3210</v>
      </c>
      <c r="O48" s="9">
        <v>1</v>
      </c>
      <c r="P48" s="9"/>
      <c r="Q48" s="9"/>
      <c r="R48" s="205">
        <v>5170</v>
      </c>
      <c r="S48" s="9">
        <v>4</v>
      </c>
    </row>
    <row r="49" spans="1:19" x14ac:dyDescent="0.25">
      <c r="A49" s="101" t="s">
        <v>89</v>
      </c>
      <c r="B49" s="9">
        <v>4252.5</v>
      </c>
      <c r="C49" s="9">
        <v>1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>
        <v>700</v>
      </c>
      <c r="O49" s="9">
        <v>1</v>
      </c>
      <c r="P49" s="9"/>
      <c r="Q49" s="9"/>
      <c r="R49" s="205">
        <v>4952.5</v>
      </c>
      <c r="S49" s="9">
        <v>2</v>
      </c>
    </row>
    <row r="50" spans="1:19" x14ac:dyDescent="0.25">
      <c r="A50" s="101" t="s">
        <v>386</v>
      </c>
      <c r="B50" s="9"/>
      <c r="C50" s="9"/>
      <c r="D50" s="9">
        <v>3490</v>
      </c>
      <c r="E50" s="9">
        <v>1</v>
      </c>
      <c r="F50" s="9"/>
      <c r="G50" s="9"/>
      <c r="H50" s="9"/>
      <c r="I50" s="9"/>
      <c r="J50" s="9"/>
      <c r="K50" s="9"/>
      <c r="L50" s="9"/>
      <c r="M50" s="9"/>
      <c r="N50" s="9">
        <v>1395</v>
      </c>
      <c r="O50" s="9">
        <v>1</v>
      </c>
      <c r="P50" s="9"/>
      <c r="Q50" s="9"/>
      <c r="R50" s="205">
        <v>4885</v>
      </c>
      <c r="S50" s="9">
        <v>2</v>
      </c>
    </row>
    <row r="51" spans="1:19" x14ac:dyDescent="0.25">
      <c r="A51" s="101" t="s">
        <v>195</v>
      </c>
      <c r="B51" s="9">
        <v>4687.5</v>
      </c>
      <c r="C51" s="9">
        <v>1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205">
        <v>4687.5</v>
      </c>
      <c r="S51" s="9">
        <v>1</v>
      </c>
    </row>
    <row r="52" spans="1:19" x14ac:dyDescent="0.25">
      <c r="A52" s="137" t="s">
        <v>299</v>
      </c>
      <c r="B52" s="39"/>
      <c r="C52" s="39"/>
      <c r="D52" s="39">
        <v>1580</v>
      </c>
      <c r="E52" s="39">
        <v>1</v>
      </c>
      <c r="F52" s="39">
        <v>1130</v>
      </c>
      <c r="G52" s="39">
        <v>1</v>
      </c>
      <c r="H52" s="39"/>
      <c r="I52" s="39"/>
      <c r="J52" s="39"/>
      <c r="K52" s="39"/>
      <c r="L52" s="39">
        <v>389.75</v>
      </c>
      <c r="M52" s="39">
        <v>1</v>
      </c>
      <c r="N52" s="39"/>
      <c r="O52" s="39"/>
      <c r="P52" s="39">
        <v>1580</v>
      </c>
      <c r="Q52" s="39">
        <v>1</v>
      </c>
      <c r="R52" s="207">
        <v>4679.75</v>
      </c>
      <c r="S52" s="39">
        <v>4</v>
      </c>
    </row>
    <row r="53" spans="1:19" x14ac:dyDescent="0.25">
      <c r="A53" s="101" t="s">
        <v>954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>
        <v>4517.5</v>
      </c>
      <c r="M53" s="9">
        <v>2</v>
      </c>
      <c r="N53" s="9"/>
      <c r="O53" s="9"/>
      <c r="P53" s="9"/>
      <c r="Q53" s="9"/>
      <c r="R53" s="205">
        <v>4517.5</v>
      </c>
      <c r="S53" s="9">
        <v>2</v>
      </c>
    </row>
    <row r="54" spans="1:19" x14ac:dyDescent="0.25">
      <c r="A54" s="101" t="s">
        <v>174</v>
      </c>
      <c r="B54" s="9">
        <v>745</v>
      </c>
      <c r="C54" s="9">
        <v>1</v>
      </c>
      <c r="D54" s="9">
        <v>3150</v>
      </c>
      <c r="E54" s="9">
        <v>2</v>
      </c>
      <c r="F54" s="9"/>
      <c r="G54" s="9"/>
      <c r="H54" s="9"/>
      <c r="I54" s="9"/>
      <c r="J54" s="9"/>
      <c r="K54" s="9"/>
      <c r="L54" s="9"/>
      <c r="M54" s="9"/>
      <c r="N54" s="9">
        <v>287.5</v>
      </c>
      <c r="O54" s="9">
        <v>1</v>
      </c>
      <c r="P54" s="9"/>
      <c r="Q54" s="9"/>
      <c r="R54" s="205">
        <v>4182.5</v>
      </c>
      <c r="S54" s="9">
        <v>4</v>
      </c>
    </row>
    <row r="55" spans="1:19" x14ac:dyDescent="0.25">
      <c r="A55" s="101" t="s">
        <v>409</v>
      </c>
      <c r="B55" s="9"/>
      <c r="C55" s="9"/>
      <c r="D55" s="9">
        <v>3150</v>
      </c>
      <c r="E55" s="9">
        <v>2</v>
      </c>
      <c r="F55" s="9"/>
      <c r="G55" s="9"/>
      <c r="H55" s="9"/>
      <c r="I55" s="9"/>
      <c r="J55" s="9">
        <v>260</v>
      </c>
      <c r="K55" s="9">
        <v>1</v>
      </c>
      <c r="L55" s="9">
        <v>485</v>
      </c>
      <c r="M55" s="9">
        <v>1</v>
      </c>
      <c r="N55" s="9">
        <v>287.5</v>
      </c>
      <c r="O55" s="9">
        <v>1</v>
      </c>
      <c r="P55" s="9"/>
      <c r="Q55" s="9"/>
      <c r="R55" s="205">
        <v>4182.5</v>
      </c>
      <c r="S55" s="9">
        <v>5</v>
      </c>
    </row>
    <row r="56" spans="1:19" x14ac:dyDescent="0.25">
      <c r="A56" s="137" t="s">
        <v>290</v>
      </c>
      <c r="B56" s="39"/>
      <c r="C56" s="39"/>
      <c r="D56" s="39">
        <v>779</v>
      </c>
      <c r="E56" s="39">
        <v>1</v>
      </c>
      <c r="F56" s="39"/>
      <c r="G56" s="39"/>
      <c r="H56" s="39"/>
      <c r="I56" s="39"/>
      <c r="J56" s="39">
        <v>770</v>
      </c>
      <c r="K56" s="39">
        <v>2</v>
      </c>
      <c r="L56" s="39"/>
      <c r="M56" s="39"/>
      <c r="N56" s="39">
        <v>2435</v>
      </c>
      <c r="O56" s="39">
        <v>2</v>
      </c>
      <c r="P56" s="39"/>
      <c r="Q56" s="39"/>
      <c r="R56" s="207">
        <v>3984</v>
      </c>
      <c r="S56" s="39">
        <v>5</v>
      </c>
    </row>
    <row r="57" spans="1:19" x14ac:dyDescent="0.25">
      <c r="A57" s="101" t="s">
        <v>736</v>
      </c>
      <c r="B57" s="9"/>
      <c r="C57" s="9"/>
      <c r="D57" s="9"/>
      <c r="E57" s="9"/>
      <c r="F57" s="9"/>
      <c r="G57" s="9"/>
      <c r="H57" s="9"/>
      <c r="I57" s="9"/>
      <c r="J57" s="9">
        <v>2195</v>
      </c>
      <c r="K57" s="9">
        <v>1</v>
      </c>
      <c r="L57" s="9">
        <v>893</v>
      </c>
      <c r="M57" s="9">
        <v>2</v>
      </c>
      <c r="N57" s="9">
        <v>700</v>
      </c>
      <c r="O57" s="9">
        <v>2</v>
      </c>
      <c r="P57" s="9"/>
      <c r="Q57" s="9"/>
      <c r="R57" s="205">
        <v>3788</v>
      </c>
      <c r="S57" s="9">
        <v>5</v>
      </c>
    </row>
    <row r="58" spans="1:19" x14ac:dyDescent="0.25">
      <c r="A58" s="101" t="s">
        <v>1112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>
        <v>3750</v>
      </c>
      <c r="O58" s="9">
        <v>1</v>
      </c>
      <c r="P58" s="9"/>
      <c r="Q58" s="9"/>
      <c r="R58" s="205">
        <v>3750</v>
      </c>
      <c r="S58" s="9">
        <v>1</v>
      </c>
    </row>
    <row r="59" spans="1:19" x14ac:dyDescent="0.25">
      <c r="A59" s="101" t="s">
        <v>177</v>
      </c>
      <c r="B59" s="9">
        <v>250</v>
      </c>
      <c r="C59" s="9">
        <v>1</v>
      </c>
      <c r="D59" s="9">
        <v>3150</v>
      </c>
      <c r="E59" s="9">
        <v>2</v>
      </c>
      <c r="F59" s="9"/>
      <c r="G59" s="9"/>
      <c r="H59" s="9"/>
      <c r="I59" s="9"/>
      <c r="J59" s="9">
        <v>85</v>
      </c>
      <c r="K59" s="9">
        <v>1</v>
      </c>
      <c r="L59" s="9"/>
      <c r="M59" s="9"/>
      <c r="N59" s="9"/>
      <c r="O59" s="9"/>
      <c r="P59" s="9"/>
      <c r="Q59" s="9"/>
      <c r="R59" s="205">
        <v>3485</v>
      </c>
      <c r="S59" s="9">
        <v>4</v>
      </c>
    </row>
    <row r="60" spans="1:19" x14ac:dyDescent="0.25">
      <c r="A60" s="101" t="s">
        <v>330</v>
      </c>
      <c r="B60" s="9"/>
      <c r="C60" s="9"/>
      <c r="D60" s="9">
        <v>3335</v>
      </c>
      <c r="E60" s="9">
        <v>1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205">
        <v>3335</v>
      </c>
      <c r="S60" s="9">
        <v>1</v>
      </c>
    </row>
    <row r="61" spans="1:19" x14ac:dyDescent="0.25">
      <c r="A61" s="101" t="s">
        <v>263</v>
      </c>
      <c r="B61" s="9"/>
      <c r="C61" s="9"/>
      <c r="D61" s="9">
        <v>3150</v>
      </c>
      <c r="E61" s="9">
        <v>2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205">
        <v>3150</v>
      </c>
      <c r="S61" s="9">
        <v>2</v>
      </c>
    </row>
    <row r="62" spans="1:19" x14ac:dyDescent="0.25">
      <c r="A62" s="101" t="s">
        <v>136</v>
      </c>
      <c r="B62" s="9">
        <v>3150</v>
      </c>
      <c r="C62" s="9">
        <v>1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205">
        <v>3150</v>
      </c>
      <c r="S62" s="9">
        <v>1</v>
      </c>
    </row>
    <row r="63" spans="1:19" x14ac:dyDescent="0.25">
      <c r="A63" s="101" t="s">
        <v>595</v>
      </c>
      <c r="B63" s="9"/>
      <c r="C63" s="9"/>
      <c r="D63" s="9"/>
      <c r="E63" s="9"/>
      <c r="F63" s="9"/>
      <c r="G63" s="9"/>
      <c r="H63" s="9">
        <v>2850</v>
      </c>
      <c r="I63" s="9">
        <v>1</v>
      </c>
      <c r="J63" s="9"/>
      <c r="K63" s="9"/>
      <c r="L63" s="9"/>
      <c r="M63" s="9"/>
      <c r="N63" s="9"/>
      <c r="O63" s="9"/>
      <c r="P63" s="9"/>
      <c r="Q63" s="9"/>
      <c r="R63" s="205">
        <v>2850</v>
      </c>
      <c r="S63" s="9">
        <v>1</v>
      </c>
    </row>
    <row r="64" spans="1:19" x14ac:dyDescent="0.25">
      <c r="A64" s="101" t="s">
        <v>1023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>
        <v>2800</v>
      </c>
      <c r="O64" s="9">
        <v>1</v>
      </c>
      <c r="P64" s="9"/>
      <c r="Q64" s="9"/>
      <c r="R64" s="205">
        <v>2800</v>
      </c>
      <c r="S64" s="9">
        <v>1</v>
      </c>
    </row>
    <row r="65" spans="1:19" x14ac:dyDescent="0.25">
      <c r="A65" s="101" t="s">
        <v>1077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>
        <v>2750</v>
      </c>
      <c r="O65" s="9">
        <v>1</v>
      </c>
      <c r="P65" s="9"/>
      <c r="Q65" s="9"/>
      <c r="R65" s="205">
        <v>2750</v>
      </c>
      <c r="S65" s="9">
        <v>1</v>
      </c>
    </row>
    <row r="66" spans="1:19" x14ac:dyDescent="0.25">
      <c r="A66" s="101" t="s">
        <v>365</v>
      </c>
      <c r="B66" s="9"/>
      <c r="C66" s="9"/>
      <c r="D66" s="9">
        <v>2715</v>
      </c>
      <c r="E66" s="9">
        <v>1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205">
        <v>2715</v>
      </c>
      <c r="S66" s="9">
        <v>1</v>
      </c>
    </row>
    <row r="67" spans="1:19" x14ac:dyDescent="0.25">
      <c r="A67" s="101" t="s">
        <v>22</v>
      </c>
      <c r="B67" s="9">
        <v>405</v>
      </c>
      <c r="C67" s="9">
        <v>1</v>
      </c>
      <c r="D67" s="9"/>
      <c r="E67" s="9"/>
      <c r="F67" s="9">
        <v>540</v>
      </c>
      <c r="G67" s="9">
        <v>1</v>
      </c>
      <c r="H67" s="9">
        <v>845</v>
      </c>
      <c r="I67" s="9">
        <v>2</v>
      </c>
      <c r="J67" s="9"/>
      <c r="K67" s="9"/>
      <c r="L67" s="9"/>
      <c r="M67" s="9"/>
      <c r="N67" s="9">
        <v>760</v>
      </c>
      <c r="O67" s="9">
        <v>1</v>
      </c>
      <c r="P67" s="9"/>
      <c r="Q67" s="9"/>
      <c r="R67" s="205">
        <v>2550</v>
      </c>
      <c r="S67" s="9">
        <v>5</v>
      </c>
    </row>
    <row r="68" spans="1:19" x14ac:dyDescent="0.25">
      <c r="A68" s="101" t="s">
        <v>564</v>
      </c>
      <c r="B68" s="9"/>
      <c r="C68" s="9"/>
      <c r="D68" s="9"/>
      <c r="E68" s="9"/>
      <c r="F68" s="9">
        <v>2497.7199999999998</v>
      </c>
      <c r="G68" s="9">
        <v>1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205">
        <v>2497.7199999999998</v>
      </c>
      <c r="S68" s="9">
        <v>1</v>
      </c>
    </row>
    <row r="69" spans="1:19" x14ac:dyDescent="0.25">
      <c r="A69" s="101" t="s">
        <v>266</v>
      </c>
      <c r="B69" s="9"/>
      <c r="C69" s="9"/>
      <c r="D69" s="9">
        <v>1400</v>
      </c>
      <c r="E69" s="9">
        <v>1</v>
      </c>
      <c r="F69" s="9"/>
      <c r="G69" s="9"/>
      <c r="H69" s="9"/>
      <c r="I69" s="9"/>
      <c r="J69" s="9">
        <v>944</v>
      </c>
      <c r="K69" s="9">
        <v>1</v>
      </c>
      <c r="L69" s="9"/>
      <c r="M69" s="9"/>
      <c r="N69" s="9"/>
      <c r="O69" s="9"/>
      <c r="P69" s="9"/>
      <c r="Q69" s="9"/>
      <c r="R69" s="205">
        <v>2344</v>
      </c>
      <c r="S69" s="9">
        <v>2</v>
      </c>
    </row>
    <row r="70" spans="1:19" x14ac:dyDescent="0.25">
      <c r="A70" s="101" t="s">
        <v>100</v>
      </c>
      <c r="B70" s="9">
        <v>120</v>
      </c>
      <c r="C70" s="9">
        <v>1</v>
      </c>
      <c r="D70" s="9">
        <v>190</v>
      </c>
      <c r="E70" s="9">
        <v>1</v>
      </c>
      <c r="F70" s="9"/>
      <c r="G70" s="9"/>
      <c r="H70" s="9"/>
      <c r="I70" s="9"/>
      <c r="J70" s="9">
        <v>1145</v>
      </c>
      <c r="K70" s="9">
        <v>1</v>
      </c>
      <c r="L70" s="9">
        <v>820</v>
      </c>
      <c r="M70" s="9">
        <v>1</v>
      </c>
      <c r="N70" s="9"/>
      <c r="O70" s="9"/>
      <c r="P70" s="9"/>
      <c r="Q70" s="9"/>
      <c r="R70" s="205">
        <v>2275</v>
      </c>
      <c r="S70" s="9">
        <v>4</v>
      </c>
    </row>
    <row r="71" spans="1:19" s="42" customFormat="1" x14ac:dyDescent="0.25">
      <c r="A71" s="137" t="s">
        <v>669</v>
      </c>
      <c r="B71" s="39"/>
      <c r="C71" s="39"/>
      <c r="D71" s="39"/>
      <c r="E71" s="39"/>
      <c r="F71" s="39"/>
      <c r="G71" s="39"/>
      <c r="H71" s="39"/>
      <c r="I71" s="39"/>
      <c r="J71" s="39">
        <v>2225</v>
      </c>
      <c r="K71" s="39">
        <v>1</v>
      </c>
      <c r="L71" s="39"/>
      <c r="M71" s="39"/>
      <c r="N71" s="39"/>
      <c r="O71" s="39"/>
      <c r="P71" s="39"/>
      <c r="Q71" s="39"/>
      <c r="R71" s="207">
        <v>2225</v>
      </c>
      <c r="S71" s="39">
        <v>1</v>
      </c>
    </row>
    <row r="72" spans="1:19" x14ac:dyDescent="0.25">
      <c r="A72" s="101" t="s">
        <v>753</v>
      </c>
      <c r="B72" s="9"/>
      <c r="C72" s="9"/>
      <c r="D72" s="9"/>
      <c r="E72" s="9"/>
      <c r="F72" s="9"/>
      <c r="G72" s="9"/>
      <c r="H72" s="9"/>
      <c r="I72" s="9"/>
      <c r="J72" s="9">
        <v>2173.75</v>
      </c>
      <c r="K72" s="9">
        <v>1</v>
      </c>
      <c r="L72" s="9"/>
      <c r="M72" s="9"/>
      <c r="N72" s="9"/>
      <c r="O72" s="9"/>
      <c r="P72" s="9"/>
      <c r="Q72" s="9"/>
      <c r="R72" s="205">
        <v>2173.75</v>
      </c>
      <c r="S72" s="9">
        <v>1</v>
      </c>
    </row>
    <row r="73" spans="1:19" x14ac:dyDescent="0.25">
      <c r="A73" s="101" t="s">
        <v>1006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>
        <v>714.29</v>
      </c>
      <c r="M73" s="9">
        <v>1</v>
      </c>
      <c r="N73" s="9">
        <v>1412</v>
      </c>
      <c r="O73" s="9">
        <v>2</v>
      </c>
      <c r="P73" s="9"/>
      <c r="Q73" s="9"/>
      <c r="R73" s="205">
        <v>2126.29</v>
      </c>
      <c r="S73" s="9">
        <v>3</v>
      </c>
    </row>
    <row r="74" spans="1:19" x14ac:dyDescent="0.25">
      <c r="A74" s="101" t="s">
        <v>1039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>
        <v>2032.5</v>
      </c>
      <c r="O74" s="9">
        <v>1</v>
      </c>
      <c r="P74" s="9"/>
      <c r="Q74" s="9"/>
      <c r="R74" s="205">
        <v>2032.5</v>
      </c>
      <c r="S74" s="9">
        <v>1</v>
      </c>
    </row>
    <row r="75" spans="1:19" x14ac:dyDescent="0.25">
      <c r="A75" s="101" t="s">
        <v>814</v>
      </c>
      <c r="B75" s="9"/>
      <c r="C75" s="9"/>
      <c r="D75" s="9"/>
      <c r="E75" s="9"/>
      <c r="F75" s="9"/>
      <c r="G75" s="9"/>
      <c r="H75" s="9"/>
      <c r="I75" s="9"/>
      <c r="J75" s="9">
        <v>2000</v>
      </c>
      <c r="K75" s="9">
        <v>1</v>
      </c>
      <c r="L75" s="9"/>
      <c r="M75" s="9"/>
      <c r="N75" s="9"/>
      <c r="O75" s="9"/>
      <c r="P75" s="9"/>
      <c r="Q75" s="9"/>
      <c r="R75" s="205">
        <v>2000</v>
      </c>
      <c r="S75" s="9">
        <v>1</v>
      </c>
    </row>
    <row r="76" spans="1:19" x14ac:dyDescent="0.25">
      <c r="A76" s="101" t="s">
        <v>450</v>
      </c>
      <c r="B76" s="9"/>
      <c r="C76" s="9"/>
      <c r="D76" s="9">
        <v>1925</v>
      </c>
      <c r="E76" s="9">
        <v>1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205">
        <v>1925</v>
      </c>
      <c r="S76" s="9">
        <v>1</v>
      </c>
    </row>
    <row r="77" spans="1:19" x14ac:dyDescent="0.25">
      <c r="A77" s="101" t="s">
        <v>346</v>
      </c>
      <c r="B77" s="9"/>
      <c r="C77" s="9"/>
      <c r="D77" s="9">
        <v>1920</v>
      </c>
      <c r="E77" s="9">
        <v>1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205">
        <v>1920</v>
      </c>
      <c r="S77" s="9">
        <v>1</v>
      </c>
    </row>
    <row r="78" spans="1:19" x14ac:dyDescent="0.25">
      <c r="A78" s="101" t="s">
        <v>1036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>
        <v>1803.75</v>
      </c>
      <c r="O78" s="9">
        <v>1</v>
      </c>
      <c r="P78" s="9"/>
      <c r="Q78" s="9"/>
      <c r="R78" s="205">
        <v>1803.75</v>
      </c>
      <c r="S78" s="9">
        <v>1</v>
      </c>
    </row>
    <row r="79" spans="1:19" x14ac:dyDescent="0.25">
      <c r="A79" s="101" t="s">
        <v>262</v>
      </c>
      <c r="B79" s="9">
        <v>1780</v>
      </c>
      <c r="C79" s="9">
        <v>1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205">
        <v>1780</v>
      </c>
      <c r="S79" s="9">
        <v>1</v>
      </c>
    </row>
    <row r="80" spans="1:19" x14ac:dyDescent="0.25">
      <c r="A80" s="101" t="s">
        <v>26</v>
      </c>
      <c r="B80" s="9">
        <v>1315</v>
      </c>
      <c r="C80" s="9">
        <v>3</v>
      </c>
      <c r="D80" s="9"/>
      <c r="E80" s="9"/>
      <c r="F80" s="9"/>
      <c r="G80" s="9"/>
      <c r="H80" s="9"/>
      <c r="I80" s="9"/>
      <c r="J80" s="9">
        <v>450</v>
      </c>
      <c r="K80" s="9">
        <v>1</v>
      </c>
      <c r="L80" s="9"/>
      <c r="M80" s="9"/>
      <c r="N80" s="9"/>
      <c r="O80" s="9"/>
      <c r="P80" s="9"/>
      <c r="Q80" s="9"/>
      <c r="R80" s="205">
        <v>1765</v>
      </c>
      <c r="S80" s="9">
        <v>4</v>
      </c>
    </row>
    <row r="81" spans="1:19" x14ac:dyDescent="0.25">
      <c r="A81" s="101" t="s">
        <v>552</v>
      </c>
      <c r="B81" s="9"/>
      <c r="C81" s="9"/>
      <c r="D81" s="9"/>
      <c r="E81" s="9"/>
      <c r="F81" s="9"/>
      <c r="G81" s="9"/>
      <c r="H81" s="9">
        <v>1750.5</v>
      </c>
      <c r="I81" s="9">
        <v>1</v>
      </c>
      <c r="J81" s="9"/>
      <c r="K81" s="9"/>
      <c r="L81" s="9"/>
      <c r="M81" s="9"/>
      <c r="N81" s="9"/>
      <c r="O81" s="9"/>
      <c r="P81" s="9"/>
      <c r="Q81" s="9"/>
      <c r="R81" s="205">
        <v>1750.5</v>
      </c>
      <c r="S81" s="9">
        <v>1</v>
      </c>
    </row>
    <row r="82" spans="1:19" x14ac:dyDescent="0.25">
      <c r="A82" s="101" t="s">
        <v>486</v>
      </c>
      <c r="B82" s="9"/>
      <c r="C82" s="9"/>
      <c r="D82" s="9"/>
      <c r="E82" s="9"/>
      <c r="F82" s="9">
        <v>1725</v>
      </c>
      <c r="G82" s="9">
        <v>1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205">
        <v>1725</v>
      </c>
      <c r="S82" s="9">
        <v>1</v>
      </c>
    </row>
    <row r="83" spans="1:19" x14ac:dyDescent="0.25">
      <c r="A83" s="101" t="s">
        <v>92</v>
      </c>
      <c r="B83" s="9">
        <v>1690</v>
      </c>
      <c r="C83" s="9">
        <v>1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205">
        <v>1690</v>
      </c>
      <c r="S83" s="9">
        <v>1</v>
      </c>
    </row>
    <row r="84" spans="1:19" s="42" customFormat="1" x14ac:dyDescent="0.25">
      <c r="A84" s="137" t="s">
        <v>94</v>
      </c>
      <c r="B84" s="39">
        <v>310</v>
      </c>
      <c r="C84" s="39">
        <v>1</v>
      </c>
      <c r="D84" s="39"/>
      <c r="E84" s="39"/>
      <c r="F84" s="39"/>
      <c r="G84" s="39"/>
      <c r="H84" s="39"/>
      <c r="I84" s="39"/>
      <c r="J84" s="39">
        <v>1010</v>
      </c>
      <c r="K84" s="39">
        <v>2</v>
      </c>
      <c r="L84" s="39">
        <v>285</v>
      </c>
      <c r="M84" s="39">
        <v>1</v>
      </c>
      <c r="N84" s="39"/>
      <c r="O84" s="39"/>
      <c r="P84" s="39"/>
      <c r="Q84" s="39"/>
      <c r="R84" s="207">
        <v>1605</v>
      </c>
      <c r="S84" s="39">
        <v>4</v>
      </c>
    </row>
    <row r="85" spans="1:19" x14ac:dyDescent="0.25">
      <c r="A85" s="150" t="s">
        <v>1124</v>
      </c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>
        <v>1600</v>
      </c>
      <c r="O85" s="196">
        <v>2</v>
      </c>
      <c r="P85" s="196"/>
      <c r="Q85" s="196"/>
      <c r="R85" s="206">
        <v>1600</v>
      </c>
      <c r="S85" s="196">
        <v>2</v>
      </c>
    </row>
    <row r="86" spans="1:19" x14ac:dyDescent="0.25">
      <c r="A86" s="101" t="s">
        <v>244</v>
      </c>
      <c r="B86" s="9">
        <v>1250</v>
      </c>
      <c r="C86" s="9">
        <v>1</v>
      </c>
      <c r="D86" s="9"/>
      <c r="E86" s="9"/>
      <c r="F86" s="9"/>
      <c r="G86" s="9"/>
      <c r="H86" s="9"/>
      <c r="I86" s="9"/>
      <c r="J86" s="9"/>
      <c r="K86" s="9"/>
      <c r="L86" s="9">
        <v>210</v>
      </c>
      <c r="M86" s="9">
        <v>1</v>
      </c>
      <c r="N86" s="9"/>
      <c r="O86" s="9"/>
      <c r="P86" s="9"/>
      <c r="Q86" s="9"/>
      <c r="R86" s="205">
        <v>1460</v>
      </c>
      <c r="S86" s="9">
        <v>2</v>
      </c>
    </row>
    <row r="87" spans="1:19" x14ac:dyDescent="0.25">
      <c r="A87" s="101" t="s">
        <v>513</v>
      </c>
      <c r="B87" s="9"/>
      <c r="C87" s="9"/>
      <c r="D87" s="9"/>
      <c r="E87" s="9"/>
      <c r="F87" s="9">
        <v>1440</v>
      </c>
      <c r="G87" s="9">
        <v>1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205">
        <v>1440</v>
      </c>
      <c r="S87" s="9">
        <v>1</v>
      </c>
    </row>
    <row r="88" spans="1:19" x14ac:dyDescent="0.25">
      <c r="A88" s="101" t="s">
        <v>558</v>
      </c>
      <c r="B88" s="9"/>
      <c r="C88" s="9"/>
      <c r="D88" s="9"/>
      <c r="E88" s="9"/>
      <c r="F88" s="9"/>
      <c r="G88" s="9"/>
      <c r="H88" s="9">
        <v>1167</v>
      </c>
      <c r="I88" s="9">
        <v>1</v>
      </c>
      <c r="J88" s="9">
        <v>250</v>
      </c>
      <c r="K88" s="9">
        <v>1</v>
      </c>
      <c r="L88" s="9"/>
      <c r="M88" s="9"/>
      <c r="N88" s="9"/>
      <c r="O88" s="9"/>
      <c r="P88" s="9"/>
      <c r="Q88" s="9"/>
      <c r="R88" s="205">
        <v>1417</v>
      </c>
      <c r="S88" s="9">
        <v>2</v>
      </c>
    </row>
    <row r="89" spans="1:19" x14ac:dyDescent="0.25">
      <c r="A89" s="101" t="s">
        <v>147</v>
      </c>
      <c r="B89" s="9">
        <v>1250</v>
      </c>
      <c r="C89" s="9">
        <v>1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205">
        <v>1250</v>
      </c>
      <c r="S89" s="9">
        <v>1</v>
      </c>
    </row>
    <row r="90" spans="1:19" x14ac:dyDescent="0.25">
      <c r="A90" s="101" t="s">
        <v>631</v>
      </c>
      <c r="B90" s="9"/>
      <c r="C90" s="9"/>
      <c r="D90" s="9"/>
      <c r="E90" s="9"/>
      <c r="F90" s="9"/>
      <c r="G90" s="9"/>
      <c r="H90" s="9">
        <v>1249.5</v>
      </c>
      <c r="I90" s="9">
        <v>1</v>
      </c>
      <c r="J90" s="9"/>
      <c r="K90" s="9"/>
      <c r="L90" s="9"/>
      <c r="M90" s="9"/>
      <c r="N90" s="9"/>
      <c r="O90" s="9"/>
      <c r="P90" s="9"/>
      <c r="Q90" s="9"/>
      <c r="R90" s="205">
        <v>1249.5</v>
      </c>
      <c r="S90" s="9">
        <v>1</v>
      </c>
    </row>
    <row r="91" spans="1:19" x14ac:dyDescent="0.25">
      <c r="A91" s="101" t="s">
        <v>1018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>
        <v>1243.75</v>
      </c>
      <c r="O91" s="9">
        <v>1</v>
      </c>
      <c r="P91" s="9"/>
      <c r="Q91" s="9"/>
      <c r="R91" s="205">
        <v>1243.75</v>
      </c>
      <c r="S91" s="9">
        <v>1</v>
      </c>
    </row>
    <row r="92" spans="1:19" x14ac:dyDescent="0.25">
      <c r="A92" s="101" t="s">
        <v>324</v>
      </c>
      <c r="B92" s="9"/>
      <c r="C92" s="9"/>
      <c r="D92" s="9">
        <v>1225</v>
      </c>
      <c r="E92" s="9">
        <v>1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205">
        <v>1225</v>
      </c>
      <c r="S92" s="9">
        <v>1</v>
      </c>
    </row>
    <row r="93" spans="1:19" x14ac:dyDescent="0.25">
      <c r="A93" s="101" t="s">
        <v>1060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>
        <v>1195</v>
      </c>
      <c r="O93" s="9">
        <v>1</v>
      </c>
      <c r="P93" s="9"/>
      <c r="Q93" s="9"/>
      <c r="R93" s="205">
        <v>1195</v>
      </c>
      <c r="S93" s="9">
        <v>1</v>
      </c>
    </row>
    <row r="94" spans="1:19" x14ac:dyDescent="0.25">
      <c r="A94" s="101" t="s">
        <v>770</v>
      </c>
      <c r="B94" s="9"/>
      <c r="C94" s="9"/>
      <c r="D94" s="9"/>
      <c r="E94" s="9"/>
      <c r="F94" s="9"/>
      <c r="G94" s="9"/>
      <c r="H94" s="9"/>
      <c r="I94" s="9"/>
      <c r="J94" s="9">
        <v>1183</v>
      </c>
      <c r="K94" s="9">
        <v>1</v>
      </c>
      <c r="L94" s="9"/>
      <c r="M94" s="9"/>
      <c r="N94" s="9"/>
      <c r="O94" s="9"/>
      <c r="P94" s="9"/>
      <c r="Q94" s="9"/>
      <c r="R94" s="205">
        <v>1183</v>
      </c>
      <c r="S94" s="9">
        <v>1</v>
      </c>
    </row>
    <row r="95" spans="1:19" x14ac:dyDescent="0.25">
      <c r="A95" s="101" t="s">
        <v>1110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>
        <v>1175</v>
      </c>
      <c r="O95" s="9">
        <v>1</v>
      </c>
      <c r="P95" s="9"/>
      <c r="Q95" s="9"/>
      <c r="R95" s="205">
        <v>1175</v>
      </c>
      <c r="S95" s="9">
        <v>1</v>
      </c>
    </row>
    <row r="96" spans="1:19" x14ac:dyDescent="0.25">
      <c r="A96" s="101" t="s">
        <v>357</v>
      </c>
      <c r="B96" s="9"/>
      <c r="C96" s="9"/>
      <c r="D96" s="9">
        <v>420</v>
      </c>
      <c r="E96" s="9">
        <v>1</v>
      </c>
      <c r="F96" s="9">
        <v>185</v>
      </c>
      <c r="G96" s="9">
        <v>1</v>
      </c>
      <c r="H96" s="9"/>
      <c r="I96" s="9"/>
      <c r="J96" s="9">
        <v>420</v>
      </c>
      <c r="K96" s="9">
        <v>2</v>
      </c>
      <c r="L96" s="9"/>
      <c r="M96" s="9"/>
      <c r="N96" s="9">
        <v>125</v>
      </c>
      <c r="O96" s="9">
        <v>1</v>
      </c>
      <c r="P96" s="9"/>
      <c r="Q96" s="9"/>
      <c r="R96" s="205">
        <v>1150</v>
      </c>
      <c r="S96" s="9">
        <v>5</v>
      </c>
    </row>
    <row r="97" spans="1:19" x14ac:dyDescent="0.25">
      <c r="A97" s="101" t="s">
        <v>443</v>
      </c>
      <c r="B97" s="9"/>
      <c r="C97" s="9"/>
      <c r="D97" s="9"/>
      <c r="E97" s="9"/>
      <c r="F97" s="9">
        <v>405</v>
      </c>
      <c r="G97" s="9">
        <v>2</v>
      </c>
      <c r="H97" s="9"/>
      <c r="I97" s="9"/>
      <c r="J97" s="9"/>
      <c r="K97" s="9"/>
      <c r="L97" s="9">
        <v>735</v>
      </c>
      <c r="M97" s="9">
        <v>1</v>
      </c>
      <c r="N97" s="9"/>
      <c r="O97" s="9"/>
      <c r="P97" s="9"/>
      <c r="Q97" s="9"/>
      <c r="R97" s="205">
        <v>1140</v>
      </c>
      <c r="S97" s="9">
        <v>3</v>
      </c>
    </row>
    <row r="98" spans="1:19" x14ac:dyDescent="0.25">
      <c r="A98" s="101" t="s">
        <v>321</v>
      </c>
      <c r="B98" s="9"/>
      <c r="C98" s="9"/>
      <c r="D98" s="9">
        <v>525</v>
      </c>
      <c r="E98" s="9">
        <v>1</v>
      </c>
      <c r="F98" s="9">
        <v>550</v>
      </c>
      <c r="G98" s="9">
        <v>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205">
        <v>1075</v>
      </c>
      <c r="S98" s="9">
        <v>2</v>
      </c>
    </row>
    <row r="99" spans="1:19" x14ac:dyDescent="0.25">
      <c r="A99" s="101" t="s">
        <v>238</v>
      </c>
      <c r="B99" s="9">
        <v>150</v>
      </c>
      <c r="C99" s="9">
        <v>1</v>
      </c>
      <c r="D99" s="9">
        <v>915</v>
      </c>
      <c r="E99" s="9">
        <v>1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205">
        <v>1065</v>
      </c>
      <c r="S99" s="9">
        <v>2</v>
      </c>
    </row>
    <row r="100" spans="1:19" x14ac:dyDescent="0.25">
      <c r="A100" s="101" t="s">
        <v>253</v>
      </c>
      <c r="B100" s="9">
        <v>1060</v>
      </c>
      <c r="C100" s="9">
        <v>1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205">
        <v>1060</v>
      </c>
      <c r="S100" s="9">
        <v>1</v>
      </c>
    </row>
    <row r="101" spans="1:19" x14ac:dyDescent="0.25">
      <c r="A101" s="101" t="s">
        <v>161</v>
      </c>
      <c r="B101" s="9">
        <v>995</v>
      </c>
      <c r="C101" s="9">
        <v>1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205">
        <v>995</v>
      </c>
      <c r="S101" s="9">
        <v>1</v>
      </c>
    </row>
    <row r="102" spans="1:19" x14ac:dyDescent="0.25">
      <c r="A102" s="101" t="s">
        <v>436</v>
      </c>
      <c r="B102" s="9"/>
      <c r="C102" s="9"/>
      <c r="D102" s="9"/>
      <c r="E102" s="9"/>
      <c r="F102" s="9">
        <v>925</v>
      </c>
      <c r="G102" s="9">
        <v>1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205">
        <v>925</v>
      </c>
      <c r="S102" s="9">
        <v>1</v>
      </c>
    </row>
    <row r="103" spans="1:19" x14ac:dyDescent="0.25">
      <c r="A103" s="101" t="s">
        <v>649</v>
      </c>
      <c r="B103" s="9"/>
      <c r="C103" s="9"/>
      <c r="D103" s="9"/>
      <c r="E103" s="9"/>
      <c r="F103" s="9"/>
      <c r="G103" s="9"/>
      <c r="H103" s="9">
        <v>900</v>
      </c>
      <c r="I103" s="9">
        <v>1</v>
      </c>
      <c r="J103" s="9"/>
      <c r="K103" s="9"/>
      <c r="L103" s="9"/>
      <c r="M103" s="9"/>
      <c r="N103" s="9"/>
      <c r="O103" s="9"/>
      <c r="P103" s="9"/>
      <c r="Q103" s="9"/>
      <c r="R103" s="205">
        <v>900</v>
      </c>
      <c r="S103" s="9">
        <v>1</v>
      </c>
    </row>
    <row r="104" spans="1:19" x14ac:dyDescent="0.25">
      <c r="A104" s="101" t="s">
        <v>337</v>
      </c>
      <c r="B104" s="9"/>
      <c r="C104" s="9"/>
      <c r="D104" s="9">
        <v>892.5</v>
      </c>
      <c r="E104" s="9">
        <v>1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205">
        <v>892.5</v>
      </c>
      <c r="S104" s="9">
        <v>1</v>
      </c>
    </row>
    <row r="105" spans="1:19" x14ac:dyDescent="0.25">
      <c r="A105" s="101" t="s">
        <v>644</v>
      </c>
      <c r="B105" s="9"/>
      <c r="C105" s="9"/>
      <c r="D105" s="9"/>
      <c r="E105" s="9"/>
      <c r="F105" s="9"/>
      <c r="G105" s="9"/>
      <c r="H105" s="9">
        <v>380</v>
      </c>
      <c r="I105" s="9">
        <v>1</v>
      </c>
      <c r="J105" s="9"/>
      <c r="K105" s="9"/>
      <c r="L105" s="9">
        <v>459.52</v>
      </c>
      <c r="M105" s="9">
        <v>1</v>
      </c>
      <c r="N105" s="9"/>
      <c r="O105" s="9"/>
      <c r="P105" s="9"/>
      <c r="Q105" s="9"/>
      <c r="R105" s="205">
        <v>839.52</v>
      </c>
      <c r="S105" s="9">
        <v>2</v>
      </c>
    </row>
    <row r="106" spans="1:19" x14ac:dyDescent="0.25">
      <c r="A106" s="101" t="s">
        <v>460</v>
      </c>
      <c r="B106" s="9"/>
      <c r="C106" s="9"/>
      <c r="D106" s="9"/>
      <c r="E106" s="9"/>
      <c r="F106" s="9">
        <v>750</v>
      </c>
      <c r="G106" s="9">
        <v>1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205">
        <v>750</v>
      </c>
      <c r="S106" s="9">
        <v>1</v>
      </c>
    </row>
    <row r="107" spans="1:19" x14ac:dyDescent="0.25">
      <c r="A107" s="101" t="s">
        <v>236</v>
      </c>
      <c r="B107" s="9">
        <v>375</v>
      </c>
      <c r="C107" s="9">
        <v>2</v>
      </c>
      <c r="D107" s="9">
        <v>195</v>
      </c>
      <c r="E107" s="9">
        <v>2</v>
      </c>
      <c r="F107" s="9">
        <v>150</v>
      </c>
      <c r="G107" s="9">
        <v>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205">
        <v>720</v>
      </c>
      <c r="S107" s="9">
        <v>6</v>
      </c>
    </row>
    <row r="108" spans="1:19" x14ac:dyDescent="0.25">
      <c r="A108" s="101" t="s">
        <v>276</v>
      </c>
      <c r="B108" s="9"/>
      <c r="C108" s="9"/>
      <c r="D108" s="9">
        <v>625</v>
      </c>
      <c r="E108" s="9">
        <v>2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205">
        <v>625</v>
      </c>
      <c r="S108" s="9">
        <v>2</v>
      </c>
    </row>
    <row r="109" spans="1:19" x14ac:dyDescent="0.25">
      <c r="A109" s="101" t="s">
        <v>1063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>
        <v>625</v>
      </c>
      <c r="O109" s="9">
        <v>1</v>
      </c>
      <c r="P109" s="9"/>
      <c r="Q109" s="9"/>
      <c r="R109" s="205">
        <v>625</v>
      </c>
      <c r="S109" s="9">
        <v>1</v>
      </c>
    </row>
    <row r="110" spans="1:19" x14ac:dyDescent="0.25">
      <c r="A110" s="101" t="s">
        <v>1065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>
        <v>565</v>
      </c>
      <c r="O110" s="9">
        <v>1</v>
      </c>
      <c r="P110" s="9"/>
      <c r="Q110" s="9"/>
      <c r="R110" s="205">
        <v>565</v>
      </c>
      <c r="S110" s="9">
        <v>1</v>
      </c>
    </row>
    <row r="111" spans="1:19" x14ac:dyDescent="0.25">
      <c r="A111" s="101" t="s">
        <v>56</v>
      </c>
      <c r="B111" s="9">
        <v>530</v>
      </c>
      <c r="C111" s="9">
        <v>1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205">
        <v>530</v>
      </c>
      <c r="S111" s="9">
        <v>1</v>
      </c>
    </row>
    <row r="112" spans="1:19" x14ac:dyDescent="0.25">
      <c r="A112" s="101" t="s">
        <v>664</v>
      </c>
      <c r="B112" s="9"/>
      <c r="C112" s="9"/>
      <c r="D112" s="9"/>
      <c r="E112" s="9"/>
      <c r="F112" s="9"/>
      <c r="G112" s="9"/>
      <c r="H112" s="9">
        <v>180</v>
      </c>
      <c r="I112" s="9">
        <v>1</v>
      </c>
      <c r="J112" s="9">
        <v>210</v>
      </c>
      <c r="K112" s="9">
        <v>1</v>
      </c>
      <c r="L112" s="9">
        <v>60</v>
      </c>
      <c r="M112" s="9">
        <v>1</v>
      </c>
      <c r="N112" s="9">
        <v>78.75</v>
      </c>
      <c r="O112" s="9">
        <v>1</v>
      </c>
      <c r="P112" s="9"/>
      <c r="Q112" s="9"/>
      <c r="R112" s="205">
        <v>528.75</v>
      </c>
      <c r="S112" s="9">
        <v>4</v>
      </c>
    </row>
    <row r="113" spans="1:19" x14ac:dyDescent="0.25">
      <c r="A113" s="101" t="s">
        <v>229</v>
      </c>
      <c r="B113" s="9">
        <v>525</v>
      </c>
      <c r="C113" s="9">
        <v>1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205">
        <v>525</v>
      </c>
      <c r="S113" s="9">
        <v>1</v>
      </c>
    </row>
    <row r="114" spans="1:19" x14ac:dyDescent="0.25">
      <c r="A114" s="101" t="s">
        <v>512</v>
      </c>
      <c r="B114" s="9"/>
      <c r="C114" s="9"/>
      <c r="D114" s="9"/>
      <c r="E114" s="9"/>
      <c r="F114" s="9">
        <v>435</v>
      </c>
      <c r="G114" s="9">
        <v>1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205">
        <v>435</v>
      </c>
      <c r="S114" s="9">
        <v>1</v>
      </c>
    </row>
    <row r="115" spans="1:19" x14ac:dyDescent="0.25">
      <c r="A115" s="101" t="s">
        <v>963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>
        <v>425</v>
      </c>
      <c r="M115" s="9">
        <v>1</v>
      </c>
      <c r="N115" s="9"/>
      <c r="O115" s="9"/>
      <c r="P115" s="9"/>
      <c r="Q115" s="9"/>
      <c r="R115" s="205">
        <v>425</v>
      </c>
      <c r="S115" s="9">
        <v>1</v>
      </c>
    </row>
    <row r="116" spans="1:19" x14ac:dyDescent="0.25">
      <c r="A116" s="101" t="s">
        <v>172</v>
      </c>
      <c r="B116" s="9">
        <v>400</v>
      </c>
      <c r="C116" s="9">
        <v>1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205">
        <v>400</v>
      </c>
      <c r="S116" s="9">
        <v>1</v>
      </c>
    </row>
    <row r="117" spans="1:19" x14ac:dyDescent="0.25">
      <c r="A117" s="101" t="s">
        <v>628</v>
      </c>
      <c r="B117" s="9"/>
      <c r="C117" s="9"/>
      <c r="D117" s="9"/>
      <c r="E117" s="9"/>
      <c r="F117" s="9"/>
      <c r="G117" s="9"/>
      <c r="H117" s="9">
        <v>202.95</v>
      </c>
      <c r="I117" s="9">
        <v>1</v>
      </c>
      <c r="J117" s="9">
        <v>195</v>
      </c>
      <c r="K117" s="9">
        <v>1</v>
      </c>
      <c r="L117" s="9"/>
      <c r="M117" s="9"/>
      <c r="N117" s="9"/>
      <c r="O117" s="9"/>
      <c r="P117" s="9"/>
      <c r="Q117" s="9"/>
      <c r="R117" s="205">
        <v>397.95</v>
      </c>
      <c r="S117" s="9">
        <v>2</v>
      </c>
    </row>
    <row r="118" spans="1:19" x14ac:dyDescent="0.25">
      <c r="A118" s="101" t="s">
        <v>1101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>
        <v>380.95</v>
      </c>
      <c r="O118" s="9">
        <v>1</v>
      </c>
      <c r="P118" s="9"/>
      <c r="Q118" s="9"/>
      <c r="R118" s="205">
        <v>380.95</v>
      </c>
      <c r="S118" s="9">
        <v>1</v>
      </c>
    </row>
    <row r="119" spans="1:19" x14ac:dyDescent="0.25">
      <c r="A119" s="101" t="s">
        <v>139</v>
      </c>
      <c r="B119" s="9">
        <v>380</v>
      </c>
      <c r="C119" s="9">
        <v>1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205">
        <v>380</v>
      </c>
      <c r="S119" s="9">
        <v>1</v>
      </c>
    </row>
    <row r="120" spans="1:19" x14ac:dyDescent="0.25">
      <c r="A120" s="101" t="s">
        <v>591</v>
      </c>
      <c r="B120" s="9"/>
      <c r="C120" s="9"/>
      <c r="D120" s="9"/>
      <c r="E120" s="9"/>
      <c r="F120" s="9"/>
      <c r="G120" s="9"/>
      <c r="H120" s="9">
        <v>380</v>
      </c>
      <c r="I120" s="9">
        <v>1</v>
      </c>
      <c r="J120" s="9"/>
      <c r="K120" s="9"/>
      <c r="L120" s="9"/>
      <c r="M120" s="9"/>
      <c r="N120" s="9"/>
      <c r="O120" s="9"/>
      <c r="P120" s="9"/>
      <c r="Q120" s="9"/>
      <c r="R120" s="205">
        <v>380</v>
      </c>
      <c r="S120" s="9">
        <v>1</v>
      </c>
    </row>
    <row r="121" spans="1:19" x14ac:dyDescent="0.25">
      <c r="A121" s="101" t="s">
        <v>863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>
        <v>367.5</v>
      </c>
      <c r="M121" s="9">
        <v>1</v>
      </c>
      <c r="N121" s="9"/>
      <c r="O121" s="9"/>
      <c r="P121" s="9"/>
      <c r="Q121" s="9"/>
      <c r="R121" s="205">
        <v>367.5</v>
      </c>
      <c r="S121" s="9">
        <v>1</v>
      </c>
    </row>
    <row r="122" spans="1:19" x14ac:dyDescent="0.25">
      <c r="A122" s="101" t="s">
        <v>670</v>
      </c>
      <c r="B122" s="9"/>
      <c r="C122" s="9"/>
      <c r="D122" s="9"/>
      <c r="E122" s="9"/>
      <c r="F122" s="9"/>
      <c r="G122" s="9"/>
      <c r="H122" s="9"/>
      <c r="I122" s="9"/>
      <c r="J122" s="9">
        <v>350</v>
      </c>
      <c r="K122" s="9">
        <v>1</v>
      </c>
      <c r="L122" s="9"/>
      <c r="M122" s="9"/>
      <c r="N122" s="9"/>
      <c r="O122" s="9"/>
      <c r="P122" s="9"/>
      <c r="Q122" s="9"/>
      <c r="R122" s="205">
        <v>350</v>
      </c>
      <c r="S122" s="9">
        <v>1</v>
      </c>
    </row>
    <row r="123" spans="1:19" x14ac:dyDescent="0.25">
      <c r="A123" s="101" t="s">
        <v>1128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>
        <v>333.33</v>
      </c>
      <c r="O123" s="9">
        <v>1</v>
      </c>
      <c r="P123" s="9"/>
      <c r="Q123" s="9"/>
      <c r="R123" s="205">
        <v>333.33</v>
      </c>
      <c r="S123" s="9">
        <v>1</v>
      </c>
    </row>
    <row r="124" spans="1:19" x14ac:dyDescent="0.25">
      <c r="A124" s="101" t="s">
        <v>231</v>
      </c>
      <c r="B124" s="9">
        <v>300</v>
      </c>
      <c r="C124" s="9">
        <v>1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205">
        <v>300</v>
      </c>
      <c r="S124" s="9">
        <v>1</v>
      </c>
    </row>
    <row r="125" spans="1:19" x14ac:dyDescent="0.25">
      <c r="A125" s="101" t="s">
        <v>750</v>
      </c>
      <c r="B125" s="9"/>
      <c r="C125" s="9"/>
      <c r="D125" s="9"/>
      <c r="E125" s="9"/>
      <c r="F125" s="9"/>
      <c r="G125" s="9"/>
      <c r="H125" s="9"/>
      <c r="I125" s="9"/>
      <c r="J125" s="9">
        <v>285.70999999999998</v>
      </c>
      <c r="K125" s="9">
        <v>1</v>
      </c>
      <c r="L125" s="9"/>
      <c r="M125" s="9"/>
      <c r="N125" s="9"/>
      <c r="O125" s="9"/>
      <c r="P125" s="9"/>
      <c r="Q125" s="9"/>
      <c r="R125" s="205">
        <v>285.70999999999998</v>
      </c>
      <c r="S125" s="9">
        <v>1</v>
      </c>
    </row>
    <row r="126" spans="1:19" x14ac:dyDescent="0.25">
      <c r="A126" s="101" t="s">
        <v>572</v>
      </c>
      <c r="B126" s="9"/>
      <c r="C126" s="9"/>
      <c r="D126" s="9"/>
      <c r="E126" s="9"/>
      <c r="F126" s="9"/>
      <c r="G126" s="9"/>
      <c r="H126" s="9">
        <v>285.5</v>
      </c>
      <c r="I126" s="9">
        <v>1</v>
      </c>
      <c r="J126" s="9"/>
      <c r="K126" s="9"/>
      <c r="L126" s="9"/>
      <c r="M126" s="9"/>
      <c r="N126" s="9"/>
      <c r="O126" s="9"/>
      <c r="P126" s="9"/>
      <c r="Q126" s="9"/>
      <c r="R126" s="205">
        <v>285.5</v>
      </c>
      <c r="S126" s="9">
        <v>1</v>
      </c>
    </row>
    <row r="127" spans="1:19" x14ac:dyDescent="0.25">
      <c r="A127" s="101" t="s">
        <v>182</v>
      </c>
      <c r="B127" s="9">
        <v>200</v>
      </c>
      <c r="C127" s="9">
        <v>1</v>
      </c>
      <c r="D127" s="9"/>
      <c r="E127" s="9"/>
      <c r="F127" s="9"/>
      <c r="G127" s="9"/>
      <c r="H127" s="9"/>
      <c r="I127" s="9"/>
      <c r="J127" s="9">
        <v>85</v>
      </c>
      <c r="K127" s="9">
        <v>1</v>
      </c>
      <c r="L127" s="9"/>
      <c r="M127" s="9"/>
      <c r="N127" s="9"/>
      <c r="O127" s="9"/>
      <c r="P127" s="9"/>
      <c r="Q127" s="9"/>
      <c r="R127" s="205">
        <v>285</v>
      </c>
      <c r="S127" s="9">
        <v>2</v>
      </c>
    </row>
    <row r="128" spans="1:19" x14ac:dyDescent="0.25">
      <c r="A128" s="101" t="s">
        <v>494</v>
      </c>
      <c r="B128" s="9"/>
      <c r="C128" s="9"/>
      <c r="D128" s="9"/>
      <c r="E128" s="9"/>
      <c r="F128" s="9">
        <v>285</v>
      </c>
      <c r="G128" s="9">
        <v>1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205">
        <v>285</v>
      </c>
      <c r="S128" s="9">
        <v>1</v>
      </c>
    </row>
    <row r="129" spans="1:19" x14ac:dyDescent="0.25">
      <c r="A129" s="101" t="s">
        <v>957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>
        <v>285</v>
      </c>
      <c r="M129" s="9">
        <v>1</v>
      </c>
      <c r="N129" s="9"/>
      <c r="O129" s="9"/>
      <c r="P129" s="9"/>
      <c r="Q129" s="9"/>
      <c r="R129" s="205">
        <v>285</v>
      </c>
      <c r="S129" s="9">
        <v>1</v>
      </c>
    </row>
    <row r="130" spans="1:19" x14ac:dyDescent="0.25">
      <c r="A130" s="101" t="s">
        <v>180</v>
      </c>
      <c r="B130" s="9">
        <v>250</v>
      </c>
      <c r="C130" s="9">
        <v>1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205">
        <v>250</v>
      </c>
      <c r="S130" s="9">
        <v>1</v>
      </c>
    </row>
    <row r="131" spans="1:19" x14ac:dyDescent="0.25">
      <c r="A131" s="101" t="s">
        <v>990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>
        <v>235</v>
      </c>
      <c r="M131" s="9">
        <v>1</v>
      </c>
      <c r="N131" s="9"/>
      <c r="O131" s="9"/>
      <c r="P131" s="9"/>
      <c r="Q131" s="9"/>
      <c r="R131" s="205">
        <v>235</v>
      </c>
      <c r="S131" s="9">
        <v>1</v>
      </c>
    </row>
    <row r="132" spans="1:19" x14ac:dyDescent="0.25">
      <c r="A132" s="101" t="s">
        <v>72</v>
      </c>
      <c r="B132" s="9">
        <v>227.90700000000001</v>
      </c>
      <c r="C132" s="9">
        <v>1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205">
        <v>227.90700000000001</v>
      </c>
      <c r="S132" s="9">
        <v>1</v>
      </c>
    </row>
    <row r="133" spans="1:19" x14ac:dyDescent="0.25">
      <c r="A133" s="101" t="s">
        <v>666</v>
      </c>
      <c r="B133" s="9"/>
      <c r="C133" s="9"/>
      <c r="D133" s="9"/>
      <c r="E133" s="9"/>
      <c r="F133" s="9"/>
      <c r="G133" s="9"/>
      <c r="H133" s="9">
        <v>90</v>
      </c>
      <c r="I133" s="9">
        <v>1</v>
      </c>
      <c r="J133" s="9">
        <v>60</v>
      </c>
      <c r="K133" s="9">
        <v>1</v>
      </c>
      <c r="L133" s="9">
        <v>30</v>
      </c>
      <c r="M133" s="9">
        <v>1</v>
      </c>
      <c r="N133" s="9">
        <v>31.5</v>
      </c>
      <c r="O133" s="9">
        <v>1</v>
      </c>
      <c r="P133" s="9"/>
      <c r="Q133" s="9"/>
      <c r="R133" s="205">
        <v>211.5</v>
      </c>
      <c r="S133" s="9">
        <v>4</v>
      </c>
    </row>
    <row r="134" spans="1:19" x14ac:dyDescent="0.25">
      <c r="A134" s="101" t="s">
        <v>1016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>
        <v>200</v>
      </c>
      <c r="O134" s="9">
        <v>1</v>
      </c>
      <c r="P134" s="9"/>
      <c r="Q134" s="9"/>
      <c r="R134" s="205">
        <v>200</v>
      </c>
      <c r="S134" s="9">
        <v>1</v>
      </c>
    </row>
    <row r="135" spans="1:19" x14ac:dyDescent="0.25">
      <c r="A135" s="101" t="s">
        <v>699</v>
      </c>
      <c r="B135" s="9"/>
      <c r="C135" s="9"/>
      <c r="D135" s="9"/>
      <c r="E135" s="9"/>
      <c r="F135" s="9"/>
      <c r="G135" s="9"/>
      <c r="H135" s="9"/>
      <c r="I135" s="9"/>
      <c r="J135" s="9">
        <v>175</v>
      </c>
      <c r="K135" s="9">
        <v>1</v>
      </c>
      <c r="L135" s="9"/>
      <c r="M135" s="9"/>
      <c r="N135" s="9"/>
      <c r="O135" s="9"/>
      <c r="P135" s="9"/>
      <c r="Q135" s="9"/>
      <c r="R135" s="205">
        <v>175</v>
      </c>
      <c r="S135" s="9">
        <v>1</v>
      </c>
    </row>
    <row r="136" spans="1:19" x14ac:dyDescent="0.25">
      <c r="A136" s="101" t="s">
        <v>292</v>
      </c>
      <c r="B136" s="9"/>
      <c r="C136" s="9"/>
      <c r="D136" s="9">
        <v>140</v>
      </c>
      <c r="E136" s="9">
        <v>1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205">
        <v>140</v>
      </c>
      <c r="S136" s="9">
        <v>1</v>
      </c>
    </row>
    <row r="137" spans="1:19" x14ac:dyDescent="0.25">
      <c r="A137" s="101" t="s">
        <v>163</v>
      </c>
      <c r="B137" s="9">
        <v>95</v>
      </c>
      <c r="C137" s="9">
        <v>1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205">
        <v>95</v>
      </c>
      <c r="S137" s="9">
        <v>1</v>
      </c>
    </row>
    <row r="138" spans="1:19" x14ac:dyDescent="0.25">
      <c r="A138" s="101" t="s">
        <v>835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>
        <v>90</v>
      </c>
      <c r="M138" s="9">
        <v>1</v>
      </c>
      <c r="N138" s="9"/>
      <c r="O138" s="9"/>
      <c r="P138" s="9"/>
      <c r="Q138" s="9"/>
      <c r="R138" s="205">
        <v>90</v>
      </c>
      <c r="S138" s="9">
        <v>1</v>
      </c>
    </row>
    <row r="139" spans="1:19" x14ac:dyDescent="0.25">
      <c r="A139" s="101" t="s">
        <v>1092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>
        <v>80</v>
      </c>
      <c r="O139" s="9">
        <v>1</v>
      </c>
      <c r="P139" s="9"/>
      <c r="Q139" s="9"/>
      <c r="R139" s="205">
        <v>80</v>
      </c>
      <c r="S139" s="9">
        <v>1</v>
      </c>
    </row>
    <row r="140" spans="1:19" x14ac:dyDescent="0.25">
      <c r="A140" s="101" t="s">
        <v>394</v>
      </c>
      <c r="B140" s="9"/>
      <c r="C140" s="9"/>
      <c r="D140" s="9">
        <v>47.62</v>
      </c>
      <c r="E140" s="9">
        <v>1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205">
        <v>47.62</v>
      </c>
      <c r="S140" s="9">
        <v>1</v>
      </c>
    </row>
    <row r="141" spans="1:19" x14ac:dyDescent="0.25">
      <c r="A141" s="101" t="s">
        <v>241</v>
      </c>
      <c r="B141" s="9">
        <v>0</v>
      </c>
      <c r="C141" s="9">
        <v>1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205">
        <v>0</v>
      </c>
      <c r="S141" s="9">
        <v>1</v>
      </c>
    </row>
    <row r="142" spans="1:19" x14ac:dyDescent="0.25">
      <c r="A142" s="101" t="s">
        <v>983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>
        <v>0</v>
      </c>
      <c r="M142" s="9">
        <v>1</v>
      </c>
      <c r="N142" s="9"/>
      <c r="O142" s="9"/>
      <c r="P142" s="9"/>
      <c r="Q142" s="9"/>
      <c r="R142" s="205">
        <v>0</v>
      </c>
      <c r="S142" s="9">
        <v>1</v>
      </c>
    </row>
    <row r="143" spans="1:19" x14ac:dyDescent="0.25">
      <c r="A143" s="101" t="s">
        <v>13</v>
      </c>
      <c r="B143" s="9">
        <v>151513.73700000002</v>
      </c>
      <c r="C143" s="9">
        <v>76</v>
      </c>
      <c r="D143" s="9">
        <v>267652.46999999997</v>
      </c>
      <c r="E143" s="9">
        <v>64</v>
      </c>
      <c r="F143" s="9">
        <v>124056.87</v>
      </c>
      <c r="G143" s="9">
        <v>60</v>
      </c>
      <c r="H143" s="9">
        <v>94044.95</v>
      </c>
      <c r="I143" s="9">
        <v>44</v>
      </c>
      <c r="J143" s="9">
        <v>132558.95000000001</v>
      </c>
      <c r="K143" s="9">
        <v>94</v>
      </c>
      <c r="L143" s="9">
        <v>278942.14</v>
      </c>
      <c r="M143" s="9">
        <v>66</v>
      </c>
      <c r="N143" s="9">
        <v>109888.59</v>
      </c>
      <c r="O143" s="9">
        <v>61</v>
      </c>
      <c r="P143" s="9">
        <v>1580</v>
      </c>
      <c r="Q143" s="9">
        <v>1</v>
      </c>
      <c r="R143" s="205">
        <v>1160237.7069999997</v>
      </c>
      <c r="S143" s="9">
        <v>466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185D-A118-4E25-99BE-C9C2397CF7E0}">
  <dimension ref="A2:B23"/>
  <sheetViews>
    <sheetView workbookViewId="0">
      <selection activeCell="E22" sqref="E22"/>
    </sheetView>
  </sheetViews>
  <sheetFormatPr defaultRowHeight="15" x14ac:dyDescent="0.25"/>
  <cols>
    <col min="1" max="1" width="28.28515625" bestFit="1" customWidth="1"/>
    <col min="2" max="2" width="43.42578125" bestFit="1" customWidth="1"/>
  </cols>
  <sheetData>
    <row r="2" spans="1:2" x14ac:dyDescent="0.25">
      <c r="A2" s="346" t="s">
        <v>692</v>
      </c>
      <c r="B2" s="9" t="s">
        <v>692</v>
      </c>
    </row>
    <row r="3" spans="1:2" x14ac:dyDescent="0.25">
      <c r="A3" s="347"/>
      <c r="B3" s="9" t="s">
        <v>920</v>
      </c>
    </row>
    <row r="4" spans="1:2" x14ac:dyDescent="0.25">
      <c r="A4" s="347"/>
      <c r="B4" s="9" t="s">
        <v>921</v>
      </c>
    </row>
    <row r="5" spans="1:2" x14ac:dyDescent="0.25">
      <c r="A5" s="347"/>
      <c r="B5" s="9" t="s">
        <v>182</v>
      </c>
    </row>
    <row r="6" spans="1:2" x14ac:dyDescent="0.25">
      <c r="A6" s="348"/>
      <c r="B6" s="9" t="s">
        <v>1094</v>
      </c>
    </row>
    <row r="7" spans="1:2" x14ac:dyDescent="0.25">
      <c r="A7" s="9"/>
      <c r="B7" s="9"/>
    </row>
    <row r="8" spans="1:2" x14ac:dyDescent="0.25">
      <c r="A8" s="345" t="s">
        <v>922</v>
      </c>
      <c r="B8" s="9" t="s">
        <v>922</v>
      </c>
    </row>
    <row r="9" spans="1:2" x14ac:dyDescent="0.25">
      <c r="A9" s="345" t="s">
        <v>922</v>
      </c>
      <c r="B9" s="9" t="s">
        <v>923</v>
      </c>
    </row>
    <row r="10" spans="1:2" x14ac:dyDescent="0.25">
      <c r="A10" s="345"/>
      <c r="B10" s="9" t="s">
        <v>924</v>
      </c>
    </row>
    <row r="11" spans="1:2" x14ac:dyDescent="0.25">
      <c r="A11" s="345"/>
      <c r="B11" s="9" t="s">
        <v>925</v>
      </c>
    </row>
    <row r="12" spans="1:2" x14ac:dyDescent="0.25">
      <c r="A12" s="9"/>
      <c r="B12" s="9"/>
    </row>
    <row r="13" spans="1:2" x14ac:dyDescent="0.25">
      <c r="A13" s="345" t="s">
        <v>929</v>
      </c>
      <c r="B13" s="9" t="s">
        <v>926</v>
      </c>
    </row>
    <row r="14" spans="1:2" x14ac:dyDescent="0.25">
      <c r="A14" s="345"/>
      <c r="B14" s="9" t="s">
        <v>927</v>
      </c>
    </row>
    <row r="15" spans="1:2" x14ac:dyDescent="0.25">
      <c r="A15" s="345"/>
      <c r="B15" s="9" t="s">
        <v>928</v>
      </c>
    </row>
    <row r="16" spans="1:2" x14ac:dyDescent="0.25">
      <c r="A16" s="9"/>
      <c r="B16" s="9"/>
    </row>
    <row r="17" spans="1:2" x14ac:dyDescent="0.25">
      <c r="A17" s="345" t="s">
        <v>932</v>
      </c>
      <c r="B17" s="9" t="s">
        <v>930</v>
      </c>
    </row>
    <row r="18" spans="1:2" x14ac:dyDescent="0.25">
      <c r="A18" s="345" t="s">
        <v>932</v>
      </c>
      <c r="B18" s="9" t="s">
        <v>931</v>
      </c>
    </row>
    <row r="19" spans="1:2" x14ac:dyDescent="0.25">
      <c r="A19" s="345"/>
      <c r="B19" s="9"/>
    </row>
    <row r="20" spans="1:2" x14ac:dyDescent="0.25">
      <c r="A20" s="9"/>
      <c r="B20" s="9"/>
    </row>
    <row r="21" spans="1:2" x14ac:dyDescent="0.25">
      <c r="A21" s="345" t="s">
        <v>936</v>
      </c>
      <c r="B21" s="9" t="s">
        <v>933</v>
      </c>
    </row>
    <row r="22" spans="1:2" x14ac:dyDescent="0.25">
      <c r="A22" s="345"/>
      <c r="B22" s="9" t="s">
        <v>934</v>
      </c>
    </row>
    <row r="23" spans="1:2" x14ac:dyDescent="0.25">
      <c r="A23" s="345"/>
      <c r="B23" s="9" t="s">
        <v>935</v>
      </c>
    </row>
  </sheetData>
  <mergeCells count="5">
    <mergeCell ref="A8:A11"/>
    <mergeCell ref="A13:A15"/>
    <mergeCell ref="A17:A19"/>
    <mergeCell ref="A21:A23"/>
    <mergeCell ref="A2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DA33-246A-43C1-9FA1-DC865F285A43}">
  <dimension ref="B2:N25"/>
  <sheetViews>
    <sheetView zoomScaleNormal="100" workbookViewId="0">
      <pane ySplit="2" topLeftCell="A3" activePane="bottomLeft" state="frozen"/>
      <selection activeCell="H13" sqref="H13"/>
      <selection pane="bottomLeft" activeCell="F29" sqref="F29"/>
    </sheetView>
  </sheetViews>
  <sheetFormatPr defaultRowHeight="15" x14ac:dyDescent="0.25"/>
  <cols>
    <col min="1" max="1" width="5.140625" customWidth="1"/>
    <col min="2" max="2" width="31.85546875" customWidth="1"/>
    <col min="3" max="3" width="10.85546875" style="25" customWidth="1"/>
    <col min="4" max="4" width="19.42578125" customWidth="1"/>
    <col min="5" max="5" width="18.28515625" style="25" customWidth="1"/>
    <col min="6" max="6" width="56.85546875" customWidth="1"/>
    <col min="7" max="7" width="15" style="26" customWidth="1"/>
    <col min="8" max="8" width="12.85546875" style="26" customWidth="1"/>
    <col min="9" max="9" width="15.28515625" style="26" customWidth="1"/>
    <col min="10" max="10" width="14.42578125" style="26" customWidth="1"/>
    <col min="11" max="11" width="19.42578125" style="26" customWidth="1"/>
    <col min="12" max="12" width="12.5703125" style="25" customWidth="1"/>
    <col min="14" max="14" width="14.28515625" customWidth="1"/>
  </cols>
  <sheetData>
    <row r="2" spans="2:14" ht="45" x14ac:dyDescent="0.25">
      <c r="B2" s="19" t="s">
        <v>0</v>
      </c>
      <c r="C2" s="19" t="s">
        <v>1</v>
      </c>
      <c r="D2" s="20" t="s">
        <v>2</v>
      </c>
      <c r="E2" s="21" t="s">
        <v>3</v>
      </c>
      <c r="F2" s="19" t="s">
        <v>4</v>
      </c>
      <c r="G2" s="22" t="s">
        <v>5</v>
      </c>
      <c r="H2" s="22" t="s">
        <v>11</v>
      </c>
      <c r="I2" s="22" t="s">
        <v>12</v>
      </c>
      <c r="J2" s="22" t="s">
        <v>6</v>
      </c>
      <c r="K2" s="22" t="s">
        <v>7</v>
      </c>
      <c r="L2" s="23" t="s">
        <v>8</v>
      </c>
      <c r="N2" s="31">
        <f>SUM(G:G)</f>
        <v>1850</v>
      </c>
    </row>
    <row r="3" spans="2:14" ht="15" customHeight="1" x14ac:dyDescent="0.25">
      <c r="B3" s="39" t="s">
        <v>142</v>
      </c>
      <c r="C3" s="24" t="s">
        <v>32</v>
      </c>
      <c r="D3" s="11">
        <v>45310</v>
      </c>
      <c r="E3" s="34" t="s">
        <v>143</v>
      </c>
      <c r="F3" s="9" t="s">
        <v>144</v>
      </c>
      <c r="G3" s="28">
        <v>450</v>
      </c>
      <c r="H3" s="28"/>
      <c r="I3" s="12">
        <f t="shared" ref="I3" si="0">G3-H3</f>
        <v>450</v>
      </c>
      <c r="J3" s="12">
        <f t="shared" ref="J3" si="1">G3*5%</f>
        <v>22.5</v>
      </c>
      <c r="K3" s="12">
        <f t="shared" ref="K3" si="2">G3+J3</f>
        <v>472.5</v>
      </c>
      <c r="L3" s="24" t="s">
        <v>9</v>
      </c>
    </row>
    <row r="4" spans="2:14" ht="15" customHeight="1" x14ac:dyDescent="0.25">
      <c r="B4" s="9" t="s">
        <v>102</v>
      </c>
      <c r="C4" s="24" t="s">
        <v>33</v>
      </c>
      <c r="D4" s="11">
        <v>45320</v>
      </c>
      <c r="E4" s="34" t="s">
        <v>104</v>
      </c>
      <c r="F4" s="9" t="s">
        <v>105</v>
      </c>
      <c r="G4" s="28">
        <v>300</v>
      </c>
      <c r="H4" s="28"/>
      <c r="I4" s="12">
        <f t="shared" ref="I4:I21" si="3">G4-H4</f>
        <v>300</v>
      </c>
      <c r="J4" s="12">
        <f t="shared" ref="J4:J21" si="4">G4*5%</f>
        <v>15</v>
      </c>
      <c r="K4" s="12">
        <f t="shared" ref="K4:K21" si="5">G4+J4</f>
        <v>315</v>
      </c>
      <c r="L4" s="24" t="s">
        <v>9</v>
      </c>
    </row>
    <row r="5" spans="2:14" ht="15" customHeight="1" x14ac:dyDescent="0.25">
      <c r="B5" s="9" t="s">
        <v>102</v>
      </c>
      <c r="C5" s="24" t="s">
        <v>34</v>
      </c>
      <c r="D5" s="11">
        <v>45348</v>
      </c>
      <c r="E5" s="34" t="s">
        <v>104</v>
      </c>
      <c r="F5" s="9" t="s">
        <v>373</v>
      </c>
      <c r="G5" s="28">
        <v>720</v>
      </c>
      <c r="H5" s="28"/>
      <c r="I5" s="12">
        <f t="shared" si="3"/>
        <v>720</v>
      </c>
      <c r="J5" s="12">
        <f t="shared" si="4"/>
        <v>36</v>
      </c>
      <c r="K5" s="12">
        <f t="shared" si="5"/>
        <v>756</v>
      </c>
      <c r="L5" s="24" t="s">
        <v>9</v>
      </c>
    </row>
    <row r="6" spans="2:14" ht="15" customHeight="1" x14ac:dyDescent="0.25">
      <c r="B6" s="39" t="s">
        <v>102</v>
      </c>
      <c r="C6" s="24" t="s">
        <v>35</v>
      </c>
      <c r="D6" s="11">
        <v>45350</v>
      </c>
      <c r="E6" s="34" t="s">
        <v>104</v>
      </c>
      <c r="F6" s="9" t="s">
        <v>367</v>
      </c>
      <c r="G6" s="28">
        <v>380</v>
      </c>
      <c r="H6" s="28"/>
      <c r="I6" s="12">
        <f t="shared" si="3"/>
        <v>380</v>
      </c>
      <c r="J6" s="12">
        <f t="shared" si="4"/>
        <v>19</v>
      </c>
      <c r="K6" s="12">
        <f t="shared" si="5"/>
        <v>399</v>
      </c>
      <c r="L6" s="24" t="s">
        <v>9</v>
      </c>
    </row>
    <row r="7" spans="2:14" ht="15" customHeight="1" x14ac:dyDescent="0.25">
      <c r="B7" s="9"/>
      <c r="C7" s="24"/>
      <c r="D7" s="37"/>
      <c r="E7" s="34"/>
      <c r="F7" s="9"/>
      <c r="G7" s="28">
        <v>0</v>
      </c>
      <c r="H7" s="28"/>
      <c r="I7" s="12">
        <f t="shared" si="3"/>
        <v>0</v>
      </c>
      <c r="J7" s="12">
        <f t="shared" si="4"/>
        <v>0</v>
      </c>
      <c r="K7" s="12">
        <f t="shared" si="5"/>
        <v>0</v>
      </c>
      <c r="L7" s="24"/>
    </row>
    <row r="8" spans="2:14" ht="15" customHeight="1" x14ac:dyDescent="0.25">
      <c r="B8" s="9"/>
      <c r="C8" s="24"/>
      <c r="D8" s="37"/>
      <c r="E8" s="34"/>
      <c r="F8" s="9"/>
      <c r="G8" s="28">
        <v>0</v>
      </c>
      <c r="H8" s="28"/>
      <c r="I8" s="12">
        <f t="shared" si="3"/>
        <v>0</v>
      </c>
      <c r="J8" s="12">
        <f t="shared" si="4"/>
        <v>0</v>
      </c>
      <c r="K8" s="12">
        <f t="shared" si="5"/>
        <v>0</v>
      </c>
      <c r="L8" s="24"/>
    </row>
    <row r="9" spans="2:14" ht="15" customHeight="1" x14ac:dyDescent="0.25">
      <c r="B9" s="9"/>
      <c r="C9" s="24"/>
      <c r="D9" s="37"/>
      <c r="E9" s="34"/>
      <c r="F9" s="9"/>
      <c r="G9" s="28">
        <v>0</v>
      </c>
      <c r="H9" s="28"/>
      <c r="I9" s="12">
        <f t="shared" si="3"/>
        <v>0</v>
      </c>
      <c r="J9" s="12">
        <f t="shared" si="4"/>
        <v>0</v>
      </c>
      <c r="K9" s="12">
        <f t="shared" si="5"/>
        <v>0</v>
      </c>
      <c r="L9" s="24"/>
    </row>
    <row r="10" spans="2:14" ht="15" customHeight="1" x14ac:dyDescent="0.25">
      <c r="B10" s="53"/>
      <c r="C10" s="55"/>
      <c r="D10" s="56"/>
      <c r="E10" s="52"/>
      <c r="F10" s="50"/>
      <c r="G10" s="28">
        <v>0</v>
      </c>
      <c r="H10" s="28"/>
      <c r="I10" s="12">
        <f t="shared" si="3"/>
        <v>0</v>
      </c>
      <c r="J10" s="12">
        <f t="shared" si="4"/>
        <v>0</v>
      </c>
      <c r="K10" s="12">
        <f t="shared" si="5"/>
        <v>0</v>
      </c>
      <c r="L10" s="55"/>
    </row>
    <row r="11" spans="2:14" ht="15" customHeight="1" x14ac:dyDescent="0.25">
      <c r="B11" s="9"/>
      <c r="C11" s="24"/>
      <c r="D11" s="37"/>
      <c r="E11" s="34"/>
      <c r="F11" s="9"/>
      <c r="G11" s="28">
        <v>0</v>
      </c>
      <c r="H11" s="28"/>
      <c r="I11" s="12">
        <f t="shared" si="3"/>
        <v>0</v>
      </c>
      <c r="J11" s="12">
        <f t="shared" si="4"/>
        <v>0</v>
      </c>
      <c r="K11" s="12">
        <f t="shared" si="5"/>
        <v>0</v>
      </c>
      <c r="L11" s="24"/>
    </row>
    <row r="12" spans="2:14" ht="15" customHeight="1" x14ac:dyDescent="0.25">
      <c r="B12" s="9"/>
      <c r="C12" s="24"/>
      <c r="D12" s="37"/>
      <c r="E12" s="34"/>
      <c r="F12" s="9"/>
      <c r="G12" s="28">
        <v>0</v>
      </c>
      <c r="H12" s="28"/>
      <c r="I12" s="12">
        <f t="shared" si="3"/>
        <v>0</v>
      </c>
      <c r="J12" s="12">
        <f t="shared" si="4"/>
        <v>0</v>
      </c>
      <c r="K12" s="12">
        <f t="shared" si="5"/>
        <v>0</v>
      </c>
      <c r="L12" s="24"/>
    </row>
    <row r="13" spans="2:14" ht="15" customHeight="1" x14ac:dyDescent="0.25">
      <c r="B13" s="9"/>
      <c r="C13" s="24"/>
      <c r="D13" s="37"/>
      <c r="E13" s="34"/>
      <c r="F13" s="9"/>
      <c r="G13" s="28">
        <v>0</v>
      </c>
      <c r="H13" s="28"/>
      <c r="I13" s="12">
        <f t="shared" si="3"/>
        <v>0</v>
      </c>
      <c r="J13" s="12">
        <f t="shared" si="4"/>
        <v>0</v>
      </c>
      <c r="K13" s="12">
        <f t="shared" si="5"/>
        <v>0</v>
      </c>
      <c r="L13" s="24"/>
    </row>
    <row r="14" spans="2:14" ht="15" customHeight="1" x14ac:dyDescent="0.25">
      <c r="B14" s="9"/>
      <c r="C14" s="24"/>
      <c r="D14" s="37"/>
      <c r="E14" s="34"/>
      <c r="F14" s="9"/>
      <c r="G14" s="28">
        <v>0</v>
      </c>
      <c r="H14" s="28"/>
      <c r="I14" s="12">
        <f t="shared" si="3"/>
        <v>0</v>
      </c>
      <c r="J14" s="12">
        <f t="shared" si="4"/>
        <v>0</v>
      </c>
      <c r="K14" s="12">
        <f t="shared" si="5"/>
        <v>0</v>
      </c>
      <c r="L14" s="24"/>
    </row>
    <row r="15" spans="2:14" ht="15" customHeight="1" x14ac:dyDescent="0.25">
      <c r="B15" s="9"/>
      <c r="C15" s="24"/>
      <c r="D15" s="37"/>
      <c r="E15" s="34"/>
      <c r="F15" s="9"/>
      <c r="G15" s="28">
        <v>0</v>
      </c>
      <c r="H15" s="28"/>
      <c r="I15" s="12">
        <f t="shared" si="3"/>
        <v>0</v>
      </c>
      <c r="J15" s="12">
        <f t="shared" si="4"/>
        <v>0</v>
      </c>
      <c r="K15" s="12">
        <f t="shared" si="5"/>
        <v>0</v>
      </c>
      <c r="L15" s="24"/>
    </row>
    <row r="16" spans="2:14" ht="15" customHeight="1" x14ac:dyDescent="0.25">
      <c r="B16" s="9"/>
      <c r="C16" s="24"/>
      <c r="D16" s="37"/>
      <c r="E16" s="34"/>
      <c r="F16" s="9"/>
      <c r="G16" s="28">
        <v>0</v>
      </c>
      <c r="H16" s="28"/>
      <c r="I16" s="12">
        <f t="shared" si="3"/>
        <v>0</v>
      </c>
      <c r="J16" s="12">
        <f t="shared" si="4"/>
        <v>0</v>
      </c>
      <c r="K16" s="12">
        <f t="shared" si="5"/>
        <v>0</v>
      </c>
      <c r="L16" s="24"/>
    </row>
    <row r="17" spans="2:12" ht="15" customHeight="1" x14ac:dyDescent="0.25">
      <c r="B17" s="9"/>
      <c r="C17" s="24"/>
      <c r="D17" s="37"/>
      <c r="E17" s="34"/>
      <c r="F17" s="9"/>
      <c r="G17" s="28">
        <v>0</v>
      </c>
      <c r="H17" s="28"/>
      <c r="I17" s="12">
        <f t="shared" si="3"/>
        <v>0</v>
      </c>
      <c r="J17" s="12">
        <f t="shared" si="4"/>
        <v>0</v>
      </c>
      <c r="K17" s="12">
        <f t="shared" si="5"/>
        <v>0</v>
      </c>
      <c r="L17" s="24"/>
    </row>
    <row r="18" spans="2:12" ht="15" customHeight="1" x14ac:dyDescent="0.25">
      <c r="B18" s="9"/>
      <c r="C18" s="24"/>
      <c r="D18" s="37"/>
      <c r="E18" s="34"/>
      <c r="F18" s="9"/>
      <c r="G18" s="28">
        <v>0</v>
      </c>
      <c r="H18" s="28"/>
      <c r="I18" s="12">
        <f t="shared" si="3"/>
        <v>0</v>
      </c>
      <c r="J18" s="12">
        <f t="shared" si="4"/>
        <v>0</v>
      </c>
      <c r="K18" s="12">
        <f t="shared" si="5"/>
        <v>0</v>
      </c>
      <c r="L18" s="24"/>
    </row>
    <row r="19" spans="2:12" ht="15" customHeight="1" x14ac:dyDescent="0.25">
      <c r="B19" s="9"/>
      <c r="C19" s="24"/>
      <c r="D19" s="37"/>
      <c r="E19" s="34"/>
      <c r="F19" s="9"/>
      <c r="G19" s="28">
        <v>0</v>
      </c>
      <c r="H19" s="28"/>
      <c r="I19" s="12">
        <f t="shared" si="3"/>
        <v>0</v>
      </c>
      <c r="J19" s="12">
        <f t="shared" si="4"/>
        <v>0</v>
      </c>
      <c r="K19" s="12">
        <f t="shared" si="5"/>
        <v>0</v>
      </c>
      <c r="L19" s="24"/>
    </row>
    <row r="20" spans="2:12" s="42" customFormat="1" ht="15" customHeight="1" x14ac:dyDescent="0.25">
      <c r="B20" s="54"/>
      <c r="C20" s="51"/>
      <c r="D20" s="46"/>
      <c r="E20" s="47"/>
      <c r="F20" s="48"/>
      <c r="G20" s="28">
        <v>0</v>
      </c>
      <c r="H20" s="28"/>
      <c r="I20" s="12">
        <f t="shared" si="3"/>
        <v>0</v>
      </c>
      <c r="J20" s="12">
        <f t="shared" si="4"/>
        <v>0</v>
      </c>
      <c r="K20" s="12">
        <f t="shared" si="5"/>
        <v>0</v>
      </c>
      <c r="L20" s="51"/>
    </row>
    <row r="21" spans="2:12" s="42" customFormat="1" ht="15" customHeight="1" x14ac:dyDescent="0.25">
      <c r="B21" s="54"/>
      <c r="C21" s="51"/>
      <c r="D21" s="46"/>
      <c r="E21" s="47"/>
      <c r="F21" s="48"/>
      <c r="G21" s="28">
        <v>0</v>
      </c>
      <c r="H21" s="28"/>
      <c r="I21" s="12">
        <f t="shared" si="3"/>
        <v>0</v>
      </c>
      <c r="J21" s="12">
        <f t="shared" si="4"/>
        <v>0</v>
      </c>
      <c r="K21" s="12">
        <f t="shared" si="5"/>
        <v>0</v>
      </c>
      <c r="L21" s="51"/>
    </row>
    <row r="22" spans="2:12" s="42" customFormat="1" ht="15" customHeight="1" x14ac:dyDescent="0.25">
      <c r="B22" s="39"/>
      <c r="C22" s="43"/>
      <c r="D22" s="44"/>
      <c r="E22" s="41"/>
      <c r="F22" s="39"/>
      <c r="G22" s="49">
        <v>0</v>
      </c>
      <c r="H22" s="45">
        <v>0</v>
      </c>
      <c r="I22" s="45">
        <f t="shared" ref="I22" si="6">G22-H22</f>
        <v>0</v>
      </c>
      <c r="J22" s="45">
        <f t="shared" ref="J22" si="7">I22*5%</f>
        <v>0</v>
      </c>
      <c r="K22" s="45">
        <f t="shared" ref="K22" si="8">I22+J22</f>
        <v>0</v>
      </c>
      <c r="L22" s="43"/>
    </row>
    <row r="23" spans="2:12" s="42" customFormat="1" ht="15" customHeight="1" x14ac:dyDescent="0.25">
      <c r="C23" s="58"/>
      <c r="E23" s="58"/>
      <c r="G23" s="57"/>
      <c r="H23" s="57"/>
      <c r="I23" s="59">
        <f>SUM(I3:I22)</f>
        <v>1850</v>
      </c>
      <c r="J23" s="59">
        <f>SUM(J3:J22)</f>
        <v>92.5</v>
      </c>
      <c r="K23" s="59">
        <f>SUM(K3:K22)</f>
        <v>1942.5</v>
      </c>
      <c r="L23" s="58"/>
    </row>
    <row r="25" spans="2:12" ht="16.5" customHeight="1" x14ac:dyDescent="0.25"/>
  </sheetData>
  <autoFilter ref="B2:L23" xr:uid="{E785DA33-246A-43C1-9FA1-DC865F285A43}"/>
  <phoneticPr fontId="5" type="noConversion"/>
  <conditionalFormatting sqref="C1:C1048576">
    <cfRule type="duplicateValues" dxfId="0" priority="1"/>
  </conditionalFormatting>
  <dataValidations count="1">
    <dataValidation type="list" allowBlank="1" showInputMessage="1" showErrorMessage="1" sqref="L3:L22" xr:uid="{148A7F34-641A-4261-9AE1-82E73B41BDA9}">
      <formula1>"MARINELLE, REENA"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Reena</vt:lpstr>
      <vt:lpstr>Summary REA Adv - AR- 25 Mar24</vt:lpstr>
      <vt:lpstr>For Pivot</vt:lpstr>
      <vt:lpstr>calc</vt:lpstr>
      <vt:lpstr>Summary REA Adv</vt:lpstr>
      <vt:lpstr>Sheet2</vt:lpstr>
      <vt:lpstr>REA Adv - Invoices</vt:lpstr>
      <vt:lpstr>Summary REA Ins</vt:lpstr>
      <vt:lpstr>2024-curated</vt:lpstr>
      <vt:lpstr>2024</vt:lpstr>
      <vt:lpstr>COMP</vt:lpstr>
      <vt:lpstr>REA Ins - 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97156</dc:creator>
  <cp:lastModifiedBy>Rea Advertising</cp:lastModifiedBy>
  <cp:lastPrinted>2025-12-23T07:03:52Z</cp:lastPrinted>
  <dcterms:created xsi:type="dcterms:W3CDTF">2021-01-07T11:19:14Z</dcterms:created>
  <dcterms:modified xsi:type="dcterms:W3CDTF">2025-12-23T07:04:37Z</dcterms:modified>
</cp:coreProperties>
</file>