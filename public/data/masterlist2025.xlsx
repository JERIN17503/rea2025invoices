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ac\OneDrive\Desktop\01. Sreeraj\"/>
    </mc:Choice>
  </mc:AlternateContent>
  <xr:revisionPtr revIDLastSave="0" documentId="13_ncr:1_{5289F029-42B6-4436-8949-D49D78443B10}" xr6:coauthVersionLast="47" xr6:coauthVersionMax="47" xr10:uidLastSave="{00000000-0000-0000-0000-000000000000}"/>
  <bookViews>
    <workbookView xWindow="-120" yWindow="-120" windowWidth="29040" windowHeight="15720" xr2:uid="{E590630F-54FD-479B-A79B-5B424D37BD33}"/>
  </bookViews>
  <sheets>
    <sheet name="REA Adv - Invoices" sheetId="1" r:id="rId1"/>
  </sheets>
  <definedNames>
    <definedName name="_xlnm._FilterDatabase" localSheetId="0" hidden="1">'REA Adv - Invoices'!$B$2:$L$758</definedName>
    <definedName name="_xlnm.Print_Area" localSheetId="0">'REA Adv - Invoices'!$B$2:$L$513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7" i="1" l="1"/>
  <c r="I719" i="1" l="1"/>
  <c r="J719" i="1"/>
  <c r="K719" i="1" s="1"/>
  <c r="I707" i="1" l="1"/>
  <c r="J707" i="1"/>
  <c r="K707" i="1" s="1"/>
  <c r="I708" i="1"/>
  <c r="J708" i="1"/>
  <c r="K708" i="1" s="1"/>
  <c r="I709" i="1"/>
  <c r="J709" i="1"/>
  <c r="K709" i="1" s="1"/>
  <c r="I710" i="1"/>
  <c r="J710" i="1"/>
  <c r="K710" i="1" s="1"/>
  <c r="I711" i="1"/>
  <c r="J711" i="1"/>
  <c r="K711" i="1" s="1"/>
  <c r="I712" i="1"/>
  <c r="J712" i="1"/>
  <c r="K712" i="1" s="1"/>
  <c r="I713" i="1"/>
  <c r="J713" i="1"/>
  <c r="K713" i="1" s="1"/>
  <c r="I714" i="1"/>
  <c r="J714" i="1"/>
  <c r="K714" i="1" s="1"/>
  <c r="I715" i="1"/>
  <c r="J715" i="1"/>
  <c r="K715" i="1" s="1"/>
  <c r="I716" i="1"/>
  <c r="J716" i="1"/>
  <c r="K716" i="1" s="1"/>
  <c r="I717" i="1"/>
  <c r="J717" i="1"/>
  <c r="K717" i="1" s="1"/>
  <c r="I718" i="1"/>
  <c r="J718" i="1"/>
  <c r="K718" i="1" s="1"/>
  <c r="I720" i="1"/>
  <c r="J720" i="1"/>
  <c r="K720" i="1" s="1"/>
  <c r="I721" i="1"/>
  <c r="J721" i="1"/>
  <c r="K721" i="1" s="1"/>
  <c r="I722" i="1"/>
  <c r="J722" i="1"/>
  <c r="K722" i="1" s="1"/>
  <c r="I723" i="1"/>
  <c r="J723" i="1"/>
  <c r="K723" i="1" s="1"/>
  <c r="I724" i="1"/>
  <c r="J724" i="1"/>
  <c r="K724" i="1" s="1"/>
  <c r="I725" i="1"/>
  <c r="J725" i="1"/>
  <c r="K725" i="1" s="1"/>
  <c r="I726" i="1"/>
  <c r="J726" i="1"/>
  <c r="K726" i="1" s="1"/>
  <c r="I727" i="1"/>
  <c r="J727" i="1"/>
  <c r="K727" i="1" s="1"/>
  <c r="I728" i="1"/>
  <c r="J728" i="1"/>
  <c r="K728" i="1" s="1"/>
  <c r="I729" i="1"/>
  <c r="J729" i="1"/>
  <c r="K729" i="1" s="1"/>
  <c r="I730" i="1"/>
  <c r="J730" i="1"/>
  <c r="K730" i="1"/>
  <c r="I731" i="1"/>
  <c r="J731" i="1"/>
  <c r="K731" i="1" s="1"/>
  <c r="I732" i="1"/>
  <c r="J732" i="1"/>
  <c r="K732" i="1" s="1"/>
  <c r="I733" i="1"/>
  <c r="J733" i="1"/>
  <c r="K733" i="1" s="1"/>
  <c r="I734" i="1"/>
  <c r="J734" i="1"/>
  <c r="K734" i="1" s="1"/>
  <c r="I735" i="1"/>
  <c r="J735" i="1"/>
  <c r="K735" i="1" s="1"/>
  <c r="I736" i="1"/>
  <c r="J736" i="1"/>
  <c r="K736" i="1" s="1"/>
  <c r="I737" i="1"/>
  <c r="J737" i="1"/>
  <c r="K737" i="1" s="1"/>
  <c r="I738" i="1"/>
  <c r="J738" i="1"/>
  <c r="K738" i="1"/>
  <c r="I739" i="1"/>
  <c r="J739" i="1"/>
  <c r="K739" i="1"/>
  <c r="I740" i="1"/>
  <c r="J740" i="1"/>
  <c r="K740" i="1" s="1"/>
  <c r="I741" i="1"/>
  <c r="J741" i="1"/>
  <c r="K741" i="1" s="1"/>
  <c r="I742" i="1"/>
  <c r="J742" i="1"/>
  <c r="K742" i="1" s="1"/>
  <c r="I743" i="1"/>
  <c r="J743" i="1"/>
  <c r="K743" i="1" s="1"/>
  <c r="I744" i="1"/>
  <c r="J744" i="1"/>
  <c r="K744" i="1" s="1"/>
  <c r="I745" i="1"/>
  <c r="J745" i="1"/>
  <c r="K745" i="1" s="1"/>
  <c r="I746" i="1"/>
  <c r="J746" i="1"/>
  <c r="K746" i="1" s="1"/>
  <c r="I747" i="1"/>
  <c r="J747" i="1"/>
  <c r="K747" i="1"/>
  <c r="I748" i="1"/>
  <c r="J748" i="1"/>
  <c r="K748" i="1" s="1"/>
  <c r="I749" i="1"/>
  <c r="J749" i="1"/>
  <c r="K749" i="1" s="1"/>
  <c r="I750" i="1"/>
  <c r="J750" i="1"/>
  <c r="K750" i="1" s="1"/>
  <c r="I751" i="1"/>
  <c r="J751" i="1"/>
  <c r="K751" i="1"/>
  <c r="I752" i="1"/>
  <c r="J752" i="1"/>
  <c r="K752" i="1" s="1"/>
  <c r="I753" i="1"/>
  <c r="J753" i="1"/>
  <c r="K753" i="1"/>
  <c r="I754" i="1"/>
  <c r="J754" i="1"/>
  <c r="K754" i="1"/>
  <c r="I755" i="1"/>
  <c r="J755" i="1"/>
  <c r="K755" i="1"/>
  <c r="I756" i="1"/>
  <c r="J756" i="1"/>
  <c r="K756" i="1" s="1"/>
  <c r="T146" i="1" l="1"/>
  <c r="I691" i="1" l="1"/>
  <c r="J691" i="1"/>
  <c r="K691" i="1" s="1"/>
  <c r="I690" i="1" l="1"/>
  <c r="J690" i="1"/>
  <c r="K690" i="1" s="1"/>
  <c r="I687" i="1" l="1"/>
  <c r="J687" i="1"/>
  <c r="K687" i="1" s="1"/>
  <c r="I678" i="1" l="1"/>
  <c r="J678" i="1"/>
  <c r="K678" i="1" s="1"/>
  <c r="I688" i="1" l="1"/>
  <c r="J688" i="1"/>
  <c r="K688" i="1" s="1"/>
  <c r="I689" i="1"/>
  <c r="J689" i="1"/>
  <c r="K689" i="1" s="1"/>
  <c r="I692" i="1"/>
  <c r="J692" i="1"/>
  <c r="K692" i="1" s="1"/>
  <c r="I693" i="1"/>
  <c r="J693" i="1"/>
  <c r="K693" i="1" s="1"/>
  <c r="I694" i="1"/>
  <c r="J694" i="1"/>
  <c r="K694" i="1" s="1"/>
  <c r="I695" i="1"/>
  <c r="J695" i="1"/>
  <c r="K695" i="1" s="1"/>
  <c r="I696" i="1"/>
  <c r="J696" i="1"/>
  <c r="K696" i="1" s="1"/>
  <c r="I697" i="1"/>
  <c r="J697" i="1"/>
  <c r="K697" i="1" s="1"/>
  <c r="I698" i="1"/>
  <c r="J698" i="1"/>
  <c r="K698" i="1" s="1"/>
  <c r="I699" i="1"/>
  <c r="J699" i="1"/>
  <c r="K699" i="1" s="1"/>
  <c r="I700" i="1"/>
  <c r="J700" i="1"/>
  <c r="K700" i="1" s="1"/>
  <c r="I701" i="1"/>
  <c r="J701" i="1"/>
  <c r="K701" i="1" s="1"/>
  <c r="I702" i="1"/>
  <c r="J702" i="1"/>
  <c r="K702" i="1" s="1"/>
  <c r="I703" i="1"/>
  <c r="J703" i="1"/>
  <c r="K703" i="1" s="1"/>
  <c r="I704" i="1"/>
  <c r="J704" i="1"/>
  <c r="K704" i="1" s="1"/>
  <c r="I705" i="1"/>
  <c r="J705" i="1"/>
  <c r="K705" i="1" s="1"/>
  <c r="I706" i="1"/>
  <c r="J706" i="1"/>
  <c r="K706" i="1" s="1"/>
  <c r="I665" i="1"/>
  <c r="J665" i="1"/>
  <c r="K665" i="1" s="1"/>
  <c r="I666" i="1"/>
  <c r="J666" i="1"/>
  <c r="K666" i="1" s="1"/>
  <c r="I667" i="1"/>
  <c r="J667" i="1"/>
  <c r="K667" i="1" s="1"/>
  <c r="I668" i="1"/>
  <c r="J668" i="1"/>
  <c r="K668" i="1" s="1"/>
  <c r="I669" i="1"/>
  <c r="J669" i="1"/>
  <c r="K669" i="1" s="1"/>
  <c r="I670" i="1"/>
  <c r="J670" i="1"/>
  <c r="K670" i="1" s="1"/>
  <c r="I671" i="1"/>
  <c r="J671" i="1"/>
  <c r="K671" i="1" s="1"/>
  <c r="I672" i="1"/>
  <c r="J672" i="1"/>
  <c r="K672" i="1" s="1"/>
  <c r="I673" i="1"/>
  <c r="J673" i="1"/>
  <c r="K673" i="1" s="1"/>
  <c r="I674" i="1"/>
  <c r="J674" i="1"/>
  <c r="K674" i="1" s="1"/>
  <c r="I675" i="1"/>
  <c r="J675" i="1"/>
  <c r="K675" i="1" s="1"/>
  <c r="I676" i="1"/>
  <c r="J676" i="1"/>
  <c r="K676" i="1" s="1"/>
  <c r="I677" i="1"/>
  <c r="J677" i="1"/>
  <c r="K677" i="1" s="1"/>
  <c r="I679" i="1"/>
  <c r="J679" i="1"/>
  <c r="K679" i="1" s="1"/>
  <c r="I680" i="1"/>
  <c r="J680" i="1"/>
  <c r="K680" i="1" s="1"/>
  <c r="I681" i="1"/>
  <c r="J681" i="1"/>
  <c r="K681" i="1" s="1"/>
  <c r="I682" i="1"/>
  <c r="J682" i="1"/>
  <c r="K682" i="1" s="1"/>
  <c r="I683" i="1"/>
  <c r="J683" i="1"/>
  <c r="K683" i="1" s="1"/>
  <c r="I684" i="1"/>
  <c r="J684" i="1"/>
  <c r="K684" i="1" s="1"/>
  <c r="I685" i="1"/>
  <c r="J685" i="1"/>
  <c r="K685" i="1" s="1"/>
  <c r="I686" i="1"/>
  <c r="J686" i="1"/>
  <c r="K686" i="1" s="1"/>
  <c r="I639" i="1"/>
  <c r="J639" i="1"/>
  <c r="K639" i="1" s="1"/>
  <c r="J758" i="1" l="1"/>
  <c r="K758" i="1" s="1"/>
  <c r="I758" i="1"/>
  <c r="J757" i="1"/>
  <c r="K757" i="1" s="1"/>
  <c r="I757" i="1"/>
  <c r="J664" i="1"/>
  <c r="K664" i="1" s="1"/>
  <c r="I664" i="1"/>
  <c r="J663" i="1"/>
  <c r="K663" i="1" s="1"/>
  <c r="I663" i="1"/>
  <c r="J662" i="1"/>
  <c r="K662" i="1" s="1"/>
  <c r="I662" i="1"/>
  <c r="J661" i="1"/>
  <c r="K661" i="1" s="1"/>
  <c r="I661" i="1"/>
  <c r="J660" i="1"/>
  <c r="K660" i="1" s="1"/>
  <c r="I660" i="1"/>
  <c r="J659" i="1"/>
  <c r="K659" i="1" s="1"/>
  <c r="I659" i="1"/>
  <c r="T145" i="1" l="1"/>
  <c r="I594" i="1" l="1"/>
  <c r="J594" i="1"/>
  <c r="K594" i="1" s="1"/>
  <c r="I595" i="1"/>
  <c r="J595" i="1"/>
  <c r="K595" i="1" s="1"/>
  <c r="I596" i="1"/>
  <c r="J596" i="1"/>
  <c r="K596" i="1" s="1"/>
  <c r="I597" i="1"/>
  <c r="J597" i="1"/>
  <c r="K597" i="1" s="1"/>
  <c r="I598" i="1"/>
  <c r="J598" i="1"/>
  <c r="K598" i="1" s="1"/>
  <c r="I599" i="1"/>
  <c r="J599" i="1"/>
  <c r="K599" i="1" s="1"/>
  <c r="I600" i="1"/>
  <c r="J600" i="1"/>
  <c r="K600" i="1" s="1"/>
  <c r="I601" i="1"/>
  <c r="J601" i="1"/>
  <c r="K601" i="1" s="1"/>
  <c r="I602" i="1"/>
  <c r="J602" i="1"/>
  <c r="K602" i="1" s="1"/>
  <c r="I603" i="1"/>
  <c r="J603" i="1"/>
  <c r="K603" i="1" s="1"/>
  <c r="I604" i="1"/>
  <c r="J604" i="1"/>
  <c r="K604" i="1" s="1"/>
  <c r="I605" i="1"/>
  <c r="J605" i="1"/>
  <c r="K605" i="1" s="1"/>
  <c r="I606" i="1"/>
  <c r="J606" i="1"/>
  <c r="K606" i="1" s="1"/>
  <c r="I607" i="1"/>
  <c r="J607" i="1"/>
  <c r="K607" i="1" s="1"/>
  <c r="I608" i="1"/>
  <c r="J608" i="1"/>
  <c r="K608" i="1" s="1"/>
  <c r="I609" i="1"/>
  <c r="J609" i="1"/>
  <c r="K609" i="1" s="1"/>
  <c r="I610" i="1"/>
  <c r="J610" i="1"/>
  <c r="K610" i="1" s="1"/>
  <c r="I611" i="1"/>
  <c r="J611" i="1"/>
  <c r="K611" i="1" s="1"/>
  <c r="I612" i="1"/>
  <c r="J612" i="1"/>
  <c r="K612" i="1" s="1"/>
  <c r="I613" i="1"/>
  <c r="J613" i="1"/>
  <c r="K613" i="1" s="1"/>
  <c r="I614" i="1"/>
  <c r="J614" i="1"/>
  <c r="K614" i="1" s="1"/>
  <c r="I615" i="1"/>
  <c r="J615" i="1"/>
  <c r="K615" i="1" s="1"/>
  <c r="I616" i="1"/>
  <c r="J616" i="1"/>
  <c r="K616" i="1" s="1"/>
  <c r="I617" i="1"/>
  <c r="J617" i="1"/>
  <c r="K617" i="1" s="1"/>
  <c r="I618" i="1"/>
  <c r="J618" i="1"/>
  <c r="K618" i="1" s="1"/>
  <c r="I619" i="1"/>
  <c r="J619" i="1"/>
  <c r="K619" i="1" s="1"/>
  <c r="I620" i="1"/>
  <c r="J620" i="1"/>
  <c r="K620" i="1" s="1"/>
  <c r="I621" i="1"/>
  <c r="J621" i="1"/>
  <c r="K621" i="1" s="1"/>
  <c r="I622" i="1"/>
  <c r="J622" i="1"/>
  <c r="K622" i="1" s="1"/>
  <c r="I623" i="1"/>
  <c r="J623" i="1"/>
  <c r="K623" i="1" s="1"/>
  <c r="I624" i="1"/>
  <c r="J624" i="1"/>
  <c r="K624" i="1" s="1"/>
  <c r="I625" i="1"/>
  <c r="J625" i="1"/>
  <c r="K625" i="1" s="1"/>
  <c r="I593" i="1"/>
  <c r="J593" i="1"/>
  <c r="K593" i="1" s="1"/>
  <c r="I626" i="1" l="1"/>
  <c r="J626" i="1"/>
  <c r="K626" i="1" s="1"/>
  <c r="I627" i="1"/>
  <c r="J627" i="1"/>
  <c r="K627" i="1" s="1"/>
  <c r="I628" i="1"/>
  <c r="J628" i="1"/>
  <c r="K628" i="1" s="1"/>
  <c r="I629" i="1"/>
  <c r="J629" i="1"/>
  <c r="K629" i="1" s="1"/>
  <c r="I630" i="1"/>
  <c r="J630" i="1"/>
  <c r="K630" i="1" s="1"/>
  <c r="I631" i="1"/>
  <c r="J631" i="1"/>
  <c r="K631" i="1" s="1"/>
  <c r="I632" i="1"/>
  <c r="J632" i="1"/>
  <c r="K632" i="1" s="1"/>
  <c r="I633" i="1"/>
  <c r="J633" i="1"/>
  <c r="K633" i="1" s="1"/>
  <c r="I634" i="1"/>
  <c r="J634" i="1"/>
  <c r="K634" i="1" s="1"/>
  <c r="I635" i="1"/>
  <c r="J635" i="1"/>
  <c r="K635" i="1" s="1"/>
  <c r="I636" i="1"/>
  <c r="J636" i="1"/>
  <c r="K636" i="1" s="1"/>
  <c r="I637" i="1"/>
  <c r="J637" i="1"/>
  <c r="K637" i="1" s="1"/>
  <c r="I638" i="1"/>
  <c r="J638" i="1"/>
  <c r="K638" i="1" s="1"/>
  <c r="I640" i="1"/>
  <c r="J640" i="1"/>
  <c r="K640" i="1" s="1"/>
  <c r="I641" i="1"/>
  <c r="J641" i="1"/>
  <c r="K641" i="1" s="1"/>
  <c r="I642" i="1"/>
  <c r="J642" i="1"/>
  <c r="K642" i="1" s="1"/>
  <c r="I643" i="1"/>
  <c r="J643" i="1"/>
  <c r="K643" i="1" s="1"/>
  <c r="I644" i="1"/>
  <c r="J644" i="1"/>
  <c r="K644" i="1" s="1"/>
  <c r="I645" i="1"/>
  <c r="J645" i="1"/>
  <c r="K645" i="1" s="1"/>
  <c r="I646" i="1"/>
  <c r="J646" i="1"/>
  <c r="K646" i="1" s="1"/>
  <c r="I647" i="1"/>
  <c r="J647" i="1"/>
  <c r="K647" i="1" s="1"/>
  <c r="I648" i="1"/>
  <c r="J648" i="1"/>
  <c r="K648" i="1" s="1"/>
  <c r="I649" i="1"/>
  <c r="J649" i="1"/>
  <c r="K649" i="1" s="1"/>
  <c r="I650" i="1"/>
  <c r="J650" i="1"/>
  <c r="K650" i="1" s="1"/>
  <c r="I651" i="1"/>
  <c r="J651" i="1"/>
  <c r="K651" i="1" s="1"/>
  <c r="I652" i="1"/>
  <c r="J652" i="1"/>
  <c r="K652" i="1" s="1"/>
  <c r="I653" i="1"/>
  <c r="J653" i="1"/>
  <c r="K653" i="1" s="1"/>
  <c r="I654" i="1"/>
  <c r="J654" i="1"/>
  <c r="K654" i="1" s="1"/>
  <c r="I655" i="1"/>
  <c r="J655" i="1"/>
  <c r="K655" i="1" s="1"/>
  <c r="I656" i="1"/>
  <c r="J656" i="1"/>
  <c r="K656" i="1" s="1"/>
  <c r="I657" i="1"/>
  <c r="J657" i="1"/>
  <c r="K657" i="1" s="1"/>
  <c r="I658" i="1"/>
  <c r="J658" i="1"/>
  <c r="K658" i="1" s="1"/>
  <c r="I551" i="1" l="1"/>
  <c r="J551" i="1"/>
  <c r="K551" i="1" s="1"/>
  <c r="I552" i="1"/>
  <c r="J552" i="1"/>
  <c r="K552" i="1" s="1"/>
  <c r="I553" i="1"/>
  <c r="J553" i="1"/>
  <c r="K553" i="1" s="1"/>
  <c r="I554" i="1"/>
  <c r="J554" i="1"/>
  <c r="K554" i="1" s="1"/>
  <c r="I555" i="1"/>
  <c r="J555" i="1"/>
  <c r="K555" i="1" s="1"/>
  <c r="I556" i="1"/>
  <c r="J556" i="1"/>
  <c r="K556" i="1" s="1"/>
  <c r="I557" i="1"/>
  <c r="J557" i="1"/>
  <c r="K557" i="1" s="1"/>
  <c r="I558" i="1"/>
  <c r="J558" i="1"/>
  <c r="K558" i="1" s="1"/>
  <c r="I559" i="1"/>
  <c r="J559" i="1"/>
  <c r="K559" i="1" s="1"/>
  <c r="I560" i="1"/>
  <c r="J560" i="1"/>
  <c r="K560" i="1" s="1"/>
  <c r="I561" i="1"/>
  <c r="J561" i="1"/>
  <c r="K561" i="1" s="1"/>
  <c r="I562" i="1"/>
  <c r="J562" i="1"/>
  <c r="K562" i="1" s="1"/>
  <c r="I563" i="1"/>
  <c r="J563" i="1"/>
  <c r="K563" i="1" s="1"/>
  <c r="I564" i="1"/>
  <c r="J564" i="1"/>
  <c r="K564" i="1" s="1"/>
  <c r="I565" i="1"/>
  <c r="J565" i="1"/>
  <c r="K565" i="1" s="1"/>
  <c r="I566" i="1"/>
  <c r="J566" i="1"/>
  <c r="K566" i="1" s="1"/>
  <c r="I567" i="1"/>
  <c r="J567" i="1"/>
  <c r="K567" i="1" s="1"/>
  <c r="I568" i="1"/>
  <c r="J568" i="1"/>
  <c r="K568" i="1" s="1"/>
  <c r="I569" i="1"/>
  <c r="J569" i="1"/>
  <c r="K569" i="1" s="1"/>
  <c r="I570" i="1"/>
  <c r="J570" i="1"/>
  <c r="K570" i="1" s="1"/>
  <c r="I571" i="1"/>
  <c r="J571" i="1"/>
  <c r="K571" i="1" s="1"/>
  <c r="I572" i="1"/>
  <c r="J572" i="1"/>
  <c r="K572" i="1" s="1"/>
  <c r="I573" i="1"/>
  <c r="J573" i="1"/>
  <c r="K573" i="1" s="1"/>
  <c r="I574" i="1"/>
  <c r="J574" i="1"/>
  <c r="K574" i="1" s="1"/>
  <c r="I575" i="1"/>
  <c r="J575" i="1"/>
  <c r="K575" i="1" s="1"/>
  <c r="I576" i="1"/>
  <c r="J576" i="1"/>
  <c r="K576" i="1" s="1"/>
  <c r="I577" i="1"/>
  <c r="J577" i="1"/>
  <c r="K577" i="1" s="1"/>
  <c r="I578" i="1"/>
  <c r="J578" i="1"/>
  <c r="K578" i="1" s="1"/>
  <c r="I579" i="1"/>
  <c r="J579" i="1"/>
  <c r="K579" i="1" s="1"/>
  <c r="I580" i="1"/>
  <c r="J580" i="1"/>
  <c r="K580" i="1" s="1"/>
  <c r="I581" i="1"/>
  <c r="J581" i="1"/>
  <c r="K581" i="1" s="1"/>
  <c r="I582" i="1"/>
  <c r="J582" i="1"/>
  <c r="K582" i="1" s="1"/>
  <c r="I583" i="1"/>
  <c r="J583" i="1"/>
  <c r="K583" i="1" s="1"/>
  <c r="I584" i="1"/>
  <c r="J584" i="1"/>
  <c r="K584" i="1" s="1"/>
  <c r="I585" i="1"/>
  <c r="J585" i="1"/>
  <c r="K585" i="1" s="1"/>
  <c r="I586" i="1"/>
  <c r="J586" i="1"/>
  <c r="K586" i="1" s="1"/>
  <c r="I587" i="1"/>
  <c r="J587" i="1"/>
  <c r="K587" i="1" s="1"/>
  <c r="I588" i="1"/>
  <c r="J588" i="1"/>
  <c r="K588" i="1" s="1"/>
  <c r="I589" i="1"/>
  <c r="J589" i="1"/>
  <c r="K589" i="1" s="1"/>
  <c r="I590" i="1"/>
  <c r="J590" i="1"/>
  <c r="K590" i="1" s="1"/>
  <c r="I591" i="1"/>
  <c r="J591" i="1"/>
  <c r="K591" i="1" s="1"/>
  <c r="I592" i="1"/>
  <c r="J592" i="1"/>
  <c r="K592" i="1" s="1"/>
  <c r="J550" i="1"/>
  <c r="K550" i="1" s="1"/>
  <c r="I550" i="1"/>
  <c r="J549" i="1"/>
  <c r="K549" i="1" s="1"/>
  <c r="I549" i="1"/>
  <c r="J548" i="1"/>
  <c r="K548" i="1" s="1"/>
  <c r="I548" i="1"/>
  <c r="T144" i="1" l="1"/>
  <c r="I519" i="1" l="1"/>
  <c r="J519" i="1"/>
  <c r="K519" i="1" s="1"/>
  <c r="I520" i="1"/>
  <c r="J520" i="1"/>
  <c r="K520" i="1" s="1"/>
  <c r="I521" i="1"/>
  <c r="J521" i="1"/>
  <c r="K521" i="1" s="1"/>
  <c r="I522" i="1"/>
  <c r="J522" i="1"/>
  <c r="K522" i="1" s="1"/>
  <c r="I523" i="1"/>
  <c r="J523" i="1"/>
  <c r="K523" i="1" s="1"/>
  <c r="I524" i="1"/>
  <c r="J524" i="1"/>
  <c r="K524" i="1" s="1"/>
  <c r="I525" i="1"/>
  <c r="J525" i="1"/>
  <c r="K525" i="1" s="1"/>
  <c r="I526" i="1"/>
  <c r="J526" i="1"/>
  <c r="K526" i="1" s="1"/>
  <c r="I527" i="1"/>
  <c r="J527" i="1"/>
  <c r="K527" i="1" s="1"/>
  <c r="I528" i="1"/>
  <c r="J528" i="1"/>
  <c r="K528" i="1" s="1"/>
  <c r="I529" i="1"/>
  <c r="J529" i="1"/>
  <c r="K529" i="1" s="1"/>
  <c r="I530" i="1"/>
  <c r="J530" i="1"/>
  <c r="K530" i="1" s="1"/>
  <c r="I531" i="1"/>
  <c r="J531" i="1"/>
  <c r="K531" i="1" s="1"/>
  <c r="I532" i="1"/>
  <c r="J532" i="1"/>
  <c r="K532" i="1" s="1"/>
  <c r="I533" i="1"/>
  <c r="J533" i="1"/>
  <c r="K533" i="1" s="1"/>
  <c r="I534" i="1"/>
  <c r="J534" i="1"/>
  <c r="K534" i="1" s="1"/>
  <c r="I535" i="1"/>
  <c r="J535" i="1"/>
  <c r="K535" i="1" s="1"/>
  <c r="I536" i="1"/>
  <c r="J536" i="1"/>
  <c r="K536" i="1" s="1"/>
  <c r="I537" i="1"/>
  <c r="J537" i="1"/>
  <c r="K537" i="1" s="1"/>
  <c r="I538" i="1"/>
  <c r="J538" i="1"/>
  <c r="K538" i="1" s="1"/>
  <c r="I539" i="1"/>
  <c r="J539" i="1"/>
  <c r="K539" i="1" s="1"/>
  <c r="I540" i="1"/>
  <c r="J540" i="1"/>
  <c r="K540" i="1" s="1"/>
  <c r="I541" i="1"/>
  <c r="J541" i="1"/>
  <c r="K541" i="1" s="1"/>
  <c r="I542" i="1"/>
  <c r="J542" i="1"/>
  <c r="K542" i="1" s="1"/>
  <c r="I543" i="1"/>
  <c r="J543" i="1"/>
  <c r="K543" i="1" s="1"/>
  <c r="I544" i="1"/>
  <c r="J544" i="1"/>
  <c r="K544" i="1" s="1"/>
  <c r="I545" i="1"/>
  <c r="J545" i="1"/>
  <c r="K545" i="1" s="1"/>
  <c r="I546" i="1"/>
  <c r="J546" i="1"/>
  <c r="K546" i="1" s="1"/>
  <c r="I547" i="1"/>
  <c r="J547" i="1"/>
  <c r="K547" i="1" s="1"/>
  <c r="I511" i="1" l="1"/>
  <c r="J511" i="1"/>
  <c r="K511" i="1" s="1"/>
  <c r="I512" i="1"/>
  <c r="J512" i="1"/>
  <c r="K512" i="1" s="1"/>
  <c r="I513" i="1"/>
  <c r="J513" i="1"/>
  <c r="K513" i="1" s="1"/>
  <c r="I514" i="1"/>
  <c r="J514" i="1"/>
  <c r="K514" i="1" s="1"/>
  <c r="I515" i="1"/>
  <c r="J515" i="1"/>
  <c r="K515" i="1" s="1"/>
  <c r="I516" i="1"/>
  <c r="J516" i="1"/>
  <c r="K516" i="1" s="1"/>
  <c r="I517" i="1"/>
  <c r="J517" i="1"/>
  <c r="K517" i="1" s="1"/>
  <c r="I518" i="1"/>
  <c r="J518" i="1"/>
  <c r="K518" i="1" s="1"/>
  <c r="I498" i="1" l="1"/>
  <c r="J498" i="1"/>
  <c r="K498" i="1" s="1"/>
  <c r="I473" i="1" l="1"/>
  <c r="J473" i="1"/>
  <c r="K473" i="1" s="1"/>
  <c r="I474" i="1"/>
  <c r="J474" i="1"/>
  <c r="K474" i="1" s="1"/>
  <c r="I475" i="1"/>
  <c r="J475" i="1"/>
  <c r="K475" i="1" s="1"/>
  <c r="I476" i="1"/>
  <c r="J476" i="1"/>
  <c r="K476" i="1" s="1"/>
  <c r="I477" i="1"/>
  <c r="J477" i="1"/>
  <c r="K477" i="1" s="1"/>
  <c r="I478" i="1"/>
  <c r="J478" i="1"/>
  <c r="K478" i="1" s="1"/>
  <c r="I479" i="1"/>
  <c r="J479" i="1"/>
  <c r="K479" i="1" s="1"/>
  <c r="I480" i="1"/>
  <c r="J480" i="1"/>
  <c r="K480" i="1" s="1"/>
  <c r="I481" i="1"/>
  <c r="J481" i="1"/>
  <c r="K481" i="1" s="1"/>
  <c r="I482" i="1"/>
  <c r="J482" i="1"/>
  <c r="K482" i="1" s="1"/>
  <c r="I483" i="1"/>
  <c r="J483" i="1"/>
  <c r="K483" i="1" s="1"/>
  <c r="I484" i="1"/>
  <c r="J484" i="1"/>
  <c r="K484" i="1" s="1"/>
  <c r="I485" i="1"/>
  <c r="J485" i="1"/>
  <c r="K485" i="1" s="1"/>
  <c r="I486" i="1"/>
  <c r="J486" i="1"/>
  <c r="K486" i="1" s="1"/>
  <c r="I487" i="1"/>
  <c r="J487" i="1"/>
  <c r="K487" i="1" s="1"/>
  <c r="I488" i="1"/>
  <c r="J488" i="1"/>
  <c r="K488" i="1" s="1"/>
  <c r="I489" i="1"/>
  <c r="J489" i="1"/>
  <c r="K489" i="1" s="1"/>
  <c r="I490" i="1"/>
  <c r="J490" i="1"/>
  <c r="K490" i="1" s="1"/>
  <c r="I491" i="1"/>
  <c r="J491" i="1"/>
  <c r="K491" i="1" s="1"/>
  <c r="I492" i="1"/>
  <c r="J492" i="1"/>
  <c r="K492" i="1" s="1"/>
  <c r="I493" i="1"/>
  <c r="J493" i="1"/>
  <c r="K493" i="1" s="1"/>
  <c r="I494" i="1"/>
  <c r="J494" i="1"/>
  <c r="K494" i="1" s="1"/>
  <c r="I495" i="1"/>
  <c r="J495" i="1"/>
  <c r="K495" i="1" s="1"/>
  <c r="I496" i="1"/>
  <c r="J496" i="1"/>
  <c r="K496" i="1" s="1"/>
  <c r="I497" i="1"/>
  <c r="J497" i="1"/>
  <c r="K497" i="1" s="1"/>
  <c r="I499" i="1"/>
  <c r="J499" i="1"/>
  <c r="K499" i="1" s="1"/>
  <c r="I500" i="1"/>
  <c r="J500" i="1"/>
  <c r="K500" i="1" s="1"/>
  <c r="I501" i="1"/>
  <c r="J501" i="1"/>
  <c r="K501" i="1" s="1"/>
  <c r="I502" i="1"/>
  <c r="J502" i="1"/>
  <c r="K502" i="1" s="1"/>
  <c r="I503" i="1"/>
  <c r="J503" i="1"/>
  <c r="K503" i="1" s="1"/>
  <c r="I504" i="1"/>
  <c r="J504" i="1"/>
  <c r="K504" i="1" s="1"/>
  <c r="I505" i="1"/>
  <c r="J505" i="1"/>
  <c r="K505" i="1" s="1"/>
  <c r="I506" i="1"/>
  <c r="J506" i="1"/>
  <c r="K506" i="1" s="1"/>
  <c r="I507" i="1"/>
  <c r="J507" i="1"/>
  <c r="K507" i="1" s="1"/>
  <c r="I508" i="1"/>
  <c r="J508" i="1"/>
  <c r="K508" i="1" s="1"/>
  <c r="I509" i="1"/>
  <c r="J509" i="1"/>
  <c r="K509" i="1" s="1"/>
  <c r="I510" i="1"/>
  <c r="J510" i="1"/>
  <c r="K510" i="1" s="1"/>
  <c r="T143" i="1"/>
  <c r="T142" i="1" l="1"/>
  <c r="J385" i="1" l="1"/>
  <c r="T141" i="1" l="1"/>
  <c r="I369" i="1" l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1" i="1"/>
  <c r="I472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34" i="1"/>
  <c r="I333" i="1"/>
  <c r="T140" i="1" l="1"/>
  <c r="T139" i="1" l="1"/>
  <c r="J232" i="1" l="1"/>
  <c r="K232" i="1" s="1"/>
  <c r="J228" i="1" l="1"/>
  <c r="T138" i="1" l="1"/>
  <c r="T137" i="1" l="1"/>
  <c r="T136" i="1" l="1"/>
  <c r="J188" i="1" l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K228" i="1"/>
  <c r="J229" i="1"/>
  <c r="K229" i="1" s="1"/>
  <c r="J230" i="1"/>
  <c r="K230" i="1" s="1"/>
  <c r="J231" i="1"/>
  <c r="K231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K385" i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1" i="1"/>
  <c r="K471" i="1" s="1"/>
  <c r="J472" i="1"/>
  <c r="K472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7" i="1"/>
  <c r="K187" i="1" s="1"/>
  <c r="J34" i="1"/>
  <c r="K34" i="1" s="1"/>
  <c r="J33" i="1"/>
  <c r="K33" i="1" s="1"/>
  <c r="J32" i="1"/>
  <c r="K32" i="1" s="1"/>
  <c r="J31" i="1" l="1"/>
  <c r="K31" i="1" s="1"/>
  <c r="J30" i="1" l="1"/>
  <c r="K30" i="1" s="1"/>
  <c r="J29" i="1" l="1"/>
  <c r="K29" i="1" s="1"/>
  <c r="J28" i="1" l="1"/>
  <c r="K28" i="1" s="1"/>
  <c r="J27" i="1" l="1"/>
  <c r="K27" i="1" s="1"/>
  <c r="J26" i="1" l="1"/>
  <c r="K26" i="1" s="1"/>
  <c r="J25" i="1" l="1"/>
  <c r="K25" i="1" s="1"/>
  <c r="U141" i="1" l="1"/>
  <c r="U138" i="1"/>
  <c r="J24" i="1"/>
  <c r="K24" i="1" s="1"/>
  <c r="J23" i="1" l="1"/>
  <c r="K23" i="1" s="1"/>
  <c r="J22" i="1" l="1"/>
  <c r="K22" i="1" s="1"/>
  <c r="J21" i="1" l="1"/>
  <c r="K21" i="1" s="1"/>
  <c r="J20" i="1" l="1"/>
  <c r="K20" i="1" s="1"/>
  <c r="J19" i="1" l="1"/>
  <c r="K19" i="1" s="1"/>
  <c r="J18" i="1" l="1"/>
  <c r="K18" i="1" s="1"/>
  <c r="J17" i="1" l="1"/>
  <c r="K17" i="1" s="1"/>
  <c r="J16" i="1" l="1"/>
  <c r="K16" i="1" s="1"/>
  <c r="J15" i="1" l="1"/>
  <c r="K15" i="1" s="1"/>
  <c r="J14" i="1" l="1"/>
  <c r="K14" i="1" s="1"/>
  <c r="J13" i="1" l="1"/>
  <c r="K13" i="1" s="1"/>
  <c r="J12" i="1" l="1"/>
  <c r="K12" i="1" s="1"/>
  <c r="J11" i="1" l="1"/>
  <c r="K11" i="1" s="1"/>
  <c r="J10" i="1" l="1"/>
  <c r="K10" i="1" s="1"/>
  <c r="J9" i="1" l="1"/>
  <c r="K9" i="1" s="1"/>
  <c r="J8" i="1" l="1"/>
  <c r="K8" i="1" s="1"/>
  <c r="J7" i="1" l="1"/>
  <c r="K7" i="1" s="1"/>
  <c r="J6" i="1" l="1"/>
  <c r="K6" i="1" s="1"/>
  <c r="I5" i="1"/>
  <c r="J5" i="1"/>
  <c r="K5" i="1" s="1"/>
  <c r="I3" i="1" l="1"/>
  <c r="I4" i="1"/>
  <c r="J4" i="1"/>
  <c r="K4" i="1" s="1"/>
  <c r="J3" i="1" l="1"/>
  <c r="K3" i="1" s="1"/>
  <c r="U144" i="1" l="1"/>
  <c r="M2" i="1"/>
  <c r="N2" i="1"/>
  <c r="U147" i="1" l="1"/>
  <c r="U148" i="1" s="1"/>
  <c r="U149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REA Advertising</author>
  </authors>
  <commentList>
    <comment ref="C5" authorId="0" shapeId="0" xr:uid="{D8D810D2-7F3B-4F16-9BB3-934EEC2F1D42}">
      <text>
        <r>
          <rPr>
            <b/>
            <sz val="9"/>
            <color indexed="81"/>
            <rFont val="Tahoma"/>
            <family val="2"/>
          </rPr>
          <t xml:space="preserve">Proforma Invoice - 02 Jan 2025
Tax Invoice - 08 Jan 2025
Not changed report date. </t>
        </r>
      </text>
    </comment>
    <comment ref="C10" authorId="0" shapeId="0" xr:uid="{3B7EFFFD-02ED-4A2E-8A99-F8770C145DC7}">
      <text>
        <r>
          <rPr>
            <b/>
            <sz val="9"/>
            <color indexed="81"/>
            <rFont val="Tahoma"/>
            <family val="2"/>
          </rPr>
          <t xml:space="preserve">Proforma Invoice - 06 Jan 2025
Tax Invoice - 16 Jan 2025
Not changed report date.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 shapeId="0" xr:uid="{0BB4E691-72D5-4282-8672-C54764BA03ED}">
      <text>
        <r>
          <rPr>
            <b/>
            <sz val="9"/>
            <color indexed="81"/>
            <rFont val="Tahoma"/>
            <family val="2"/>
          </rPr>
          <t xml:space="preserve">Proforma Invoice - 07 Jan 2025
Tax Invoice - 15 Jan 2025
Not changed report date.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" authorId="0" shapeId="0" xr:uid="{64A73FE3-A465-4A3C-8864-8EE818EE191D}">
      <text>
        <r>
          <rPr>
            <b/>
            <sz val="9"/>
            <color indexed="81"/>
            <rFont val="Tahoma"/>
            <family val="2"/>
          </rPr>
          <t xml:space="preserve">Proforma Invoice - 09 Jan 2025
Tax Invoice - 10 Jan 2025
Not changed report date. </t>
        </r>
      </text>
    </comment>
    <comment ref="C21" authorId="0" shapeId="0" xr:uid="{D46DC85D-9B04-4515-88A7-FF7F3B8E1B12}">
      <text>
        <r>
          <rPr>
            <b/>
            <sz val="9"/>
            <color indexed="81"/>
            <rFont val="Tahoma"/>
            <family val="2"/>
          </rPr>
          <t xml:space="preserve">Proforma Invoice - 10 Jan 2025
Tax Invoice - 15 Jan 2025
Not changed report date.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3" authorId="0" shapeId="0" xr:uid="{2EDA1237-E2F4-4314-B003-D4E9C3EBA759}">
      <text>
        <r>
          <rPr>
            <b/>
            <sz val="9"/>
            <color indexed="81"/>
            <rFont val="Tahoma"/>
            <family val="2"/>
          </rPr>
          <t xml:space="preserve">Proforma Invoice - 17 Jan 2025
Tax Invoice - 20 Jan 2025
Not changed report date. 
</t>
        </r>
      </text>
    </comment>
    <comment ref="C46" authorId="0" shapeId="0" xr:uid="{144252E9-40E2-4DE9-ACE3-6BAFCA7A8262}">
      <text>
        <r>
          <rPr>
            <b/>
            <sz val="9"/>
            <color indexed="81"/>
            <rFont val="Tahoma"/>
            <family val="2"/>
          </rPr>
          <t xml:space="preserve">Proforma Invoice - 24 Jan 2025
Tax Invoice - 31 Jan 2025
Not changed report date. 
</t>
        </r>
      </text>
    </comment>
    <comment ref="C69" authorId="0" shapeId="0" xr:uid="{0B00736B-644E-4A2A-8A51-A64FF3E47A4B}">
      <text>
        <r>
          <rPr>
            <b/>
            <sz val="9"/>
            <color indexed="81"/>
            <rFont val="Tahoma"/>
            <family val="2"/>
          </rPr>
          <t xml:space="preserve">Proforma Invoice - 3 Feb 2025
Tax Invoice - 12 Feb 2025
Not changed report date. 
</t>
        </r>
      </text>
    </comment>
    <comment ref="C74" authorId="0" shapeId="0" xr:uid="{1C848730-CC56-4ADC-AEAD-4BBF7B722DDF}">
      <text>
        <r>
          <rPr>
            <b/>
            <sz val="9"/>
            <color indexed="81"/>
            <rFont val="Tahoma"/>
            <family val="2"/>
          </rPr>
          <t xml:space="preserve">Dummy Invoice - 31 Jan 2025.
Tax Invoice - 12 Feb  2025
Part of Jan accounts 2025.
</t>
        </r>
      </text>
    </comment>
    <comment ref="C75" authorId="0" shapeId="0" xr:uid="{4B0568D7-4620-4895-A47F-15E4A7C0209C}">
      <text>
        <r>
          <rPr>
            <b/>
            <sz val="9"/>
            <color indexed="81"/>
            <rFont val="Tahoma"/>
            <family val="2"/>
          </rPr>
          <t>Dummy Invoice - 31 Jan 2025.
Tax Invoice - 13 Feb  2025
Part of Jan accounts 2025.</t>
        </r>
      </text>
    </comment>
    <comment ref="C76" authorId="0" shapeId="0" xr:uid="{D97D95BE-EBBA-4DA0-9607-6A0DD70DD8F7}">
      <text>
        <r>
          <rPr>
            <b/>
            <sz val="9"/>
            <color indexed="81"/>
            <rFont val="Tahoma"/>
            <family val="2"/>
          </rPr>
          <t>Dummy Invoice - 31 Jan 2025.
Tax Invoice - 12 Feb  2025
Part of Jan accounts 2025.</t>
        </r>
      </text>
    </comment>
    <comment ref="C78" authorId="0" shapeId="0" xr:uid="{7F579FAE-4118-4D2A-98D6-F98C900172EE}">
      <text>
        <r>
          <rPr>
            <b/>
            <sz val="9"/>
            <color indexed="81"/>
            <rFont val="Tahoma"/>
            <family val="2"/>
          </rPr>
          <t>Dummy Invoice - 31 Jan 2025.
Tax Invoice - 6 Mar  2025
Part of Jan accounts 2025.</t>
        </r>
      </text>
    </comment>
    <comment ref="C79" authorId="0" shapeId="0" xr:uid="{7304C4FC-236C-454C-9819-3900F2C0D53B}">
      <text>
        <r>
          <rPr>
            <b/>
            <sz val="9"/>
            <color indexed="81"/>
            <rFont val="Tahoma"/>
            <family val="2"/>
          </rPr>
          <t>Dummy Invoice - 31 Jan 2025.
Tax Invoice - 18 Mar  2025
Part of Jan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2" authorId="0" shapeId="0" xr:uid="{3462C5CE-64A3-40E4-8FF0-3AF3DD2D1A91}">
      <text>
        <r>
          <rPr>
            <b/>
            <sz val="9"/>
            <color indexed="81"/>
            <rFont val="Tahoma"/>
            <family val="2"/>
          </rPr>
          <t>Proforma Invoice - 14 Feb 2025.
Tax Invoice - 20 Feb  2025
Part of Feb accounts 2025.</t>
        </r>
      </text>
    </comment>
    <comment ref="C105" authorId="0" shapeId="0" xr:uid="{B98B18EB-BD6C-4575-B6F0-1CB05E7EA1E7}">
      <text>
        <r>
          <rPr>
            <b/>
            <sz val="9"/>
            <color indexed="81"/>
            <rFont val="Tahoma"/>
            <family val="2"/>
          </rPr>
          <t>Updated Aurantius name to new name and TRN Number as per client request.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4" authorId="0" shapeId="0" xr:uid="{6382ACB9-C316-4A57-B60F-6EBCE59ADF4B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VOID No Confirmation</t>
        </r>
      </text>
    </comment>
    <comment ref="C131" authorId="0" shapeId="0" xr:uid="{FD6E6D6A-6E10-4286-92CA-8DE8D4E70281}">
      <text>
        <r>
          <rPr>
            <b/>
            <sz val="9"/>
            <color indexed="81"/>
            <rFont val="Tahoma"/>
            <family val="2"/>
          </rPr>
          <t>DUMMY Invoice - 29 Feb 2025.
Tax Invoice - 22 Mar  2025
Part of Feb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7" authorId="0" shapeId="0" xr:uid="{4E437569-E229-4E2B-BCA6-B0B05FAFC292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The Tax inv reported in mar accounts</t>
        </r>
      </text>
    </comment>
    <comment ref="C144" authorId="0" shapeId="0" xr:uid="{355D7A3B-788A-4B40-BCA9-B1BDE4051585}">
      <text>
        <r>
          <rPr>
            <b/>
            <sz val="9"/>
            <color indexed="81"/>
            <rFont val="Tahoma"/>
            <family val="2"/>
          </rPr>
          <t>Proforma Invoice - 06 Mar 2025.
Tax Invoice - 21 Apr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5" authorId="0" shapeId="0" xr:uid="{4E36E7AC-2662-495C-82DC-B2156E1FFCA1}">
      <text>
        <r>
          <rPr>
            <b/>
            <sz val="9"/>
            <color indexed="81"/>
            <rFont val="Tahoma"/>
            <family val="2"/>
          </rPr>
          <t>Proforma Invoice - 06 Mar 2025.
Tax Invoice - 17 Mar  2025
Part of Mar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3" authorId="0" shapeId="0" xr:uid="{361B4713-6762-4AF0-BBFB-417550BD1177}">
      <text>
        <r>
          <rPr>
            <b/>
            <sz val="9"/>
            <color indexed="81"/>
            <rFont val="Tahoma"/>
            <family val="2"/>
          </rPr>
          <t xml:space="preserve">Proforma Invoice - 11 Mar 2025.
Tax Invoice - 27 Mar  2025
Part of Mar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9" authorId="0" shapeId="0" xr:uid="{8A947ACE-5974-45BF-B211-0C03B2991151}">
      <text>
        <r>
          <rPr>
            <b/>
            <sz val="9"/>
            <color indexed="81"/>
            <rFont val="Tahoma"/>
            <family val="2"/>
          </rPr>
          <t>Proforma Invoice - 20 Mar 2025.
Tax Invoice - 28 Jun  2025
Part of Jun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7" authorId="0" shapeId="0" xr:uid="{3B5B9BBE-9979-4F39-BF6D-88D83E841ABA}">
      <text>
        <r>
          <rPr>
            <b/>
            <sz val="9"/>
            <color indexed="81"/>
            <rFont val="Tahoma"/>
            <family val="2"/>
          </rPr>
          <t>Dummy Invoice - 29 Mar 2025.
Tax Invoice - 23 Apr  2025
Part of Apr accounts 2025.</t>
        </r>
      </text>
    </comment>
    <comment ref="C188" authorId="0" shapeId="0" xr:uid="{F197A9E4-DDEE-4DF5-A378-22310FB5EBFE}">
      <text>
        <r>
          <rPr>
            <b/>
            <sz val="9"/>
            <color indexed="81"/>
            <rFont val="Tahoma"/>
            <family val="2"/>
          </rPr>
          <t>DUMMY Invoice - 29 mar 2025.
Tax Invoice - 3 Apr  2025
Part of Mar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3" authorId="0" shapeId="0" xr:uid="{84EA5B4C-1BEE-47C1-B3BA-647297D16465}">
      <text>
        <r>
          <rPr>
            <b/>
            <sz val="9"/>
            <color indexed="81"/>
            <rFont val="Tahoma"/>
            <family val="2"/>
          </rPr>
          <t>Proforma Invoice - 09 Apr 2025.
Tax Invoice - 10 Apr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6" authorId="0" shapeId="0" xr:uid="{23F74920-C511-438A-A212-A9A1EE9B3A0D}">
      <text>
        <r>
          <rPr>
            <b/>
            <sz val="9"/>
            <color indexed="81"/>
            <rFont val="Tahoma"/>
            <family val="2"/>
          </rPr>
          <t xml:space="preserve">
Proforma Invoice - 11 Apr 2025.
Tax Invoice - 22 Apr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6" authorId="0" shapeId="0" xr:uid="{CAD7EA5D-386B-49E3-9EA0-276CB3B912BA}">
      <text>
        <r>
          <rPr>
            <b/>
            <sz val="9"/>
            <color indexed="81"/>
            <rFont val="Tahoma"/>
            <family val="2"/>
          </rPr>
          <t>Proforma Invoice - 16 apr 2025.
Tax Invoice - 28 Apr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9" authorId="0" shapeId="0" xr:uid="{24991316-FCB2-4E1B-96E9-4A731EE2DACF}">
      <text>
        <r>
          <rPr>
            <b/>
            <sz val="9"/>
            <color indexed="81"/>
            <rFont val="Tahoma"/>
            <family val="2"/>
          </rPr>
          <t>Proforma Invoice - 19 Apr 2025.
Tax Invoice - 23 Apr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1" authorId="0" shapeId="0" xr:uid="{C716C1F1-7D76-4BFC-9F5A-1DEEFE34B16E}">
      <text>
        <r>
          <rPr>
            <b/>
            <sz val="9"/>
            <color indexed="81"/>
            <rFont val="Tahoma"/>
            <family val="2"/>
          </rPr>
          <t>Proforma Invoice - 19 Apr 2025.
Tax Invoice - 28 Apr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0" authorId="0" shapeId="0" xr:uid="{F7151081-83F3-4CCE-805A-CBEADCE296FE}">
      <text>
        <r>
          <rPr>
            <b/>
            <sz val="9"/>
            <color indexed="81"/>
            <rFont val="Tahoma"/>
            <family val="2"/>
          </rPr>
          <t>Proforma Invoice - 30 Apr 2025.
Tax Invoice - 27 May  2025
Part of May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1" authorId="0" shapeId="0" xr:uid="{4BBD50AA-EFF3-430E-858C-5EC8F4D0D358}">
      <text>
        <r>
          <rPr>
            <b/>
            <sz val="9"/>
            <color indexed="81"/>
            <rFont val="Tahoma"/>
            <family val="2"/>
          </rPr>
          <t>Proforma Invoice - 30 Apr 2025.
Tax Invoice - 5 May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2" authorId="0" shapeId="0" xr:uid="{E7E6D4A9-EE1B-4A3E-AD94-A2FA55F7100C}">
      <text>
        <r>
          <rPr>
            <b/>
            <sz val="9"/>
            <color indexed="81"/>
            <rFont val="Tahoma"/>
            <family val="2"/>
          </rPr>
          <t>Proforma Invoice - 30 Apr 2025.
Tax Invoice - 5 May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1" authorId="0" shapeId="0" xr:uid="{7C83918F-FB5A-4F6B-AEC1-69965757E46C}">
      <text>
        <r>
          <rPr>
            <b/>
            <sz val="9"/>
            <color indexed="81"/>
            <rFont val="Tahoma"/>
            <family val="2"/>
          </rPr>
          <t>Dummy Invoice - 30 Apr 2025.
Tax Invoice - 7 May  2025
Part of Apr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3" authorId="0" shapeId="0" xr:uid="{36572441-0AE3-4155-9468-9AAD7FC78830}">
      <text>
        <r>
          <rPr>
            <b/>
            <sz val="9"/>
            <color indexed="81"/>
            <rFont val="Tahoma"/>
            <family val="2"/>
          </rPr>
          <t xml:space="preserve">REA Advertising:
</t>
        </r>
        <r>
          <rPr>
            <sz val="9"/>
            <color indexed="81"/>
            <rFont val="Tahoma"/>
            <family val="2"/>
          </rPr>
          <t>The Tax inv reported in May accounts</t>
        </r>
      </text>
    </comment>
    <comment ref="C256" authorId="0" shapeId="0" xr:uid="{8B96356B-F18B-40A8-99CA-7D1DCB10B840}">
      <text>
        <r>
          <rPr>
            <b/>
            <sz val="9"/>
            <color indexed="81"/>
            <rFont val="Tahoma"/>
            <family val="2"/>
          </rPr>
          <t xml:space="preserve">REA Advertising:
</t>
        </r>
        <r>
          <rPr>
            <sz val="9"/>
            <color indexed="81"/>
            <rFont val="Tahoma"/>
            <family val="2"/>
          </rPr>
          <t xml:space="preserve">The Tax inv reported in May accounts
</t>
        </r>
      </text>
    </comment>
    <comment ref="C259" authorId="0" shapeId="0" xr:uid="{4F41B4E2-5C63-4562-94CD-6688A8492BB7}">
      <text>
        <r>
          <rPr>
            <b/>
            <sz val="9"/>
            <color indexed="81"/>
            <rFont val="Tahoma"/>
            <family val="2"/>
          </rPr>
          <t xml:space="preserve">Proforma Invoice - 5 May 2025.
Tax Invoice - 12 May  2025
Part of may accounts 2025.
</t>
        </r>
      </text>
    </comment>
    <comment ref="C265" authorId="0" shapeId="0" xr:uid="{2CC49622-7F4D-4260-95B0-471E205BD8B9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The Tax inv reported in Apr accounts</t>
        </r>
      </text>
    </comment>
    <comment ref="C270" authorId="0" shapeId="0" xr:uid="{16EA8E43-04CB-4D34-BF9E-5DC95B2FCE7F}">
      <text>
        <r>
          <rPr>
            <b/>
            <sz val="9"/>
            <color indexed="81"/>
            <rFont val="Tahoma"/>
            <family val="2"/>
          </rPr>
          <t>Proforma Invoice - 7 May 2025.
Tax Invoice - 19 May  2025
Part of May accounts 2025.</t>
        </r>
      </text>
    </comment>
    <comment ref="C274" authorId="0" shapeId="0" xr:uid="{97C9B89E-939C-4259-B33E-F94659FFFD30}">
      <text>
        <r>
          <rPr>
            <b/>
            <sz val="9"/>
            <color indexed="81"/>
            <rFont val="Tahoma"/>
            <family val="2"/>
          </rPr>
          <t>Proforma Invoice - 8 May 2025.
Tax Invoice - 15 May  2025
Part of May accounts 2025.</t>
        </r>
      </text>
    </comment>
    <comment ref="C294" authorId="0" shapeId="0" xr:uid="{050445C3-7315-4B88-B994-D852680332CA}">
      <text>
        <r>
          <rPr>
            <b/>
            <sz val="9"/>
            <color indexed="81"/>
            <rFont val="Tahoma"/>
            <family val="2"/>
          </rPr>
          <t>Proforma Invoice - 17 May 2025.
Tax Invoice - 31 May  2025
Part of May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7" authorId="0" shapeId="0" xr:uid="{40DF358D-A11B-4EAF-BEA9-6628EB8E269B}">
      <text>
        <r>
          <rPr>
            <b/>
            <sz val="9"/>
            <color indexed="81"/>
            <rFont val="Tahoma"/>
            <family val="2"/>
          </rPr>
          <t>Proforma Invoice - 21 May 2025.
Tax Invoice - 30 May  2025
Part of May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29" authorId="0" shapeId="0" xr:uid="{7E3A2A21-F941-43AA-9CEA-491329B75844}">
      <text>
        <r>
          <rPr>
            <b/>
            <sz val="9"/>
            <color indexed="81"/>
            <rFont val="Tahoma"/>
            <family val="2"/>
          </rPr>
          <t>Proforma Invoice - 12 Jun 2025.
Tax Invoice - 18 Jun  2025
Part of Jun accounts 2025.</t>
        </r>
      </text>
    </comment>
    <comment ref="C346" authorId="0" shapeId="0" xr:uid="{C9ABB945-9A0B-4C9E-9BA9-D229B4BA913D}">
      <text>
        <r>
          <rPr>
            <b/>
            <sz val="9"/>
            <color indexed="81"/>
            <rFont val="Tahoma"/>
            <family val="2"/>
          </rPr>
          <t>Proforma Invoice - 16 Jun 2025.
Tax Invoice - 23 Jul  2025
Part of Jun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60" authorId="0" shapeId="0" xr:uid="{2927F883-D4BD-4A49-97B3-69276E4DA546}">
      <text>
        <r>
          <rPr>
            <b/>
            <sz val="9"/>
            <color indexed="81"/>
            <rFont val="Tahoma"/>
            <family val="2"/>
          </rPr>
          <t xml:space="preserve">Proforma Invoice - 23 Jun 2025.
Tax Invoice - 6 Aug  2025
Part of Jun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69" authorId="0" shapeId="0" xr:uid="{83563E7E-91AA-4659-956B-34B6E86FA0EC}">
      <text>
        <r>
          <rPr>
            <b/>
            <sz val="9"/>
            <color indexed="81"/>
            <rFont val="Tahoma"/>
            <family val="2"/>
          </rPr>
          <t>Proforma Invoice - 28 Jun 2025.
Tax Invoice - 2 Jul  2025
Part of Jun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6" authorId="0" shapeId="0" xr:uid="{30537E41-89FF-4BFE-9D5E-9E5860256315}">
      <text>
        <r>
          <rPr>
            <b/>
            <sz val="9"/>
            <color indexed="81"/>
            <rFont val="Tahoma"/>
            <family val="2"/>
          </rPr>
          <t>Proforma Invoice - 2 Jul 2025.
Tax Invoice - 4 Jul  2025
Part of Jul accounts 2025.</t>
        </r>
      </text>
    </comment>
    <comment ref="C385" authorId="0" shapeId="0" xr:uid="{EE5B1F24-5B01-4F8D-A0D6-3C2D3711366B}">
      <text>
        <r>
          <rPr>
            <b/>
            <sz val="9"/>
            <color indexed="81"/>
            <rFont val="Tahoma"/>
            <family val="2"/>
          </rPr>
          <t xml:space="preserve">Proforma Invoice - 10 Jul 2025.
Tax Invoice - 30 Aug  2025
Part of Jul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93" authorId="0" shapeId="0" xr:uid="{EFC104CF-68D2-42DC-A0BA-A65CB8D5FC8D}">
      <text>
        <r>
          <rPr>
            <b/>
            <sz val="9"/>
            <color indexed="81"/>
            <rFont val="Tahoma"/>
            <family val="2"/>
          </rPr>
          <t xml:space="preserve">Proforma Invoice - 21 Jun 2025.
Tax Invoice - 22 Jul  2025
Part of Jul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99" authorId="0" shapeId="0" xr:uid="{3005DAD9-3614-461B-B299-DD8883805A91}">
      <text>
        <r>
          <rPr>
            <b/>
            <sz val="9"/>
            <color indexed="81"/>
            <rFont val="Tahoma"/>
            <family val="2"/>
          </rPr>
          <t>Proforma Invoice - 21 Jun 2025.
Tax Invoice - 22 Jul  2025
Part of Jul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10" authorId="0" shapeId="0" xr:uid="{9D920548-1F25-4DC1-B192-631142930198}">
      <text>
        <r>
          <rPr>
            <b/>
            <sz val="9"/>
            <color indexed="81"/>
            <rFont val="Tahoma"/>
            <family val="2"/>
          </rPr>
          <t xml:space="preserve">Proforma Invoice - 30 Jun 2025.
Tax Invoice - 20 Aug  2025
Part of Jul accounts 2025.
</t>
        </r>
      </text>
    </comment>
    <comment ref="C417" authorId="0" shapeId="0" xr:uid="{ED85D628-A71F-464C-944E-00CED5D5A1C7}">
      <text>
        <r>
          <rPr>
            <b/>
            <sz val="9"/>
            <color indexed="81"/>
            <rFont val="Tahoma"/>
            <family val="2"/>
          </rPr>
          <t>Dummy Invoice - 31 Jul 2025.
Tax Invoice - 11 Aug  2025
Part of Jul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18" authorId="0" shapeId="0" xr:uid="{75ED408E-8413-4785-B2D2-AC54D190DD5B}">
      <text>
        <r>
          <rPr>
            <b/>
            <sz val="9"/>
            <color indexed="81"/>
            <rFont val="Tahoma"/>
            <family val="2"/>
          </rPr>
          <t xml:space="preserve">Dummy Invoice - 31 Jul 2025.
Tax Invoice - 1 Aug  2025
Part of Jul accounts 2025.
</t>
        </r>
      </text>
    </comment>
    <comment ref="C456" authorId="0" shapeId="0" xr:uid="{89BFB409-6D33-456E-A3DA-6BBCA3CDD38A}">
      <text>
        <r>
          <rPr>
            <b/>
            <sz val="9"/>
            <color indexed="81"/>
            <rFont val="Tahoma"/>
            <family val="2"/>
          </rPr>
          <t>Proforma Invoice - 29  Aug
 2025.
Tax Invoice - 4 Oct  2025
Part of Aug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68" authorId="0" shapeId="0" xr:uid="{809720FC-360C-42D3-8A79-CE9FCA468B63}">
      <text>
        <r>
          <rPr>
            <b/>
            <sz val="9"/>
            <color indexed="81"/>
            <rFont val="Tahoma"/>
            <family val="2"/>
          </rPr>
          <t>Dummy Invoice - 30 Aug 2025.
Tax Invoice - 12 Sep 2025
Part of Aug accounts 2025.</t>
        </r>
      </text>
    </comment>
    <comment ref="C469" authorId="0" shapeId="0" xr:uid="{781B320E-4431-4285-9EFF-5AB308CB16BD}">
      <text>
        <r>
          <rPr>
            <b/>
            <sz val="9"/>
            <color indexed="81"/>
            <rFont val="Tahoma"/>
            <family val="2"/>
          </rPr>
          <t>Dummy Invoice - 30 Aug 2025.
Tax Invoice - 11
 Sep  2025
Part of Aug accounts 2025.</t>
        </r>
      </text>
    </comment>
    <comment ref="C471" authorId="0" shapeId="0" xr:uid="{071E68B6-B5E9-448C-A477-000E9DFFD8F4}">
      <text>
        <r>
          <rPr>
            <b/>
            <sz val="9"/>
            <color indexed="81"/>
            <rFont val="Tahoma"/>
            <family val="2"/>
          </rPr>
          <t>Dummy Invoice - 30 Aug 2025.
Tax Invoice - 12
 Sep  2025
Part of Aug accounts 2025.</t>
        </r>
      </text>
    </comment>
    <comment ref="C477" authorId="0" shapeId="0" xr:uid="{F2991E52-526F-4F7F-A69A-68AC0FDCD178}">
      <text>
        <r>
          <rPr>
            <b/>
            <sz val="9"/>
            <color indexed="81"/>
            <rFont val="Tahoma"/>
            <family val="2"/>
          </rPr>
          <t>Proforma Invoice - 3 Sep 2025.
Tax Invoice - 8 Sep 2025.</t>
        </r>
      </text>
    </comment>
    <comment ref="C478" authorId="0" shapeId="0" xr:uid="{1CC73CAD-67F8-4C73-BC5F-EEAB0D08AE6C}">
      <text>
        <r>
          <rPr>
            <b/>
            <sz val="9"/>
            <color indexed="81"/>
            <rFont val="Tahoma"/>
            <family val="2"/>
          </rPr>
          <t>Proforma Invoice - 3 Sep 2025.
Tax Invoice - 9 Sep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81" authorId="0" shapeId="0" xr:uid="{0742B378-FEA1-485F-B31E-497109B64102}">
      <text>
        <r>
          <rPr>
            <b/>
            <sz val="9"/>
            <color indexed="81"/>
            <rFont val="Tahoma"/>
            <family val="2"/>
          </rPr>
          <t>Proforma Invoice - 3 Sep 2025.
Tax Invoice - 11
 Sep 2025.</t>
        </r>
      </text>
    </comment>
    <comment ref="C521" authorId="0" shapeId="0" xr:uid="{1A18A38C-529C-4985-8693-A3B07521C5DE}">
      <text>
        <r>
          <rPr>
            <b/>
            <sz val="9"/>
            <color indexed="81"/>
            <rFont val="Tahoma"/>
            <family val="2"/>
          </rPr>
          <t>Proforma Invoice - 24 Sep 2025.
Tax Invoice - 25 Sep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4" authorId="0" shapeId="0" xr:uid="{2210A2F4-3048-4314-B4B2-8AD2809D745C}">
      <text>
        <r>
          <rPr>
            <b/>
            <sz val="9"/>
            <color indexed="81"/>
            <rFont val="Tahoma"/>
            <family val="2"/>
          </rPr>
          <t>Proforma Invoice - 8 Oct 2025.
Tax Invoice - 15 Oct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0" authorId="0" shapeId="0" xr:uid="{D24D73BF-F8C9-41AB-9DD7-A0FA8D202BEE}">
      <text>
        <r>
          <rPr>
            <b/>
            <sz val="9"/>
            <color indexed="81"/>
            <rFont val="Tahoma"/>
            <family val="2"/>
          </rPr>
          <t>Dummy Invoice - 31 Oct 2025.
Tax Invoice - 5 Nov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2" authorId="0" shapeId="0" xr:uid="{F376A84B-FEF1-4066-9AC1-F9F8C48E11D8}">
      <text>
        <r>
          <rPr>
            <b/>
            <sz val="9"/>
            <color indexed="81"/>
            <rFont val="Tahoma"/>
            <family val="2"/>
          </rPr>
          <t>Proforma Invoice - 31 Oct 2025.
Tax Invoice - 11 Nov  2025
Part of Oct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3" authorId="0" shapeId="0" xr:uid="{1B3A7093-476B-4EAD-8EEA-A7B76682074C}">
      <text>
        <r>
          <rPr>
            <b/>
            <sz val="9"/>
            <color indexed="81"/>
            <rFont val="Tahoma"/>
            <family val="2"/>
          </rPr>
          <t>Proforma Invoice - 31 Oct 2025.
Tax Invoice - 4 Dec  2025
Part of Oct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5" authorId="0" shapeId="0" xr:uid="{75D7C304-8125-4F5D-A613-5FB35E61D79E}">
      <text>
        <r>
          <rPr>
            <b/>
            <sz val="9"/>
            <color indexed="81"/>
            <rFont val="Tahoma"/>
            <family val="2"/>
          </rPr>
          <t>Proforma Invoice - 26 Nov 2025.
Tax Invoice - 8 Dec 2025
Part of Nov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6" authorId="0" shapeId="0" xr:uid="{F1C973E8-277C-44C4-93C1-60F491F7C2C9}">
      <text>
        <r>
          <rPr>
            <b/>
            <sz val="9"/>
            <color indexed="81"/>
            <rFont val="Tahoma"/>
            <family val="2"/>
          </rPr>
          <t>Dummy Invoice - 29 Nov 2025.
Tax Invoice - 3 Dec  2025
Part of Nov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7" authorId="0" shapeId="0" xr:uid="{E2417C75-8862-4A8C-851D-B8F249FE65D6}">
      <text>
        <r>
          <rPr>
            <b/>
            <sz val="9"/>
            <color indexed="81"/>
            <rFont val="Tahoma"/>
            <family val="2"/>
          </rPr>
          <t xml:space="preserve">Dummy Invoice - 29 Nov 2025.
Tax Invoice - 3 Dec  2025
Part of Nov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8" authorId="0" shapeId="0" xr:uid="{8A27B61D-E449-4C27-8903-A96A03A0A780}">
      <text>
        <r>
          <rPr>
            <b/>
            <sz val="9"/>
            <color indexed="81"/>
            <rFont val="Tahoma"/>
            <family val="2"/>
          </rPr>
          <t xml:space="preserve">Dummy Invoice - 29 Nov 2025.
Tax Invoice - 3 Dec  2025
Part of Nov accounts 2025.
</t>
        </r>
      </text>
    </comment>
    <comment ref="C689" authorId="0" shapeId="0" xr:uid="{5C64D530-B87A-4523-A5C6-394BF19A7729}">
      <text>
        <r>
          <rPr>
            <b/>
            <sz val="9"/>
            <color indexed="81"/>
            <rFont val="Tahoma"/>
            <family val="2"/>
          </rPr>
          <t xml:space="preserve">Dummy Invoice - 29 Nov 2025.
Tax Invoice - 3 Dec  2025
Part of Nov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0" authorId="0" shapeId="0" xr:uid="{7A0BF519-1BFA-4F04-8E17-D258491CA464}">
      <text>
        <r>
          <rPr>
            <b/>
            <sz val="9"/>
            <color indexed="81"/>
            <rFont val="Tahoma"/>
            <family val="2"/>
          </rPr>
          <t xml:space="preserve">Dummy Invoice - 29 Nov 2025.
Tax Invoice - 3 Dec  2025
Part of Nov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1" authorId="0" shapeId="0" xr:uid="{438D4DD6-BE19-4163-A44D-3D605E58F9B3}">
      <text>
        <r>
          <rPr>
            <b/>
            <sz val="9"/>
            <color indexed="81"/>
            <rFont val="Tahoma"/>
            <family val="2"/>
          </rPr>
          <t xml:space="preserve">Dummy Invoice - 29 Nov 2025.
Tax Invoice - 11 Dec  2025
Part of Nov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2" authorId="0" shapeId="0" xr:uid="{5B12AF0A-6F27-4ACB-921E-574618D2E42D}">
      <text>
        <r>
          <rPr>
            <b/>
            <sz val="9"/>
            <color indexed="81"/>
            <rFont val="Tahoma"/>
            <family val="2"/>
          </rPr>
          <t>Dummy Invoice - 29 Nov 2025.
Tax Invoice - 3 Dec  2025
Part of Nov accounts 2025.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3" authorId="0" shapeId="0" xr:uid="{0302D340-F925-4394-AB87-199A7C49E66E}">
      <text>
        <r>
          <rPr>
            <b/>
            <sz val="9"/>
            <color indexed="81"/>
            <rFont val="Tahoma"/>
            <family val="2"/>
          </rPr>
          <t xml:space="preserve">Dummy Invoice - 29 Nov 2025.
Tax Invoice - 5 Dec  2025
Part of Nov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4" authorId="0" shapeId="0" xr:uid="{B02EDADD-74F5-4362-90F5-989B4288F639}">
      <text>
        <r>
          <rPr>
            <b/>
            <sz val="9"/>
            <color indexed="81"/>
            <rFont val="Tahoma"/>
            <family val="2"/>
          </rPr>
          <t xml:space="preserve">Dummy Invoice - 29 Nov 2025.
Tax Invoice - 5 Dec  2025
Part of Nov accounts 2025.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01" authorId="0" shapeId="0" xr:uid="{68B9D0FE-FFC1-40A2-A8B7-778E85DACDD3}">
      <text>
        <r>
          <rPr>
            <b/>
            <sz val="9"/>
            <color indexed="81"/>
            <rFont val="Tahoma"/>
            <family val="2"/>
          </rPr>
          <t>Tax Inv raised in 14 Nov and the inv past of Dec month account.</t>
        </r>
      </text>
    </comment>
  </commentList>
</comments>
</file>

<file path=xl/sharedStrings.xml><?xml version="1.0" encoding="utf-8"?>
<sst xmlns="http://schemas.openxmlformats.org/spreadsheetml/2006/main" count="3509" uniqueCount="1716">
  <si>
    <t>CLIENT</t>
  </si>
  <si>
    <t>INVOICE NO.</t>
  </si>
  <si>
    <t>INVOICE DATE</t>
  </si>
  <si>
    <t>CLIENT TRN</t>
  </si>
  <si>
    <t>DESCRIPTION</t>
  </si>
  <si>
    <t>INVOICE SUB-TOTAL</t>
  </si>
  <si>
    <t>REBATE</t>
  </si>
  <si>
    <t>INVOICE SUB-TOTAL AFTER REBATE</t>
  </si>
  <si>
    <t>VAT % AMOUNT</t>
  </si>
  <si>
    <t>TOTAL INVOICE AMOUNT</t>
  </si>
  <si>
    <t>Sales Person</t>
  </si>
  <si>
    <t>REENA</t>
  </si>
  <si>
    <t>Navitas Middle East FZ - LLC</t>
  </si>
  <si>
    <t>100430750800003</t>
  </si>
  <si>
    <t>IN</t>
  </si>
  <si>
    <t>Dummy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</si>
  <si>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</si>
  <si>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</si>
  <si>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</si>
  <si>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</si>
  <si>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</si>
  <si>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</si>
  <si>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</si>
  <si>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</si>
  <si>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</si>
  <si>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</si>
  <si>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</si>
  <si>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</si>
  <si>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25-0001</t>
  </si>
  <si>
    <t>Name Badge</t>
  </si>
  <si>
    <t>Regent Institute Middle East FZ-LLC</t>
  </si>
  <si>
    <t>25-0002</t>
  </si>
  <si>
    <t>100599136700003</t>
  </si>
  <si>
    <t>Bag, Bottle, Pen, Notebook, Welcome card</t>
  </si>
  <si>
    <t>J C S ARTIFICIAL FLOWERS &amp; PLANTS TRADING L.L.C</t>
  </si>
  <si>
    <t>25-0003</t>
  </si>
  <si>
    <t>100601936600003</t>
  </si>
  <si>
    <t>Polo Shirt, Vest</t>
  </si>
  <si>
    <t>DHR MENA FZ-LLC</t>
  </si>
  <si>
    <t>25-0004</t>
  </si>
  <si>
    <t>100345098600003</t>
  </si>
  <si>
    <t>Recycled Stainless Steel Vacuum Bottle with Loop</t>
  </si>
  <si>
    <t>Sea Centre Shipping Services LLC</t>
  </si>
  <si>
    <t>25-0005</t>
  </si>
  <si>
    <t>104020118600003</t>
  </si>
  <si>
    <t>Wall Calendar 2025</t>
  </si>
  <si>
    <t>BNI Polaris</t>
  </si>
  <si>
    <t>25-0006</t>
  </si>
  <si>
    <t>Meeting Expenses 03/Jan/2025</t>
  </si>
  <si>
    <t>BNI</t>
  </si>
  <si>
    <t>25-0007</t>
  </si>
  <si>
    <t xml:space="preserve">GMR- Indo Tausch Trading DMCC </t>
  </si>
  <si>
    <t>100484375900003</t>
  </si>
  <si>
    <r>
      <t xml:space="preserve">Business Card- </t>
    </r>
    <r>
      <rPr>
        <b/>
        <sz val="10"/>
        <color theme="1"/>
        <rFont val="Calibri"/>
        <family val="2"/>
      </rPr>
      <t>Amit Kumar Partani</t>
    </r>
  </si>
  <si>
    <t>DAPTAVE</t>
  </si>
  <si>
    <t>25-0008</t>
  </si>
  <si>
    <t>Indoor Signage</t>
  </si>
  <si>
    <t>ANAND</t>
  </si>
  <si>
    <t>IDP EDUCATION L.L.C</t>
  </si>
  <si>
    <t>25-0009</t>
  </si>
  <si>
    <t>100593105800003</t>
  </si>
  <si>
    <t>Meeting Room Glass branding</t>
  </si>
  <si>
    <t>Ms. Karine Leonian</t>
  </si>
  <si>
    <t>25-0010</t>
  </si>
  <si>
    <t>Wall Calendar</t>
  </si>
  <si>
    <t>Secured Medical Direction MEA FZE</t>
  </si>
  <si>
    <t>25-0011</t>
  </si>
  <si>
    <t>Poster with matt lamination (Digital print), Flyers, Business Card, Vinyl mounted on 10mm foam board</t>
  </si>
  <si>
    <t>Trane BVBA (Dubai Branch)</t>
  </si>
  <si>
    <t>Business cards - MTA (Mahmoud Ramadan)</t>
  </si>
  <si>
    <t>25-0012</t>
  </si>
  <si>
    <t>25-0013</t>
  </si>
  <si>
    <t>25-0014</t>
  </si>
  <si>
    <t>25-0015</t>
  </si>
  <si>
    <t>25-0016</t>
  </si>
  <si>
    <t>25-0017</t>
  </si>
  <si>
    <t>25-0018</t>
  </si>
  <si>
    <t>25-0019</t>
  </si>
  <si>
    <t>100235699400003</t>
  </si>
  <si>
    <t>Business cards (500 x 3 names)</t>
  </si>
  <si>
    <t>Posters, Glass branding, A3 Posters</t>
  </si>
  <si>
    <t>Business cards  (Mohammed Rasin)</t>
  </si>
  <si>
    <t>North Telecom LLC</t>
  </si>
  <si>
    <t xml:space="preserve">Gift Hampers, Travel Cable Kit-Black Rubber Coated  </t>
  </si>
  <si>
    <t>100399980000003</t>
  </si>
  <si>
    <t>Access cards printing (4 names)</t>
  </si>
  <si>
    <t>Desk Calendar 2025</t>
  </si>
  <si>
    <t>Paragon Properties</t>
  </si>
  <si>
    <t>100612894400003</t>
  </si>
  <si>
    <t>Signage with frames</t>
  </si>
  <si>
    <t>MELVIN</t>
  </si>
  <si>
    <t>25-0020</t>
  </si>
  <si>
    <t xml:space="preserve">Meeting Expenses 10/Jan/2025 </t>
  </si>
  <si>
    <t>25-0021</t>
  </si>
  <si>
    <t>25-0022</t>
  </si>
  <si>
    <t xml:space="preserve">Rollup Banner </t>
  </si>
  <si>
    <t xml:space="preserve">Aurantius Real Estate Broker </t>
  </si>
  <si>
    <t>104166051300003</t>
  </si>
  <si>
    <t xml:space="preserve">Trophy </t>
  </si>
  <si>
    <t>Huxley Associates Global Limited</t>
  </si>
  <si>
    <t>25-0023</t>
  </si>
  <si>
    <t>100349055200003</t>
  </si>
  <si>
    <t>Dummy Cheque</t>
  </si>
  <si>
    <t>Aishwarya Searing</t>
  </si>
  <si>
    <t>25-0024</t>
  </si>
  <si>
    <t>Thermo Fisher Scientific Middle East</t>
  </si>
  <si>
    <t>25-0025</t>
  </si>
  <si>
    <t>Recycled 6-in-1 Charging Cable and Bamboo Pen</t>
  </si>
  <si>
    <t>100225882800003</t>
  </si>
  <si>
    <t>25-0026</t>
  </si>
  <si>
    <t>Desk calendar 2025, Test Date cards and Test date poster</t>
  </si>
  <si>
    <t>Lloyds Energy DMCC</t>
  </si>
  <si>
    <t>25-0027</t>
  </si>
  <si>
    <t>100056728700003</t>
  </si>
  <si>
    <r>
      <t xml:space="preserve">Business cards </t>
    </r>
    <r>
      <rPr>
        <b/>
        <sz val="10"/>
        <color theme="1"/>
        <rFont val="Calibri"/>
        <family val="2"/>
      </rPr>
      <t>(Chalid Arrab)</t>
    </r>
  </si>
  <si>
    <t>25-0028</t>
  </si>
  <si>
    <r>
      <t>Business cards</t>
    </r>
    <r>
      <rPr>
        <b/>
        <sz val="10"/>
        <color theme="1"/>
        <rFont val="Calibri"/>
        <family val="2"/>
      </rPr>
      <t xml:space="preserve"> (Jatin Gupta)</t>
    </r>
  </si>
  <si>
    <t>25-0029</t>
  </si>
  <si>
    <t>100399495900003</t>
  </si>
  <si>
    <r>
      <t xml:space="preserve">Business cards </t>
    </r>
    <r>
      <rPr>
        <b/>
        <sz val="10"/>
        <color theme="1"/>
        <rFont val="Calibri"/>
        <family val="2"/>
      </rPr>
      <t>(300x2 names)</t>
    </r>
  </si>
  <si>
    <t>25-0032</t>
  </si>
  <si>
    <t xml:space="preserve">Meeting Expenses 17/Jan/2025 </t>
  </si>
  <si>
    <t>25-0030</t>
  </si>
  <si>
    <t>25-0031</t>
  </si>
  <si>
    <t>25-0033</t>
  </si>
  <si>
    <t>25-0034</t>
  </si>
  <si>
    <t>25-0035</t>
  </si>
  <si>
    <t>25-0036</t>
  </si>
  <si>
    <t>25-0037</t>
  </si>
  <si>
    <t>25-0038</t>
  </si>
  <si>
    <t>25-0039</t>
  </si>
  <si>
    <t>25-0040</t>
  </si>
  <si>
    <t>25-0041</t>
  </si>
  <si>
    <t>25-0042</t>
  </si>
  <si>
    <t>25-0043</t>
  </si>
  <si>
    <t xml:space="preserve">ADIRONDACK ARCHITECTURAL MODELS INDUSTRY L.L.C </t>
  </si>
  <si>
    <t xml:space="preserve">Vehicle branding: </t>
  </si>
  <si>
    <t>104061117800003</t>
  </si>
  <si>
    <t>Gloace Fintax Consultants FZCO</t>
  </si>
  <si>
    <t>104357476100001</t>
  </si>
  <si>
    <t>Rollup Banner</t>
  </si>
  <si>
    <t>Beckman Coulter International S A (Dubai Br)</t>
  </si>
  <si>
    <t xml:space="preserve">Customized Lanyard </t>
  </si>
  <si>
    <t>100330554500003</t>
  </si>
  <si>
    <t>Onboard Sky Freight Services L.L.C</t>
  </si>
  <si>
    <t>Business Card</t>
  </si>
  <si>
    <t xml:space="preserve">Linea Strong </t>
  </si>
  <si>
    <t>Brochure - Huron University, Canada</t>
  </si>
  <si>
    <t>Continental Middle East DMCC</t>
  </si>
  <si>
    <t>Business cards (Khalid Abdulla, Gagandeep Mishra)</t>
  </si>
  <si>
    <t>100377505100003</t>
  </si>
  <si>
    <t>Enara Properties</t>
  </si>
  <si>
    <t>Business card (only designing), Poster</t>
  </si>
  <si>
    <t>Mr. Graham</t>
  </si>
  <si>
    <t>Printing of Birthday banner for Hudson</t>
  </si>
  <si>
    <t>Gulftainer Company Limited</t>
  </si>
  <si>
    <t>Carbon Copy Book - Isolation Permit</t>
  </si>
  <si>
    <t>100290916400003</t>
  </si>
  <si>
    <t>Business cards - Thermo king (Kamel Khoualed, Dmitry Nazarov)</t>
  </si>
  <si>
    <t xml:space="preserve">George Brown College </t>
  </si>
  <si>
    <t xml:space="preserve">Brochure and Flyer </t>
  </si>
  <si>
    <t>Locke Lifestyle Properties</t>
  </si>
  <si>
    <t xml:space="preserve">Metal badge  </t>
  </si>
  <si>
    <t>25-0044</t>
  </si>
  <si>
    <t>25-0045</t>
  </si>
  <si>
    <t>25-0046</t>
  </si>
  <si>
    <t>25-0047</t>
  </si>
  <si>
    <t>25-0048</t>
  </si>
  <si>
    <t>25-0049</t>
  </si>
  <si>
    <t>Al Tayer Insignia LLC</t>
  </si>
  <si>
    <t>100052630900003</t>
  </si>
  <si>
    <t>Trophy</t>
  </si>
  <si>
    <t xml:space="preserve">Meeting Expenses 24/Jan/2025 </t>
  </si>
  <si>
    <t>Buildmate Technical Services LLC</t>
  </si>
  <si>
    <t>100558868400003</t>
  </si>
  <si>
    <t>Polo Shirt</t>
  </si>
  <si>
    <t>Business cards - Thermo king (Peter Meroi)</t>
  </si>
  <si>
    <t>Business cards (Remy Moussa)</t>
  </si>
  <si>
    <t>25-0050</t>
  </si>
  <si>
    <t>25-0051</t>
  </si>
  <si>
    <t>25-0052</t>
  </si>
  <si>
    <t>25-0053</t>
  </si>
  <si>
    <t>Brochure (15 artwork)</t>
  </si>
  <si>
    <t>IBM Global Middle East FZCO</t>
  </si>
  <si>
    <t>100606938700003</t>
  </si>
  <si>
    <t xml:space="preserve">Notepad and World Map </t>
  </si>
  <si>
    <t>AL RASHED UNITED DMCC</t>
  </si>
  <si>
    <t xml:space="preserve">Paper bags </t>
  </si>
  <si>
    <t>100246622300003</t>
  </si>
  <si>
    <t>Taz Rajabali</t>
  </si>
  <si>
    <t>Flags (Only flags) L Shape</t>
  </si>
  <si>
    <t>25-0054</t>
  </si>
  <si>
    <t>Business cards  (Mohamed Bamatrf)</t>
  </si>
  <si>
    <t>25-0055</t>
  </si>
  <si>
    <t>25-0056</t>
  </si>
  <si>
    <t>25-0057</t>
  </si>
  <si>
    <t>25-0058</t>
  </si>
  <si>
    <t>25-0059</t>
  </si>
  <si>
    <t>25-0060</t>
  </si>
  <si>
    <t>25-0061</t>
  </si>
  <si>
    <t>ROADSHOW - 25-JAN-25, INTERCONTINENTAL, ABU DHABI</t>
  </si>
  <si>
    <t>ROADSHOW - 26-JAN-25, GRAND HYATT - DUBAI</t>
  </si>
  <si>
    <t>ROADSHOW - 25/26-JAN-25,DUBAI &amp; ABU DHABI</t>
  </si>
  <si>
    <t>Conference Room Names - 7th Floor and Ploter cut skyline</t>
  </si>
  <si>
    <t>Rubber Stamp</t>
  </si>
  <si>
    <t xml:space="preserve">Tents and Existing Backdrop skin change </t>
  </si>
  <si>
    <t xml:space="preserve">Trophy, Printing on trophy large </t>
  </si>
  <si>
    <t>Polo Shirt and Re-done Embroidery</t>
  </si>
  <si>
    <t>25-0062</t>
  </si>
  <si>
    <t>25-0063</t>
  </si>
  <si>
    <t>25-0064</t>
  </si>
  <si>
    <t>25-0065</t>
  </si>
  <si>
    <t>BLS LAD CHARTERED ACCOUNTANTS LLC</t>
  </si>
  <si>
    <t>100357500600003</t>
  </si>
  <si>
    <t>Business cards ( 200 x 2 names)</t>
  </si>
  <si>
    <t xml:space="preserve">Meeting Expenses 31/Jan/2025 </t>
  </si>
  <si>
    <t>Al Suhail Ship Maintenance Services</t>
  </si>
  <si>
    <t>100284828900003</t>
  </si>
  <si>
    <t xml:space="preserve">Business cards and Gate fold brochure </t>
  </si>
  <si>
    <t>Mini Royal Creative Metal Coating L.L.C</t>
  </si>
  <si>
    <t>Delivery Note and Receipt voucher</t>
  </si>
  <si>
    <t>25-0066</t>
  </si>
  <si>
    <t>25-0067</t>
  </si>
  <si>
    <t>25-0068</t>
  </si>
  <si>
    <t>25-0069</t>
  </si>
  <si>
    <t>25-0070</t>
  </si>
  <si>
    <t>25-0071</t>
  </si>
  <si>
    <t>25-0072</t>
  </si>
  <si>
    <t>25-0073</t>
  </si>
  <si>
    <t>25-0074</t>
  </si>
  <si>
    <t>25-0075</t>
  </si>
  <si>
    <t>25-0076</t>
  </si>
  <si>
    <t>25-0077</t>
  </si>
  <si>
    <t>Voucher Book</t>
  </si>
  <si>
    <t>Azalee Flower Boutique Limited</t>
  </si>
  <si>
    <t>Flower Box</t>
  </si>
  <si>
    <t xml:space="preserve">Decoration in the Hall </t>
  </si>
  <si>
    <t xml:space="preserve">Union Church </t>
  </si>
  <si>
    <t>Prazi Medical and Surgical Devices Manufacturing L.L.C</t>
  </si>
  <si>
    <t>Booth branding</t>
  </si>
  <si>
    <t>Unique World Business Centre LLC -(Br.)</t>
  </si>
  <si>
    <t>Supplies done in January, 2025</t>
  </si>
  <si>
    <t>Unique World Business Centre LLC -(HO)</t>
  </si>
  <si>
    <t>100048520900003</t>
  </si>
  <si>
    <t>Contitech Fluids Oil &amp; Marine</t>
  </si>
  <si>
    <t>100067612000003</t>
  </si>
  <si>
    <t>Business cards (Offset printing) (Ayoub Ramram)</t>
  </si>
  <si>
    <t>Trane BVBA (Abu Dhabi)</t>
  </si>
  <si>
    <t>100348311000003</t>
  </si>
  <si>
    <t>Business Cards (200 x 18 names)</t>
  </si>
  <si>
    <t>Name Badge (Red and Silver)</t>
  </si>
  <si>
    <t xml:space="preserve">Dubai Academic Health Corporation (DAHC) </t>
  </si>
  <si>
    <t>100267612800003</t>
  </si>
  <si>
    <t xml:space="preserve">Twin Note Book </t>
  </si>
  <si>
    <t>RIMO Pharmaceuticals DMCC</t>
  </si>
  <si>
    <t>25-0078</t>
  </si>
  <si>
    <t>25-0079</t>
  </si>
  <si>
    <t>Business cards</t>
  </si>
  <si>
    <t>25-0080</t>
  </si>
  <si>
    <t>Crystal Trophy (MIP Recognition Award)</t>
  </si>
  <si>
    <t>25-0081</t>
  </si>
  <si>
    <t>Business cards  (Yulia Kofman)</t>
  </si>
  <si>
    <t>GrokGlobal Services</t>
  </si>
  <si>
    <t>25-0082</t>
  </si>
  <si>
    <t>Mc Master (Gift Box and Bag)</t>
  </si>
  <si>
    <t>Poster with frame</t>
  </si>
  <si>
    <t>25-0083</t>
  </si>
  <si>
    <t>25-0084</t>
  </si>
  <si>
    <t>Instagram Frame</t>
  </si>
  <si>
    <t>25-0085</t>
  </si>
  <si>
    <t xml:space="preserve">Meeting Expenses 07/ Feb /2025 </t>
  </si>
  <si>
    <t>Hult Investments FZ-LLC</t>
  </si>
  <si>
    <t>25-0086</t>
  </si>
  <si>
    <t>100325231700003</t>
  </si>
  <si>
    <t xml:space="preserve">V Neck T shirts and Crystal Awards </t>
  </si>
  <si>
    <t xml:space="preserve">Dandidor </t>
  </si>
  <si>
    <t>25-0087</t>
  </si>
  <si>
    <t>Stress ball</t>
  </si>
  <si>
    <t>25-0088</t>
  </si>
  <si>
    <t xml:space="preserve">Winner Card with Envelope </t>
  </si>
  <si>
    <t>25-0089</t>
  </si>
  <si>
    <t>25-0090</t>
  </si>
  <si>
    <t>Polo Shirt and Balloon (Helium)</t>
  </si>
  <si>
    <t>M E A D Medical Supplies &amp; Equipment L.L.C</t>
  </si>
  <si>
    <t>100540543400003</t>
  </si>
  <si>
    <t>25-0091</t>
  </si>
  <si>
    <t>Excelsior Escapes and Events</t>
  </si>
  <si>
    <t>Stamp</t>
  </si>
  <si>
    <t>25-0092</t>
  </si>
  <si>
    <t>Booth Branding - Boat Show - 18th Feb</t>
  </si>
  <si>
    <t>25-0093</t>
  </si>
  <si>
    <t>Flyer (Russian info fact sheet)</t>
  </si>
  <si>
    <t>25-0094</t>
  </si>
  <si>
    <t>SUPERCAD TRADING L.L.C</t>
  </si>
  <si>
    <t>100338276700003</t>
  </si>
  <si>
    <t>Radiometer Medical ApS</t>
  </si>
  <si>
    <t>25-0095</t>
  </si>
  <si>
    <t>25-0096</t>
  </si>
  <si>
    <t>25-0097</t>
  </si>
  <si>
    <t>25-0098</t>
  </si>
  <si>
    <t>25-0099</t>
  </si>
  <si>
    <t>25-0100</t>
  </si>
  <si>
    <t>Gift Box, Trophy, Lanyards and Rollup</t>
  </si>
  <si>
    <t>Mc Master Teddy Bear Plush Toy (EN71 tested)</t>
  </si>
  <si>
    <t>Unique Pathfinders General Trading LLC</t>
  </si>
  <si>
    <t>100350085500003</t>
  </si>
  <si>
    <t>Draw String Bag</t>
  </si>
  <si>
    <t>JNT Car Rental L.L.C</t>
  </si>
  <si>
    <t>100481415600003</t>
  </si>
  <si>
    <t xml:space="preserve">Business Card </t>
  </si>
  <si>
    <t>Momentum Logistics LLC</t>
  </si>
  <si>
    <t>NCR Book</t>
  </si>
  <si>
    <t xml:space="preserve">Logic Utilities District Cooling Services LLC </t>
  </si>
  <si>
    <t>100567483100003</t>
  </si>
  <si>
    <t>Logic Utilities Logo and Brand Re-design project</t>
  </si>
  <si>
    <t>Business Cards  ( Mohamed Ali Ezzat  and George David)</t>
  </si>
  <si>
    <t>25-0101</t>
  </si>
  <si>
    <t>25-0102</t>
  </si>
  <si>
    <t xml:space="preserve">Meeting Expenses 14/ Feb /2025 </t>
  </si>
  <si>
    <t xml:space="preserve">Hoodie </t>
  </si>
  <si>
    <t>25-0103</t>
  </si>
  <si>
    <t>25-0104</t>
  </si>
  <si>
    <t>25-0105</t>
  </si>
  <si>
    <t>25-0106</t>
  </si>
  <si>
    <t>25-0107</t>
  </si>
  <si>
    <t>25-0108</t>
  </si>
  <si>
    <t>25-0109</t>
  </si>
  <si>
    <t>25-0110</t>
  </si>
  <si>
    <t>25-0111</t>
  </si>
  <si>
    <t>25-0112</t>
  </si>
  <si>
    <t>25-0113</t>
  </si>
  <si>
    <t>Business Card and Letterhead</t>
  </si>
  <si>
    <t xml:space="preserve">Rollup Banner - Broadbase and </t>
  </si>
  <si>
    <t>Ario Arteh Design Services Co. LLC</t>
  </si>
  <si>
    <t xml:space="preserve">3 fold flyer with die cut </t>
  </si>
  <si>
    <t>Duplast Building Materials Trading L.L.C</t>
  </si>
  <si>
    <t>100378640500003</t>
  </si>
  <si>
    <t>PU NoteBook</t>
  </si>
  <si>
    <t>ANB AUTOMOBILES L.L.C</t>
  </si>
  <si>
    <t>100433257100003</t>
  </si>
  <si>
    <t>Kraft Paper Bag</t>
  </si>
  <si>
    <t>Desk Calendar - 2025</t>
  </si>
  <si>
    <t>Round neck Tshirt</t>
  </si>
  <si>
    <t>Pennant flags</t>
  </si>
  <si>
    <t>A4 and A5 Envelopes</t>
  </si>
  <si>
    <t>Mc Master (Brochure - Pre Departure)</t>
  </si>
  <si>
    <t xml:space="preserve">UV Stickers </t>
  </si>
  <si>
    <t>25-0114</t>
  </si>
  <si>
    <t xml:space="preserve">Rubber stamp (Self Ink) </t>
  </si>
  <si>
    <t>25-0115</t>
  </si>
  <si>
    <t>Business cards -Thermo king (Walid Sellami)</t>
  </si>
  <si>
    <t>25-0116</t>
  </si>
  <si>
    <t xml:space="preserve">Meeting Expenses 21/ Feb /2025 </t>
  </si>
  <si>
    <t>25-0117</t>
  </si>
  <si>
    <t>Black Swan Business Setup Services L.L.C</t>
  </si>
  <si>
    <t>Backdrop Banner and Red Carpet</t>
  </si>
  <si>
    <t>100054016900003</t>
  </si>
  <si>
    <t>25-0118</t>
  </si>
  <si>
    <t>25-0119</t>
  </si>
  <si>
    <t>25-0120</t>
  </si>
  <si>
    <t>25-0121</t>
  </si>
  <si>
    <t>25-0122</t>
  </si>
  <si>
    <t>Business cards (500 X 2 names)</t>
  </si>
  <si>
    <t xml:space="preserve"> DEAKIN University </t>
  </si>
  <si>
    <t xml:space="preserve">RPET Laptop Backpack,  Plaque - 2-tone wooden,  Course Guide (PG and UG) and Brochure </t>
  </si>
  <si>
    <t>Woolwich Institute FZ-LLC</t>
  </si>
  <si>
    <t>Receipt Voucher Book</t>
  </si>
  <si>
    <t>GLIMMER Properties</t>
  </si>
  <si>
    <t>LOGO - Steel cut letter with 10 mm acrylic</t>
  </si>
  <si>
    <t>World Data Feasibility Studies Consultancies</t>
  </si>
  <si>
    <t>104219245800003</t>
  </si>
  <si>
    <t>Backdrop and Invitation Card (FOC)</t>
  </si>
  <si>
    <t>Gardner Denver FZE</t>
  </si>
  <si>
    <t>25-0123</t>
  </si>
  <si>
    <t>25-0124</t>
  </si>
  <si>
    <t>25-0125</t>
  </si>
  <si>
    <t>25-0126</t>
  </si>
  <si>
    <t>25-0127</t>
  </si>
  <si>
    <t>25-0128</t>
  </si>
  <si>
    <t>25-0129</t>
  </si>
  <si>
    <t>25-0130</t>
  </si>
  <si>
    <t>25-0131</t>
  </si>
  <si>
    <t>25-0132</t>
  </si>
  <si>
    <t>25-0133</t>
  </si>
  <si>
    <t>25-0134</t>
  </si>
  <si>
    <t>25-0135</t>
  </si>
  <si>
    <t>25-0136</t>
  </si>
  <si>
    <t>25-0137</t>
  </si>
  <si>
    <t>25-0138</t>
  </si>
  <si>
    <t>Students Course Guide (17 x 12 artworks)</t>
  </si>
  <si>
    <t>Crystal Trophy, Skin Change, certificate</t>
  </si>
  <si>
    <t xml:space="preserve">Flyer </t>
  </si>
  <si>
    <t>Business Card (500 x 2 names)</t>
  </si>
  <si>
    <t>English AlQalmoun (Poster, Rollup, Certificate)</t>
  </si>
  <si>
    <t>Designing charges for brochures</t>
  </si>
  <si>
    <t xml:space="preserve">Meeting Expenses 28/ Feb /2025 </t>
  </si>
  <si>
    <t>Meeting Expenses of BNI Conclave</t>
  </si>
  <si>
    <t>Ms. Latika Vieira</t>
  </si>
  <si>
    <t>Customised 2 tier Cake and Balloon</t>
  </si>
  <si>
    <t>3 fold Flyer</t>
  </si>
  <si>
    <t>Business cards (David Howe)</t>
  </si>
  <si>
    <t>Supplies done in Februvary, 2025</t>
  </si>
  <si>
    <t>Unique World Business Centre LLC -(HO.)</t>
  </si>
  <si>
    <t>McMaster Tedy Bear</t>
  </si>
  <si>
    <t>25-0139</t>
  </si>
  <si>
    <t>25-0140</t>
  </si>
  <si>
    <t>25-0141</t>
  </si>
  <si>
    <t>25-0142</t>
  </si>
  <si>
    <t>25-0143</t>
  </si>
  <si>
    <t>ECOFUTURE GENERAL TRADING L.L.C</t>
  </si>
  <si>
    <t>100524449400003</t>
  </si>
  <si>
    <t>Ingersoll-Rand Technical and Services S A R L (Dubai Branch)</t>
  </si>
  <si>
    <t>Business cards (Gilbert Patilla)</t>
  </si>
  <si>
    <t xml:space="preserve">DEAKIN University </t>
  </si>
  <si>
    <t>Mult-Charging cable set in square bamboo case</t>
  </si>
  <si>
    <t>Designing charges:</t>
  </si>
  <si>
    <t>25-0144</t>
  </si>
  <si>
    <t>25-0145</t>
  </si>
  <si>
    <t xml:space="preserve">Meeting Expenses 07/Mar/2025 </t>
  </si>
  <si>
    <t>Notebook  (50 x 12 artwork)</t>
  </si>
  <si>
    <t>25-0146</t>
  </si>
  <si>
    <t>25-0147</t>
  </si>
  <si>
    <t>25-0148</t>
  </si>
  <si>
    <t>25-0149</t>
  </si>
  <si>
    <t>Divi Digital Co LLC</t>
  </si>
  <si>
    <t>Polo Shirt with UV protection</t>
  </si>
  <si>
    <t>Business Card 100 x 2 names</t>
  </si>
  <si>
    <t xml:space="preserve">Teddy bear </t>
  </si>
  <si>
    <r>
      <t xml:space="preserve">Business cards </t>
    </r>
    <r>
      <rPr>
        <b/>
        <sz val="10"/>
        <color theme="1"/>
        <rFont val="Calibri"/>
        <family val="2"/>
      </rPr>
      <t>(Nael Awad)</t>
    </r>
  </si>
  <si>
    <t>25-0150</t>
  </si>
  <si>
    <t>25-0151</t>
  </si>
  <si>
    <t>25-0152</t>
  </si>
  <si>
    <t>25-0153</t>
  </si>
  <si>
    <t>25-0154</t>
  </si>
  <si>
    <t>25-0155</t>
  </si>
  <si>
    <t>Certificates, Name card, Post card</t>
  </si>
  <si>
    <t>Hult Investments FZ-LLC (Enrollment)</t>
  </si>
  <si>
    <t>Hult Investments FZ-LLC (Campus)</t>
  </si>
  <si>
    <t>Round neck-T shirts</t>
  </si>
  <si>
    <t>Round neck T-shirts, Hoodies and Sweat shirts</t>
  </si>
  <si>
    <t>25-0156</t>
  </si>
  <si>
    <t>25-0157</t>
  </si>
  <si>
    <t>25-0158</t>
  </si>
  <si>
    <t>25-0159</t>
  </si>
  <si>
    <t>25-0160</t>
  </si>
  <si>
    <t>25-0161</t>
  </si>
  <si>
    <t>25-0162</t>
  </si>
  <si>
    <t>25-0163</t>
  </si>
  <si>
    <t>25-0164</t>
  </si>
  <si>
    <t>25-0165</t>
  </si>
  <si>
    <t>25-0166</t>
  </si>
  <si>
    <t>25-0167</t>
  </si>
  <si>
    <t>25-0168</t>
  </si>
  <si>
    <t>Meeting Expenses 14/Mar/2025</t>
  </si>
  <si>
    <t>DINEL</t>
  </si>
  <si>
    <t>Lynceus Management Consulting</t>
  </si>
  <si>
    <t>Designing charges</t>
  </si>
  <si>
    <t>Safety Shoes and cargo pant</t>
  </si>
  <si>
    <t>One World One Network</t>
  </si>
  <si>
    <t>Teddy Bear Plush Toy (EN71 tested), A5 Notebook, Ceramic Mugs with Lid and Cork Base</t>
  </si>
  <si>
    <t>Ms. Lisa Brown</t>
  </si>
  <si>
    <t>Business Cards</t>
  </si>
  <si>
    <t xml:space="preserve">Formal Executive Shirts - Short sleeve </t>
  </si>
  <si>
    <t xml:space="preserve">EMIRATES FOR UNIVERSAL TYRES L.L.C. </t>
  </si>
  <si>
    <t>100032677500003</t>
  </si>
  <si>
    <t xml:space="preserve">Key on foamboard </t>
  </si>
  <si>
    <t>Balloons (Helium), Dates Box  and Clear Stickers</t>
  </si>
  <si>
    <t>Vehicle Branding</t>
  </si>
  <si>
    <t>Tent Cards, Leaflet, NCR Books, OE Leaflet- 4 fold, Continental Brochures-Prospectus, Tote Bag, Stainless steel thermos bottle, Notebook, Metal ball pen and stamp</t>
  </si>
  <si>
    <r>
      <t>Business cards</t>
    </r>
    <r>
      <rPr>
        <b/>
        <sz val="10"/>
        <color theme="1"/>
        <rFont val="Calibri"/>
        <family val="2"/>
      </rPr>
      <t xml:space="preserve"> (David Howe)</t>
    </r>
  </si>
  <si>
    <t>25-0169</t>
  </si>
  <si>
    <t>Meeting Expenses 21/Mar/2025</t>
  </si>
  <si>
    <t>POWER LEASE VEHICLE RENTAL DMCC</t>
  </si>
  <si>
    <t>100473487500003</t>
  </si>
  <si>
    <t>Backdrop Banner</t>
  </si>
  <si>
    <t>FMCG FZCO</t>
  </si>
  <si>
    <t>25-0170</t>
  </si>
  <si>
    <t>100291257200003</t>
  </si>
  <si>
    <t>Rollup banner</t>
  </si>
  <si>
    <t>25-0171</t>
  </si>
  <si>
    <t>Signage with frames (Size: 89 (H) x 60 (W) cm: 5 pcs and Size : 45 (W) x 49 (H) cm: 8Pcs)</t>
  </si>
  <si>
    <t>Marafek Electromechanical Works LLC</t>
  </si>
  <si>
    <t>100374278800003</t>
  </si>
  <si>
    <t>Ceramic mug with cork base</t>
  </si>
  <si>
    <t>25-0172</t>
  </si>
  <si>
    <t>25-0173</t>
  </si>
  <si>
    <t>25-0174</t>
  </si>
  <si>
    <t>25-0175</t>
  </si>
  <si>
    <t>25-0176</t>
  </si>
  <si>
    <t>25-0177</t>
  </si>
  <si>
    <t>Bianca and Bianco Trading LLC</t>
  </si>
  <si>
    <t>100482284500003</t>
  </si>
  <si>
    <t xml:space="preserve"> Non woven bag </t>
  </si>
  <si>
    <t>Business cards  (Mohamad Agha)</t>
  </si>
  <si>
    <t>ENH MARKETING L.L.C</t>
  </si>
  <si>
    <t>Lanyard (customized)</t>
  </si>
  <si>
    <t>100327006100003</t>
  </si>
  <si>
    <t>25-0178</t>
  </si>
  <si>
    <t>Meeting Expenses 28/Mar/2025</t>
  </si>
  <si>
    <t>25-0179</t>
  </si>
  <si>
    <t>25-0180</t>
  </si>
  <si>
    <t>25-0181</t>
  </si>
  <si>
    <t>25-0182</t>
  </si>
  <si>
    <t>25-0183</t>
  </si>
  <si>
    <t>25-0184</t>
  </si>
  <si>
    <t>25-0185</t>
  </si>
  <si>
    <t>25-0186</t>
  </si>
  <si>
    <t>Nameplate</t>
  </si>
  <si>
    <t>Spiral Notebook (Left side)</t>
  </si>
  <si>
    <t>MEGA COM MEDIA LLC</t>
  </si>
  <si>
    <t>100018009900003</t>
  </si>
  <si>
    <r>
      <t xml:space="preserve">Business card </t>
    </r>
    <r>
      <rPr>
        <b/>
        <sz val="10"/>
        <color theme="1"/>
        <rFont val="Calibri"/>
        <family val="2"/>
      </rPr>
      <t>(Vikas Arora)</t>
    </r>
  </si>
  <si>
    <t>Supplies done in March, 2025</t>
  </si>
  <si>
    <t>Sticker - Continental Logo</t>
  </si>
  <si>
    <t>104275378800003</t>
  </si>
  <si>
    <t>ARKA Ventures </t>
  </si>
  <si>
    <t>25-0187</t>
  </si>
  <si>
    <t>25-0188</t>
  </si>
  <si>
    <t>SPH Global Holdings LLC</t>
  </si>
  <si>
    <t>100533217400003</t>
  </si>
  <si>
    <t xml:space="preserve">Business cards </t>
  </si>
  <si>
    <t>25-0189</t>
  </si>
  <si>
    <t>25-0190</t>
  </si>
  <si>
    <r>
      <t xml:space="preserve">Business cards </t>
    </r>
    <r>
      <rPr>
        <b/>
        <sz val="10"/>
        <color theme="1"/>
        <rFont val="Calibri"/>
        <family val="2"/>
      </rPr>
      <t>(Leena Wanganoo)</t>
    </r>
  </si>
  <si>
    <t>STYFECT FURNITURES TRADING LLC</t>
  </si>
  <si>
    <t>104188465900003</t>
  </si>
  <si>
    <t xml:space="preserve">Polo Shirt </t>
  </si>
  <si>
    <t>25-0191</t>
  </si>
  <si>
    <t>25-0192</t>
  </si>
  <si>
    <t>25-0193</t>
  </si>
  <si>
    <t>25-0194</t>
  </si>
  <si>
    <t>25-0195</t>
  </si>
  <si>
    <t>25-0196</t>
  </si>
  <si>
    <t>25-0197</t>
  </si>
  <si>
    <t>A4 Envelope</t>
  </si>
  <si>
    <r>
      <t xml:space="preserve">Business card </t>
    </r>
    <r>
      <rPr>
        <b/>
        <sz val="10"/>
        <color theme="1"/>
        <rFont val="Calibri"/>
        <family val="2"/>
      </rPr>
      <t>(Julius Reyes)</t>
    </r>
  </si>
  <si>
    <t>Cable Kit</t>
  </si>
  <si>
    <t>Stainless Steel Vacuum Bottle with Loop</t>
  </si>
  <si>
    <t>Tappy Toes Nursery DWC-LLC</t>
  </si>
  <si>
    <t>104061690400003</t>
  </si>
  <si>
    <t>Polo Shirts (Kids) '( Size 3 and 4 )</t>
  </si>
  <si>
    <t xml:space="preserve">Wooden Backdrop </t>
  </si>
  <si>
    <t>25-0198</t>
  </si>
  <si>
    <t>25-0199</t>
  </si>
  <si>
    <t>Career Tree</t>
  </si>
  <si>
    <t>Certificate</t>
  </si>
  <si>
    <t>BNI Visit Host team</t>
  </si>
  <si>
    <t>Sash</t>
  </si>
  <si>
    <t>25-0200</t>
  </si>
  <si>
    <t>NCR Books</t>
  </si>
  <si>
    <t>Expert United Marine Services LLC</t>
  </si>
  <si>
    <t>25-0201</t>
  </si>
  <si>
    <t xml:space="preserve">Anniversary Trophy and Certificates </t>
  </si>
  <si>
    <t>25-0202</t>
  </si>
  <si>
    <t>Customized trophy (Size 21 and 17 cm)</t>
  </si>
  <si>
    <t>VAM International FZE</t>
  </si>
  <si>
    <t>25-0203</t>
  </si>
  <si>
    <t>Flyers</t>
  </si>
  <si>
    <t>25-0204</t>
  </si>
  <si>
    <t>Hats</t>
  </si>
  <si>
    <t>25-0205</t>
  </si>
  <si>
    <t>Envelope (Customized)</t>
  </si>
  <si>
    <t>Meeting Expenses 11/Apr/2025</t>
  </si>
  <si>
    <t>25-0206</t>
  </si>
  <si>
    <t>VISIONARY FURNITURE TRADING L.L.C</t>
  </si>
  <si>
    <t>25-0207</t>
  </si>
  <si>
    <t>104037069200003</t>
  </si>
  <si>
    <t>25-0208</t>
  </si>
  <si>
    <t>25-0209</t>
  </si>
  <si>
    <t>25-0210</t>
  </si>
  <si>
    <t>25-0211</t>
  </si>
  <si>
    <t>25-0212</t>
  </si>
  <si>
    <t>25-0213</t>
  </si>
  <si>
    <t>25-0214</t>
  </si>
  <si>
    <t>Business cards  (500 x 2 names)</t>
  </si>
  <si>
    <t xml:space="preserve">Metal USB </t>
  </si>
  <si>
    <t>Polo shirt (Adult)</t>
  </si>
  <si>
    <t>100374669800003</t>
  </si>
  <si>
    <t>Vehicle branding and Re-branding on vehicle</t>
  </si>
  <si>
    <t xml:space="preserve">Indo Tausch Trading DMCC </t>
  </si>
  <si>
    <t>Business Card (Ajith Gopinathan Nair)</t>
  </si>
  <si>
    <t>Polo Shirts and T-shirts</t>
  </si>
  <si>
    <t>25-0215</t>
  </si>
  <si>
    <t>25-0216</t>
  </si>
  <si>
    <t>25-0217</t>
  </si>
  <si>
    <t>25-0218</t>
  </si>
  <si>
    <t>25-0219</t>
  </si>
  <si>
    <t>25-0220</t>
  </si>
  <si>
    <t>25-0221</t>
  </si>
  <si>
    <t>25-0222</t>
  </si>
  <si>
    <t>Mr. Raad Almobark</t>
  </si>
  <si>
    <t>Business card</t>
  </si>
  <si>
    <t>Cotton Drawstring Bags and Cotton Bag</t>
  </si>
  <si>
    <t>Clear Sticker</t>
  </si>
  <si>
    <t>Meeting Expenses 18/Apr/2025</t>
  </si>
  <si>
    <t>cap, Bag, Water Bottle, Lanyard and T shirt</t>
  </si>
  <si>
    <t>Stanford Marine Group</t>
  </si>
  <si>
    <t xml:space="preserve">Customized lapel pins </t>
  </si>
  <si>
    <t>25-0223</t>
  </si>
  <si>
    <t>Tshirt sets</t>
  </si>
  <si>
    <t xml:space="preserve">Jerin Jersey </t>
  </si>
  <si>
    <t>Axis Workshop</t>
  </si>
  <si>
    <t>25-0224</t>
  </si>
  <si>
    <t>100363376300003</t>
  </si>
  <si>
    <t>Logic Utilities District Cooling Services LLC</t>
  </si>
  <si>
    <t xml:space="preserve">Designing charges for Banners </t>
  </si>
  <si>
    <t>EMBOSS - FZCO</t>
  </si>
  <si>
    <t>25-0225</t>
  </si>
  <si>
    <t>Netision Global Technologies LLC</t>
  </si>
  <si>
    <t xml:space="preserve">Trane BVBA (Abu Dhabi) </t>
  </si>
  <si>
    <r>
      <t xml:space="preserve">Business cards </t>
    </r>
    <r>
      <rPr>
        <b/>
        <sz val="10"/>
        <color theme="0"/>
        <rFont val="Calibri"/>
        <family val="2"/>
      </rPr>
      <t>(Mohammad Alhaymoni)</t>
    </r>
    <r>
      <rPr>
        <sz val="10"/>
        <color theme="0"/>
        <rFont val="Calibri"/>
        <family val="2"/>
      </rPr>
      <t xml:space="preserve"> (Void see inv 25-0185</t>
    </r>
  </si>
  <si>
    <t>Business cards (Essam Soliman, Mohammad Alhaymoni)</t>
  </si>
  <si>
    <t>Guardian International Trading LLC</t>
  </si>
  <si>
    <t>25-0226</t>
  </si>
  <si>
    <t>25-0227</t>
  </si>
  <si>
    <t>25-0228</t>
  </si>
  <si>
    <t>25-0229</t>
  </si>
  <si>
    <t>25-0230</t>
  </si>
  <si>
    <t>25-0231</t>
  </si>
  <si>
    <t>25-0232</t>
  </si>
  <si>
    <t>25-0233</t>
  </si>
  <si>
    <t>25-0234</t>
  </si>
  <si>
    <t>25-0235</t>
  </si>
  <si>
    <t>25-0236</t>
  </si>
  <si>
    <t>25-0237</t>
  </si>
  <si>
    <t>25-0238</t>
  </si>
  <si>
    <t>25-0239</t>
  </si>
  <si>
    <t>25-0240</t>
  </si>
  <si>
    <t>25-0241</t>
  </si>
  <si>
    <t>25-0242</t>
  </si>
  <si>
    <t>25-0243</t>
  </si>
  <si>
    <t>Layout and Designing Charges</t>
  </si>
  <si>
    <t>100462515600003</t>
  </si>
  <si>
    <t xml:space="preserve">Letterhead </t>
  </si>
  <si>
    <t>A4 Notepad (PECUNIA) and Pocket Folder</t>
  </si>
  <si>
    <t>Students Course Guide</t>
  </si>
  <si>
    <t>Meeting Expenses 25/Apr/2025</t>
  </si>
  <si>
    <t xml:space="preserve">TESOL Arabia Exhibition </t>
  </si>
  <si>
    <t>Mohamed Farouk Osman</t>
  </si>
  <si>
    <t>Poster</t>
  </si>
  <si>
    <t>Brochure and Table Top + A4 Print</t>
  </si>
  <si>
    <t>Office Branding</t>
  </si>
  <si>
    <t>Green Pasture Technical Services LLC</t>
  </si>
  <si>
    <t>100572419800003</t>
  </si>
  <si>
    <t>Polo Shirts</t>
  </si>
  <si>
    <t>Bloomsbury Lane</t>
  </si>
  <si>
    <t xml:space="preserve">Rollup Banner and Catalogue design </t>
  </si>
  <si>
    <t xml:space="preserve">Alef Education Consultancy L.L.C. </t>
  </si>
  <si>
    <t>100225181500003</t>
  </si>
  <si>
    <t>School Uniforms ( Polo Shirt and Pants)</t>
  </si>
  <si>
    <t>Rental Contract NCR Books</t>
  </si>
  <si>
    <t>Sleeve for chocolate, Metal Pens and Business Card</t>
  </si>
  <si>
    <t>Four Corners Printing Press LLC</t>
  </si>
  <si>
    <t>25-0244</t>
  </si>
  <si>
    <t>25-0245</t>
  </si>
  <si>
    <t>25-0246</t>
  </si>
  <si>
    <t>25-0247</t>
  </si>
  <si>
    <t>25-0248</t>
  </si>
  <si>
    <t>25-0249</t>
  </si>
  <si>
    <t>25-0250</t>
  </si>
  <si>
    <t>25-0251</t>
  </si>
  <si>
    <t>25-0252</t>
  </si>
  <si>
    <t xml:space="preserve">Ribbon with printing </t>
  </si>
  <si>
    <t>NCR Books and stamp</t>
  </si>
  <si>
    <t>Med Flyers</t>
  </si>
  <si>
    <t>Tote Bag, Flyer, Lanyards and Metal Pen</t>
  </si>
  <si>
    <t>Al Jalila Foundation in support of Medical Education and Research</t>
  </si>
  <si>
    <t>Business cards - MTA (Wassim Elguessab)</t>
  </si>
  <si>
    <t>Paper Bag</t>
  </si>
  <si>
    <t>100347786400003</t>
  </si>
  <si>
    <t>Contitech Fluids</t>
  </si>
  <si>
    <t>Supplies done in April, 2025</t>
  </si>
  <si>
    <t>25-0253</t>
  </si>
  <si>
    <t>25-0254</t>
  </si>
  <si>
    <t>25-0255</t>
  </si>
  <si>
    <t>Meeting Expenses 2/May/2025</t>
  </si>
  <si>
    <t>Brochure</t>
  </si>
  <si>
    <t>25-0256</t>
  </si>
  <si>
    <t>25-0257</t>
  </si>
  <si>
    <t>25-0258</t>
  </si>
  <si>
    <t>25-0259</t>
  </si>
  <si>
    <t>25-0260</t>
  </si>
  <si>
    <t>25-0261</t>
  </si>
  <si>
    <t>25-0262</t>
  </si>
  <si>
    <t>25-0263</t>
  </si>
  <si>
    <t>25-0264</t>
  </si>
  <si>
    <t>25-0265</t>
  </si>
  <si>
    <t>25-0266</t>
  </si>
  <si>
    <t>25-0267</t>
  </si>
  <si>
    <t>25-0268</t>
  </si>
  <si>
    <t>Party Pals Forever Events LLC</t>
  </si>
  <si>
    <t xml:space="preserve">Top and bottom self lock box </t>
  </si>
  <si>
    <t>KOTUG MIDDLE EAST DMCC</t>
  </si>
  <si>
    <t>Ceramic Mug</t>
  </si>
  <si>
    <t>100336526700003</t>
  </si>
  <si>
    <t>Madhuri Narkar</t>
  </si>
  <si>
    <t>Frame for Japanese Painting</t>
  </si>
  <si>
    <t xml:space="preserve">Gate fold brochure </t>
  </si>
  <si>
    <t xml:space="preserve">Roll up Banner </t>
  </si>
  <si>
    <t>Royex Technologies L.L.C</t>
  </si>
  <si>
    <t>100517740500003</t>
  </si>
  <si>
    <t xml:space="preserve">Booth branding - Dubai </t>
  </si>
  <si>
    <t>VOXTEL COMMUNICATIONS DMCC</t>
  </si>
  <si>
    <t>100326328000003</t>
  </si>
  <si>
    <t xml:space="preserve">Gamayun Consultancy Services FZE </t>
  </si>
  <si>
    <t>104014823900003</t>
  </si>
  <si>
    <t xml:space="preserve">Business card </t>
  </si>
  <si>
    <t>Black Swan Business Setup Services LLC</t>
  </si>
  <si>
    <t>Round pin badges</t>
  </si>
  <si>
    <t>PVC clear sticker</t>
  </si>
  <si>
    <t>Mr. Sahendra Jaiswar</t>
  </si>
  <si>
    <t>Photo Frame</t>
  </si>
  <si>
    <t>25-0269</t>
  </si>
  <si>
    <t>25-0270</t>
  </si>
  <si>
    <t>25-0271</t>
  </si>
  <si>
    <t>25-0272</t>
  </si>
  <si>
    <t>25-0273</t>
  </si>
  <si>
    <t>25-0274</t>
  </si>
  <si>
    <t>25-0275</t>
  </si>
  <si>
    <t>25-0276</t>
  </si>
  <si>
    <t>25-0277</t>
  </si>
  <si>
    <t>Booth branding - BNI EXPO</t>
  </si>
  <si>
    <t>Glass branding (Entrance doors)</t>
  </si>
  <si>
    <t>Mawarid Finance (P J S C )</t>
  </si>
  <si>
    <t>100013430200003</t>
  </si>
  <si>
    <t>Cable Kit and Gift Box</t>
  </si>
  <si>
    <t>Olympus MEA FZ-LLC</t>
  </si>
  <si>
    <t>100368279400003</t>
  </si>
  <si>
    <t>Table Cloth, Notepad, Lanyard, Table flag, Metal Pen and Id card holder</t>
  </si>
  <si>
    <t>Rollup Banner - (IT Department)</t>
  </si>
  <si>
    <t>Metal Pen</t>
  </si>
  <si>
    <t>Epoxy Badges and Business Card</t>
  </si>
  <si>
    <t>25-0278</t>
  </si>
  <si>
    <t>PU wallet</t>
  </si>
  <si>
    <t>25-0279</t>
  </si>
  <si>
    <t>25-0280</t>
  </si>
  <si>
    <t>25-0281</t>
  </si>
  <si>
    <t>25-0282</t>
  </si>
  <si>
    <t>Finhub Middle East</t>
  </si>
  <si>
    <t>Vinyl sticker on glass, Acrylic cut letters</t>
  </si>
  <si>
    <t>Business card (300 x 5 names)</t>
  </si>
  <si>
    <t>Epoxy Badges</t>
  </si>
  <si>
    <t>IDP Education Ltd (Abu Dhabi)</t>
  </si>
  <si>
    <t>25-0283</t>
  </si>
  <si>
    <t>Vinyl Sticker with Logo</t>
  </si>
  <si>
    <t>25-0284</t>
  </si>
  <si>
    <t>Sleeve for chocolate</t>
  </si>
  <si>
    <t>25-0285</t>
  </si>
  <si>
    <t>Stickers for Box</t>
  </si>
  <si>
    <t>Business cards (Bharat Kumar)</t>
  </si>
  <si>
    <t>25-0286</t>
  </si>
  <si>
    <t>25-0287</t>
  </si>
  <si>
    <t>25-0288</t>
  </si>
  <si>
    <t>25-0289</t>
  </si>
  <si>
    <t>25-0290</t>
  </si>
  <si>
    <t>Perfect Tools Moulds Factory L.L.C</t>
  </si>
  <si>
    <t>100317601100003</t>
  </si>
  <si>
    <t>Dhyana Digital Marketing L.L.C</t>
  </si>
  <si>
    <t>Advantage Printing Services</t>
  </si>
  <si>
    <t>Polo shirts</t>
  </si>
  <si>
    <t>100389788900003</t>
  </si>
  <si>
    <t>Designing cost  Box JC Organic Barley</t>
  </si>
  <si>
    <t>25-0291</t>
  </si>
  <si>
    <t>Meeting Expenses 16/May/2025</t>
  </si>
  <si>
    <t>25-0292</t>
  </si>
  <si>
    <t>25-0293</t>
  </si>
  <si>
    <t>25-0294</t>
  </si>
  <si>
    <t>25-0295</t>
  </si>
  <si>
    <t>Designing Charges - Company Profile</t>
  </si>
  <si>
    <t>Trica Technical Works LLC</t>
  </si>
  <si>
    <t>Designing Charges</t>
  </si>
  <si>
    <t>Warehouse Delivery Note</t>
  </si>
  <si>
    <t>Quattro Capital Investment Consultant LLC</t>
  </si>
  <si>
    <t>Table Flags and Notebook with Metal Pen</t>
  </si>
  <si>
    <t>SREERAJ</t>
  </si>
  <si>
    <t>25-0296</t>
  </si>
  <si>
    <t>Metal badge</t>
  </si>
  <si>
    <t>Umesh C K</t>
  </si>
  <si>
    <t>25-0297</t>
  </si>
  <si>
    <t>25-0298</t>
  </si>
  <si>
    <t>25-0299</t>
  </si>
  <si>
    <t>25-0300</t>
  </si>
  <si>
    <t>Wooden Plaque and Printing on client provided trophies</t>
  </si>
  <si>
    <t>Meeting Expenses 23/May/2025</t>
  </si>
  <si>
    <t>Cambridge Education Group</t>
  </si>
  <si>
    <t>25-0301</t>
  </si>
  <si>
    <t>25-0302</t>
  </si>
  <si>
    <t>25-0303</t>
  </si>
  <si>
    <t>25-0304</t>
  </si>
  <si>
    <t>25-0305</t>
  </si>
  <si>
    <t>Crystal Trophy (Customized)</t>
  </si>
  <si>
    <t>Five Building Materials Trading LLC</t>
  </si>
  <si>
    <t>Logo Designing and Designing Ad in BNI Roster</t>
  </si>
  <si>
    <t>Rollup and cork pen</t>
  </si>
  <si>
    <t>25-0306</t>
  </si>
  <si>
    <t>25-0307</t>
  </si>
  <si>
    <t>25-0308</t>
  </si>
  <si>
    <t>Designing charges for enhancement</t>
  </si>
  <si>
    <t>EDGE Technical Solution L.L.C</t>
  </si>
  <si>
    <t>100362141200003</t>
  </si>
  <si>
    <t>Safety Vest Samples</t>
  </si>
  <si>
    <t>25-0309</t>
  </si>
  <si>
    <t>25-0310</t>
  </si>
  <si>
    <t>25-0311</t>
  </si>
  <si>
    <t>Access cards printing</t>
  </si>
  <si>
    <t>Meeting Expenses 30/May/2025</t>
  </si>
  <si>
    <t xml:space="preserve">Lanyards (customized), ID card holders (customized), Polo Shirt, Business card, Flyer, Genz Stickers and Notebook </t>
  </si>
  <si>
    <t>25-0312</t>
  </si>
  <si>
    <t>25-0313</t>
  </si>
  <si>
    <t>25-0314</t>
  </si>
  <si>
    <t>25-0315</t>
  </si>
  <si>
    <t>Supplies done in May, 2025</t>
  </si>
  <si>
    <t>Kaizen Business Consultants</t>
  </si>
  <si>
    <t>100596449700003</t>
  </si>
  <si>
    <t>25-0316</t>
  </si>
  <si>
    <t>25-0317</t>
  </si>
  <si>
    <t>25-0318</t>
  </si>
  <si>
    <t>Polo Shirt (Customized)</t>
  </si>
  <si>
    <t>Al Afnan Steel Ind. Co. LLC</t>
  </si>
  <si>
    <t>Polo shirt (Customised)</t>
  </si>
  <si>
    <t>100534456700003</t>
  </si>
  <si>
    <t>25-0319</t>
  </si>
  <si>
    <t>25-0320</t>
  </si>
  <si>
    <t>25-0321</t>
  </si>
  <si>
    <t>25-0322</t>
  </si>
  <si>
    <t>25-0323</t>
  </si>
  <si>
    <t>25-0324</t>
  </si>
  <si>
    <t>25-0325</t>
  </si>
  <si>
    <t>25-0326</t>
  </si>
  <si>
    <t>25-0327</t>
  </si>
  <si>
    <t>25-0328</t>
  </si>
  <si>
    <t>25-0329</t>
  </si>
  <si>
    <t>25-0330</t>
  </si>
  <si>
    <t>25-0331</t>
  </si>
  <si>
    <t>25-0332</t>
  </si>
  <si>
    <t>25-0333</t>
  </si>
  <si>
    <t>NARJIS Printing and Publishing</t>
  </si>
  <si>
    <t>100556794400003</t>
  </si>
  <si>
    <t xml:space="preserve">Business Card  ( PERI)  </t>
  </si>
  <si>
    <t>Business cards (Hazem Ali Abdelkarim)</t>
  </si>
  <si>
    <t>A4 sheets and Frame with Certificate Printing</t>
  </si>
  <si>
    <t>Spiral Notebook and Metal Pen</t>
  </si>
  <si>
    <t xml:space="preserve">A5 Envelope </t>
  </si>
  <si>
    <t>Letter prints and Parking Permit</t>
  </si>
  <si>
    <t>Safety Vest</t>
  </si>
  <si>
    <t>Luggage Tag, Card Holder, Wallet and passport holder</t>
  </si>
  <si>
    <t>100510518200003</t>
  </si>
  <si>
    <t>Lapel Pin</t>
  </si>
  <si>
    <t>Avant FZ LLC</t>
  </si>
  <si>
    <t>100232352300003</t>
  </si>
  <si>
    <t>Polo shirt</t>
  </si>
  <si>
    <t>Muhammad Umer Tariq</t>
  </si>
  <si>
    <t>Water Bottle and Certificate</t>
  </si>
  <si>
    <t>Melius Consulting</t>
  </si>
  <si>
    <t>EID Greeting Card</t>
  </si>
  <si>
    <t>Alfa Tonic LLC</t>
  </si>
  <si>
    <t>100263850800003</t>
  </si>
  <si>
    <t>Box (2 Models)</t>
  </si>
  <si>
    <t>Ms. Baiba Butler</t>
  </si>
  <si>
    <t>25-0334</t>
  </si>
  <si>
    <t>Printing of Birthday banner for Grayson and Delivery charges </t>
  </si>
  <si>
    <t>25-0335</t>
  </si>
  <si>
    <t>25-0336</t>
  </si>
  <si>
    <t>25-0337</t>
  </si>
  <si>
    <t>25-0338</t>
  </si>
  <si>
    <t>25-0339</t>
  </si>
  <si>
    <t>25-0340</t>
  </si>
  <si>
    <t>25-0341</t>
  </si>
  <si>
    <t>Trophy, Boarding Pass, Stickers and Rollup (Standard)</t>
  </si>
  <si>
    <t>Meeting Expenses 13/Jun/2025</t>
  </si>
  <si>
    <t>A4 and DL envelope</t>
  </si>
  <si>
    <t>Tote Bags</t>
  </si>
  <si>
    <t>Games Flyer</t>
  </si>
  <si>
    <t xml:space="preserve">Genz Stickers </t>
  </si>
  <si>
    <t>Designing Charges for Catalogue and Printing on A5 Notebooks</t>
  </si>
  <si>
    <t>25-0342</t>
  </si>
  <si>
    <t>25-0343</t>
  </si>
  <si>
    <t>25-0344</t>
  </si>
  <si>
    <t>25-0345</t>
  </si>
  <si>
    <t>25-0346</t>
  </si>
  <si>
    <t>25-0347</t>
  </si>
  <si>
    <t>25-0348</t>
  </si>
  <si>
    <t>25-0349</t>
  </si>
  <si>
    <t>104917608200003</t>
  </si>
  <si>
    <t>Business Cards (200 x 12 names)</t>
  </si>
  <si>
    <t>CACOGES</t>
  </si>
  <si>
    <t>Calendar 2026, Agenda Book, Pen, Cap and T shirt</t>
  </si>
  <si>
    <t>Plastic Pen, Mug, Brochure and Spiral Book</t>
  </si>
  <si>
    <t xml:space="preserve">Caps (sandwich) </t>
  </si>
  <si>
    <t>Business Card (500 x 4 names</t>
  </si>
  <si>
    <t>PU Leather Holder</t>
  </si>
  <si>
    <t>25-0350</t>
  </si>
  <si>
    <t>25-0351</t>
  </si>
  <si>
    <t>25-0352</t>
  </si>
  <si>
    <t>25-0353</t>
  </si>
  <si>
    <t>25-0354</t>
  </si>
  <si>
    <t>25-0355</t>
  </si>
  <si>
    <t>Hard Cover Notebook (Customized)</t>
  </si>
  <si>
    <t>Business card (Admin)(Faiza Qureshi)</t>
  </si>
  <si>
    <t>Business Card (100 x 14 names)</t>
  </si>
  <si>
    <t>Sample Charges for the Medical Kit</t>
  </si>
  <si>
    <t>Meeting Expenses 20/Jun/2025</t>
  </si>
  <si>
    <t xml:space="preserve">Mr. Ajesh Mohan </t>
  </si>
  <si>
    <t>Business cards (100 x 3 names)</t>
  </si>
  <si>
    <t>25-0356</t>
  </si>
  <si>
    <t>25-0357</t>
  </si>
  <si>
    <t>25-0358</t>
  </si>
  <si>
    <t>A4 Certificate with frame</t>
  </si>
  <si>
    <t>Instagram frame, X Banner and A3 Desktop Rollup</t>
  </si>
  <si>
    <t>JUBAILI BROS S.A.L.</t>
  </si>
  <si>
    <t>100293287700003</t>
  </si>
  <si>
    <t>GRS-Certified Recycled RPET Backpack</t>
  </si>
  <si>
    <t>25-0359</t>
  </si>
  <si>
    <t>25-0360</t>
  </si>
  <si>
    <t>25-0361</t>
  </si>
  <si>
    <t>Meeting Expenses 25/Jun/2025</t>
  </si>
  <si>
    <t>Post cards with Box</t>
  </si>
  <si>
    <t>25-0362</t>
  </si>
  <si>
    <t>25-0363</t>
  </si>
  <si>
    <t>Stellar Advertising LLC</t>
  </si>
  <si>
    <t>100542487200003</t>
  </si>
  <si>
    <t>Chocolate box - Ignyte</t>
  </si>
  <si>
    <t>Tshirts (Premium) - Eva's birthday</t>
  </si>
  <si>
    <t>25-0364</t>
  </si>
  <si>
    <t>25-0365</t>
  </si>
  <si>
    <t>25-0366</t>
  </si>
  <si>
    <t>25-0367</t>
  </si>
  <si>
    <t>Supplies done in June, 2025</t>
  </si>
  <si>
    <t>BNI Terra</t>
  </si>
  <si>
    <t>Handy Powerbank</t>
  </si>
  <si>
    <t>25-0368</t>
  </si>
  <si>
    <t xml:space="preserve">Vehicle Branding-Toyota Hilux </t>
  </si>
  <si>
    <t>25-0369</t>
  </si>
  <si>
    <t>25-0370</t>
  </si>
  <si>
    <t>25-0371</t>
  </si>
  <si>
    <t>25-0372</t>
  </si>
  <si>
    <t>25-0373</t>
  </si>
  <si>
    <t>25-0374</t>
  </si>
  <si>
    <t>Certificate, Rollup and Posters</t>
  </si>
  <si>
    <t xml:space="preserve">CHURCH OF SOUTH INDIA </t>
  </si>
  <si>
    <t>Consultation and Facilitation Charges</t>
  </si>
  <si>
    <t>100035896800003</t>
  </si>
  <si>
    <t>Mousepad and Plant with pot in transparent bag</t>
  </si>
  <si>
    <t xml:space="preserve">NCR books </t>
  </si>
  <si>
    <t xml:space="preserve">Munich Motor Works </t>
  </si>
  <si>
    <t xml:space="preserve">Glass branding </t>
  </si>
  <si>
    <t>100013341100003</t>
  </si>
  <si>
    <t>f</t>
  </si>
  <si>
    <t>25-0375</t>
  </si>
  <si>
    <t>25-0376</t>
  </si>
  <si>
    <t>25-0377</t>
  </si>
  <si>
    <t>NCR Books - Delivery Note</t>
  </si>
  <si>
    <t>Accentia Consulting - FZCO</t>
  </si>
  <si>
    <t>Meeting Expenses 04/Jul/2025</t>
  </si>
  <si>
    <t>104122723000003</t>
  </si>
  <si>
    <t>25-0378</t>
  </si>
  <si>
    <t xml:space="preserve">Business cards (Mohammad El Mougy) </t>
  </si>
  <si>
    <t>25-0379</t>
  </si>
  <si>
    <t>25-0380</t>
  </si>
  <si>
    <t>25-0381</t>
  </si>
  <si>
    <t>25-0382</t>
  </si>
  <si>
    <t>25-0383</t>
  </si>
  <si>
    <t>25-0384</t>
  </si>
  <si>
    <t>Energy Flex Project for CEO</t>
  </si>
  <si>
    <t>A4 Envelope, Staff Parking Permit and Business Cards</t>
  </si>
  <si>
    <t>MAERSK LOGISTICS AND SERVICES L.L.C</t>
  </si>
  <si>
    <t xml:space="preserve">Polo shirt (Uniform) </t>
  </si>
  <si>
    <t>100386934200003</t>
  </si>
  <si>
    <t>Vehicle Branding - Mitsubishi Lancer</t>
  </si>
  <si>
    <t>PU Notebook and Name board</t>
  </si>
  <si>
    <t>25-0385</t>
  </si>
  <si>
    <t>Mousepad</t>
  </si>
  <si>
    <t>25-0386</t>
  </si>
  <si>
    <t>25-0387</t>
  </si>
  <si>
    <t>Meeting Expenses 11/Jul/2025</t>
  </si>
  <si>
    <t>35 Member Celebration</t>
  </si>
  <si>
    <t>25-0388</t>
  </si>
  <si>
    <t xml:space="preserve">Brochure </t>
  </si>
  <si>
    <t>25-0389</t>
  </si>
  <si>
    <t>Installation of Plotter cut stickers</t>
  </si>
  <si>
    <t>25-0390</t>
  </si>
  <si>
    <t>25-0391</t>
  </si>
  <si>
    <t>25-0392</t>
  </si>
  <si>
    <t>Business cards (Param Business Consultants)</t>
  </si>
  <si>
    <t xml:space="preserve">Computer Stationery </t>
  </si>
  <si>
    <t>Oculus Middle East Contracting LLC</t>
  </si>
  <si>
    <t>Digital Business NFC Card</t>
  </si>
  <si>
    <t>100512235100003</t>
  </si>
  <si>
    <t>25-0393</t>
  </si>
  <si>
    <t>V7 Electro World FZCO</t>
  </si>
  <si>
    <t>100514326600003</t>
  </si>
  <si>
    <t>25-0394</t>
  </si>
  <si>
    <t>25-0395</t>
  </si>
  <si>
    <t>Course Guide, Flyer, Bottle, Notebook, Hook and Badge</t>
  </si>
  <si>
    <t>Meeting Expenses 18/Jul/2025</t>
  </si>
  <si>
    <t>25-0396</t>
  </si>
  <si>
    <t>Fusion Bites</t>
  </si>
  <si>
    <t>Discount Voucher</t>
  </si>
  <si>
    <t>25-0397</t>
  </si>
  <si>
    <t>Ms. Ling</t>
  </si>
  <si>
    <t>Envelopes and Card</t>
  </si>
  <si>
    <t>25-0398</t>
  </si>
  <si>
    <t>25-0399</t>
  </si>
  <si>
    <t>25-0400</t>
  </si>
  <si>
    <t>25-0401</t>
  </si>
  <si>
    <t>25-0402</t>
  </si>
  <si>
    <t>25-0403</t>
  </si>
  <si>
    <t>25-0404</t>
  </si>
  <si>
    <t>Sample Charges for Brochure</t>
  </si>
  <si>
    <t>Terminal fines forms</t>
  </si>
  <si>
    <t>Year Book UIS</t>
  </si>
  <si>
    <t>Daniel Ferdinandusz</t>
  </si>
  <si>
    <t>Tote bag</t>
  </si>
  <si>
    <t xml:space="preserve">Gift Box </t>
  </si>
  <si>
    <t>25-0405</t>
  </si>
  <si>
    <t>25-0406</t>
  </si>
  <si>
    <t>25-0407</t>
  </si>
  <si>
    <t>25-0408</t>
  </si>
  <si>
    <t>25-0409</t>
  </si>
  <si>
    <t>25-0410</t>
  </si>
  <si>
    <t>25-0411</t>
  </si>
  <si>
    <t>25-0412</t>
  </si>
  <si>
    <t>25-0413</t>
  </si>
  <si>
    <t>25-0414</t>
  </si>
  <si>
    <t>25-0415</t>
  </si>
  <si>
    <t>25-0416</t>
  </si>
  <si>
    <t>Polo shirts (kids and Adults)</t>
  </si>
  <si>
    <t>Roll Up banner and A4 Stand</t>
  </si>
  <si>
    <t>Supplies done in July, 2025</t>
  </si>
  <si>
    <t>Business cards (Rony Richard)</t>
  </si>
  <si>
    <t>Belen Electronics Trading L.L.C</t>
  </si>
  <si>
    <t>Flyer - 2-fold, stamp, letterhead, and Business card</t>
  </si>
  <si>
    <t>DARSHAN</t>
  </si>
  <si>
    <t>Lobby Glass Sticker</t>
  </si>
  <si>
    <t xml:space="preserve">Hoodie with zipper </t>
  </si>
  <si>
    <t>Business cards (500 x 4 names)</t>
  </si>
  <si>
    <t>25-0417</t>
  </si>
  <si>
    <t>25-0418</t>
  </si>
  <si>
    <t>25-0419</t>
  </si>
  <si>
    <t>25-0420</t>
  </si>
  <si>
    <t>25-0421</t>
  </si>
  <si>
    <t>25-0422</t>
  </si>
  <si>
    <t>25-0423</t>
  </si>
  <si>
    <t>25-0424</t>
  </si>
  <si>
    <t>25-0425</t>
  </si>
  <si>
    <t>25-0426</t>
  </si>
  <si>
    <t>25-0427</t>
  </si>
  <si>
    <t xml:space="preserve">Non woven bag </t>
  </si>
  <si>
    <t>Business cards(Umesh Kumar Roy)</t>
  </si>
  <si>
    <t>Cotton Bags, Bottle, Notebook, Pen and Stress ball</t>
  </si>
  <si>
    <t>VELA ARC REAL ESTATE L.L.C</t>
  </si>
  <si>
    <t>Receipt Voucher Book and business card, Sofy copy for Letter head</t>
  </si>
  <si>
    <t>Polo shirt, Banner and Brochure</t>
  </si>
  <si>
    <t>Vinyl stickers for signage</t>
  </si>
  <si>
    <t>Meeting Expenses 8/Aug/2025</t>
  </si>
  <si>
    <t>ASK-CA Auditing of Accounts</t>
  </si>
  <si>
    <t>25-0428</t>
  </si>
  <si>
    <t>Brochure, Rubber stamp, designing charges, Letterhead, Business card, Vinyl sticker and Acrylic signage</t>
  </si>
  <si>
    <t>25-0429</t>
  </si>
  <si>
    <t>Counselling Point Training &amp; Development</t>
  </si>
  <si>
    <t>Cards</t>
  </si>
  <si>
    <t>25-0430</t>
  </si>
  <si>
    <t xml:space="preserve">Printing Collaterals 2026 </t>
  </si>
  <si>
    <t>SECA GMBH &amp; CO. KG MIDDLE EAST (DMCC BRANCH)</t>
  </si>
  <si>
    <t xml:space="preserve">Acrylic Signage Board </t>
  </si>
  <si>
    <t>25-0431</t>
  </si>
  <si>
    <t>25-0432</t>
  </si>
  <si>
    <t>25-0433</t>
  </si>
  <si>
    <t>25-0434</t>
  </si>
  <si>
    <t>Meeting Expenses 15/Aug/2025</t>
  </si>
  <si>
    <t>25-0435</t>
  </si>
  <si>
    <t>25-0436</t>
  </si>
  <si>
    <t>25-0437</t>
  </si>
  <si>
    <t>25-0438</t>
  </si>
  <si>
    <t>25-0439</t>
  </si>
  <si>
    <t>25-0440</t>
  </si>
  <si>
    <t>25-0441</t>
  </si>
  <si>
    <t>25-0442</t>
  </si>
  <si>
    <t>25-0443</t>
  </si>
  <si>
    <t>25-0444</t>
  </si>
  <si>
    <t>Payment Voucher Book</t>
  </si>
  <si>
    <t xml:space="preserve">Plastic Pen </t>
  </si>
  <si>
    <t>Orience Documents Clearance Services L.L.C</t>
  </si>
  <si>
    <t>Table Flags and Big flag</t>
  </si>
  <si>
    <t>PU Notebook, USB, Pen, Lapel pin, Rollup, Keychain, Envelope, Spiral book, Booklet and flyer</t>
  </si>
  <si>
    <t>ISP Flyers, Pennant flags and Desk Calendar 2026</t>
  </si>
  <si>
    <t>Back to School - DBS J, Back to School - DBS EH and French School</t>
  </si>
  <si>
    <t xml:space="preserve">Course Guide PG, UG and Brochure </t>
  </si>
  <si>
    <t>Business Card (200 x 4 name)</t>
  </si>
  <si>
    <t>Meeting Expenses 22/Aug/2025</t>
  </si>
  <si>
    <t>Lane Community College</t>
  </si>
  <si>
    <t>25-0445</t>
  </si>
  <si>
    <t>Postcards, Flyers, Rollup Banner and Table runner</t>
  </si>
  <si>
    <t>25-0446</t>
  </si>
  <si>
    <t>25-0447</t>
  </si>
  <si>
    <t>Reception signage</t>
  </si>
  <si>
    <t>CHINT MIDDLE EAST AND AFRICA DMCC</t>
  </si>
  <si>
    <t>100444367500003</t>
  </si>
  <si>
    <t xml:space="preserve">Tshirt (round neck) </t>
  </si>
  <si>
    <t>25-0448</t>
  </si>
  <si>
    <t>Balloon Décor</t>
  </si>
  <si>
    <t>25-0449</t>
  </si>
  <si>
    <t>25-0450</t>
  </si>
  <si>
    <t>25-0451</t>
  </si>
  <si>
    <t>25-0452</t>
  </si>
  <si>
    <t>25-0453</t>
  </si>
  <si>
    <t>Business cards (Omer Abid Khan)</t>
  </si>
  <si>
    <t>Table top with print and Acrylic Signage (Sandwich)</t>
  </si>
  <si>
    <t>JAIRAJ</t>
  </si>
  <si>
    <t>Foam Board, Sign board, Scroll, name card and Brochure</t>
  </si>
  <si>
    <t>Price Tag</t>
  </si>
  <si>
    <t>Business card (Hamoon Babachahi)</t>
  </si>
  <si>
    <t>25-0454</t>
  </si>
  <si>
    <t>25-0455</t>
  </si>
  <si>
    <t>25-0456</t>
  </si>
  <si>
    <t>25-0565</t>
  </si>
  <si>
    <t>25-0566</t>
  </si>
  <si>
    <t>25-0567</t>
  </si>
  <si>
    <t>Beautiful Horizons ELC</t>
  </si>
  <si>
    <t xml:space="preserve">Workbook - A, B and C, Designing charges </t>
  </si>
  <si>
    <t>AARK Marketing Services LLC</t>
  </si>
  <si>
    <t>Meeting Expenses 29/Aug/2025</t>
  </si>
  <si>
    <t>Brochure (8 pages and 20 pages)</t>
  </si>
  <si>
    <t>Business Cards, Tabletop bannerer and sticker</t>
  </si>
  <si>
    <t>Booth Branding - BMI Dubai Education Fair - Oct 11-12</t>
  </si>
  <si>
    <t>25-0457</t>
  </si>
  <si>
    <t>25-0458</t>
  </si>
  <si>
    <t>25-0459</t>
  </si>
  <si>
    <t>25-0460</t>
  </si>
  <si>
    <t>25-0461</t>
  </si>
  <si>
    <t>25-0462</t>
  </si>
  <si>
    <t>25-0463</t>
  </si>
  <si>
    <t>25-0464</t>
  </si>
  <si>
    <t>25-0465</t>
  </si>
  <si>
    <t>25-0466</t>
  </si>
  <si>
    <t>Flyer, Poster and Rollup banner</t>
  </si>
  <si>
    <t>Business cards (Karim Elkoneicy)</t>
  </si>
  <si>
    <t>Admin Team - Desk Calendar, Pennant flag and Cork notebook set</t>
  </si>
  <si>
    <t xml:space="preserve">A4 folder </t>
  </si>
  <si>
    <t>Business Card  (Aju Abraham Thomas)</t>
  </si>
  <si>
    <t>Business Card (Omar Rishi) (Peter Verheijen)</t>
  </si>
  <si>
    <t>Brochure (Newsletter)</t>
  </si>
  <si>
    <t>PROFORMA</t>
  </si>
  <si>
    <t>25-0467</t>
  </si>
  <si>
    <t>25-0468</t>
  </si>
  <si>
    <t>25-0469</t>
  </si>
  <si>
    <t>25-0470</t>
  </si>
  <si>
    <t>25-0471</t>
  </si>
  <si>
    <t>25-0472</t>
  </si>
  <si>
    <t>25-0473</t>
  </si>
  <si>
    <t>25-0474</t>
  </si>
  <si>
    <t>25-0475</t>
  </si>
  <si>
    <t>25-0476</t>
  </si>
  <si>
    <t>25-0477</t>
  </si>
  <si>
    <t>25-0478</t>
  </si>
  <si>
    <t>Designing Charges for VTrust Logo</t>
  </si>
  <si>
    <t xml:space="preserve">SHARAF TRAVEL SERVICES LLC </t>
  </si>
  <si>
    <t>T shirt (Roundneck), Acrylic Color Paint Set, paint brush an marker</t>
  </si>
  <si>
    <t>100277066500003</t>
  </si>
  <si>
    <t>A4 Flyers - Infofact sheet, Notebook, Metal Pens, Genz sticker and Pennant flags</t>
  </si>
  <si>
    <t>Tote Bags and Metal pen</t>
  </si>
  <si>
    <t>Business Card (100 x 4 names)</t>
  </si>
  <si>
    <t>Onestep Global Ingress Private Limited</t>
  </si>
  <si>
    <t>UG, PG Flyer and brochure</t>
  </si>
  <si>
    <t>Business card (Karishma Joshi)</t>
  </si>
  <si>
    <t>Huron University at Western</t>
  </si>
  <si>
    <t>Brochure and Transportation charges</t>
  </si>
  <si>
    <t>Unique World Business Centre LLC -(BR)</t>
  </si>
  <si>
    <t>Supplies done in August, 2025</t>
  </si>
  <si>
    <t>25-0479</t>
  </si>
  <si>
    <t>25-0480</t>
  </si>
  <si>
    <t>25-0481</t>
  </si>
  <si>
    <t>25-0482</t>
  </si>
  <si>
    <t>25-0483</t>
  </si>
  <si>
    <t>25-0484</t>
  </si>
  <si>
    <t>25-0485</t>
  </si>
  <si>
    <t>25-0486</t>
  </si>
  <si>
    <t>25-0487</t>
  </si>
  <si>
    <t>25-0488</t>
  </si>
  <si>
    <t>25-0489</t>
  </si>
  <si>
    <t>25-0490</t>
  </si>
  <si>
    <t>25-0491</t>
  </si>
  <si>
    <t>25-0492</t>
  </si>
  <si>
    <t>25-0493</t>
  </si>
  <si>
    <t>25-0494</t>
  </si>
  <si>
    <t>25-0495</t>
  </si>
  <si>
    <t>ARK Creators</t>
  </si>
  <si>
    <t>Gift Hamper 1 and 2</t>
  </si>
  <si>
    <t xml:space="preserve">Posters </t>
  </si>
  <si>
    <t>A4 Flyers (Med and games)</t>
  </si>
  <si>
    <t>Event Lab FZ LLC</t>
  </si>
  <si>
    <t>100448477800003</t>
  </si>
  <si>
    <t xml:space="preserve">Branding with sticker on Catalogues </t>
  </si>
  <si>
    <t>Pin badge</t>
  </si>
  <si>
    <t xml:space="preserve">Brochure, 3 fold brochure  </t>
  </si>
  <si>
    <t>Navitas SAE FZ-LLC</t>
  </si>
  <si>
    <t>100282822400003</t>
  </si>
  <si>
    <t xml:space="preserve">3 fold Brochure </t>
  </si>
  <si>
    <t>Flyer  and Canvas bag</t>
  </si>
  <si>
    <t>Business Card (Maeva Alessi)</t>
  </si>
  <si>
    <t>Business Card (Nathil Pillai)</t>
  </si>
  <si>
    <t>Business Card (Victor Wai and Zina S)</t>
  </si>
  <si>
    <t>Business Card  (Aamir Bakshi)</t>
  </si>
  <si>
    <t>Business Card (Youssef Dbiri)</t>
  </si>
  <si>
    <t>Meeting Expenses 12/Sep/2025</t>
  </si>
  <si>
    <t>Hoodie with zipper (Void see inv 25-0466</t>
  </si>
  <si>
    <t>Flyer and Hoodie</t>
  </si>
  <si>
    <t>25-0496</t>
  </si>
  <si>
    <t>25-0497</t>
  </si>
  <si>
    <t>Notebook (A6 and A5)</t>
  </si>
  <si>
    <t>Business card '(Sandeep Subash)</t>
  </si>
  <si>
    <t>25-0498</t>
  </si>
  <si>
    <t>25-0499</t>
  </si>
  <si>
    <t>25-0500</t>
  </si>
  <si>
    <t>25-0501</t>
  </si>
  <si>
    <t>25-0502</t>
  </si>
  <si>
    <t>25-0503</t>
  </si>
  <si>
    <t>25-0504</t>
  </si>
  <si>
    <t>25-0505</t>
  </si>
  <si>
    <t>25-0506</t>
  </si>
  <si>
    <t>25-0507</t>
  </si>
  <si>
    <t>25-0508</t>
  </si>
  <si>
    <t>25-0509</t>
  </si>
  <si>
    <t>25-0510</t>
  </si>
  <si>
    <t>25-0511</t>
  </si>
  <si>
    <t>25-0512</t>
  </si>
  <si>
    <t>25-0513</t>
  </si>
  <si>
    <t>Meeting Expenses 19/Sep/2025</t>
  </si>
  <si>
    <t>Business card ( Karishma and Shelby)</t>
  </si>
  <si>
    <t xml:space="preserve">Polo shirts (kids) </t>
  </si>
  <si>
    <t xml:space="preserve">IELTS Vouchers </t>
  </si>
  <si>
    <t>Volunteer's vest (customized) and Badge</t>
  </si>
  <si>
    <t>Mr. Mohamed Sinaj Sali</t>
  </si>
  <si>
    <t>Notebook, PVC card, Plaques, Souvenir, Ceramic Mugs, Voucher, Banner, A4 print and Hostess</t>
  </si>
  <si>
    <t>Potli Set, Ghungroo Bracelet, Swan Diya and Potli for Swan Diya</t>
  </si>
  <si>
    <t>25-0514</t>
  </si>
  <si>
    <t>25-0515</t>
  </si>
  <si>
    <t>25-0516</t>
  </si>
  <si>
    <t>25-0517</t>
  </si>
  <si>
    <t>25-0518</t>
  </si>
  <si>
    <t>Envelope, Business card</t>
  </si>
  <si>
    <t>ROADSHOW - 21 Sept 25, Grand Hyatt Dubai</t>
  </si>
  <si>
    <t>ROADSHOW - 20 Sept 25, Conrad, ABU DHABI</t>
  </si>
  <si>
    <t>Aprons with pocket</t>
  </si>
  <si>
    <t xml:space="preserve">Stamp </t>
  </si>
  <si>
    <t xml:space="preserve">A5 flyer </t>
  </si>
  <si>
    <t>Austria 2025</t>
  </si>
  <si>
    <t>GNX</t>
  </si>
  <si>
    <t>Bio Fresh Roundneck T shirt</t>
  </si>
  <si>
    <t>Printing on Glass Bottle (Client provided)</t>
  </si>
  <si>
    <t>Flyers, Pen, Bag, Genz sticker, Brochure and notebook</t>
  </si>
  <si>
    <t>25-0519</t>
  </si>
  <si>
    <t>25-0520</t>
  </si>
  <si>
    <t>25-0521</t>
  </si>
  <si>
    <t>25-0522</t>
  </si>
  <si>
    <t>Business Card (100 x 24 name)</t>
  </si>
  <si>
    <t>Ceramic mugs</t>
  </si>
  <si>
    <t>Ms Krishma Gehani</t>
  </si>
  <si>
    <t>Changing the Company name on existing signage</t>
  </si>
  <si>
    <t>25-0523</t>
  </si>
  <si>
    <t>25-0524</t>
  </si>
  <si>
    <t>Meeting Expenses 26/Sep/2025</t>
  </si>
  <si>
    <t>25-0525</t>
  </si>
  <si>
    <t>25-0526</t>
  </si>
  <si>
    <t>25-0527</t>
  </si>
  <si>
    <t>25-0528</t>
  </si>
  <si>
    <t>25-0529</t>
  </si>
  <si>
    <t>25-0530</t>
  </si>
  <si>
    <t>25-0531</t>
  </si>
  <si>
    <t>25-0532</t>
  </si>
  <si>
    <t>Supplies done in September, 2025</t>
  </si>
  <si>
    <t>Business card ( Mohamed Bamatrf and Pallavi Ranjan Gera)</t>
  </si>
  <si>
    <t>Business Card (Aju Thomas)</t>
  </si>
  <si>
    <t>Business Cards (200 x 8 and 100 x5)</t>
  </si>
  <si>
    <t>Office Boy, Cleaner uniform and Shoes, Epoxy Badge</t>
  </si>
  <si>
    <t>Rental and Swan in potli</t>
  </si>
  <si>
    <t>Bottle</t>
  </si>
  <si>
    <t>25-0533</t>
  </si>
  <si>
    <t>25-0534</t>
  </si>
  <si>
    <t>25-0535</t>
  </si>
  <si>
    <t>25-0536</t>
  </si>
  <si>
    <t>25-0537</t>
  </si>
  <si>
    <t>25-0538</t>
  </si>
  <si>
    <t>25-0539</t>
  </si>
  <si>
    <t>25-0540</t>
  </si>
  <si>
    <t>25-0541</t>
  </si>
  <si>
    <t>25-0542</t>
  </si>
  <si>
    <t>Saurabh General Trading LLC</t>
  </si>
  <si>
    <t>104431894500003</t>
  </si>
  <si>
    <t>Signage</t>
  </si>
  <si>
    <t>Arametal Oil Field Equipment Industry LLC</t>
  </si>
  <si>
    <t>100394675100003</t>
  </si>
  <si>
    <t>APPLUS RTD GULF DMCC</t>
  </si>
  <si>
    <t xml:space="preserve">Sunshade </t>
  </si>
  <si>
    <t>100371972900003</t>
  </si>
  <si>
    <t>Business card ((Susheel Kumar Jorrige)</t>
  </si>
  <si>
    <t xml:space="preserve">Business card (Omar Rishi) </t>
  </si>
  <si>
    <t>A5 Flyer</t>
  </si>
  <si>
    <t>Meeting Expenses 03/Oct/2025</t>
  </si>
  <si>
    <t>Card </t>
  </si>
  <si>
    <t>25-0543</t>
  </si>
  <si>
    <t>25-0544</t>
  </si>
  <si>
    <t>25-0545</t>
  </si>
  <si>
    <t>25-0546</t>
  </si>
  <si>
    <t>25-0547</t>
  </si>
  <si>
    <t>25-0548</t>
  </si>
  <si>
    <t>25-0549</t>
  </si>
  <si>
    <t>25-0550</t>
  </si>
  <si>
    <t>25-0551</t>
  </si>
  <si>
    <t>25-0552</t>
  </si>
  <si>
    <t>Cotton cap</t>
  </si>
  <si>
    <t xml:space="preserve"> Business Card (100 x 1  name)</t>
  </si>
  <si>
    <t>3 fold brochure, Sticker and Business card</t>
  </si>
  <si>
    <t>Cube branding (Inspirify)</t>
  </si>
  <si>
    <t>Datagram Network Technologies LLC</t>
  </si>
  <si>
    <t>100528201500003</t>
  </si>
  <si>
    <t>Lamsah Glass</t>
  </si>
  <si>
    <t>100207923200003</t>
  </si>
  <si>
    <t>Business Card (250 x 2 name)</t>
  </si>
  <si>
    <t>Paper Bag and A4 Pocket Folder</t>
  </si>
  <si>
    <t>Business Card ( (Evas Fundikwa))</t>
  </si>
  <si>
    <t>Business Card 100 x 2 name</t>
  </si>
  <si>
    <t>Mobile Business Company JSC</t>
  </si>
  <si>
    <t>100564876900003</t>
  </si>
  <si>
    <t>Embroidery On client provided Polo shirts</t>
  </si>
  <si>
    <t>25-0553</t>
  </si>
  <si>
    <t>25-0554</t>
  </si>
  <si>
    <t>25-0555</t>
  </si>
  <si>
    <t>25-0556</t>
  </si>
  <si>
    <t>25-0557</t>
  </si>
  <si>
    <t>25-0558</t>
  </si>
  <si>
    <t>25-0559</t>
  </si>
  <si>
    <t>25-0560</t>
  </si>
  <si>
    <t>25-0561</t>
  </si>
  <si>
    <t>For Cepheid</t>
  </si>
  <si>
    <t xml:space="preserve">Business Card (Farid Belbouab) </t>
  </si>
  <si>
    <t>Business Card  (Amila Vidanagamage)</t>
  </si>
  <si>
    <t>Business Card  (PERI)</t>
  </si>
  <si>
    <t>Atelie Ice Cream Manufacturing L.L.C</t>
  </si>
  <si>
    <t>105054649600001</t>
  </si>
  <si>
    <t>Embroidery on client-provided Polo shirts</t>
  </si>
  <si>
    <t>Business cards (Mohamed Abdulmotalib)</t>
  </si>
  <si>
    <t>Meeting Expenses 10/Oct/2025</t>
  </si>
  <si>
    <t>Business card (500 x 8 name)</t>
  </si>
  <si>
    <t>25-0562</t>
  </si>
  <si>
    <t>25-0563</t>
  </si>
  <si>
    <t>25-0564</t>
  </si>
  <si>
    <t>25-0568</t>
  </si>
  <si>
    <t>25-0569</t>
  </si>
  <si>
    <t>25-0570</t>
  </si>
  <si>
    <t>25-0571</t>
  </si>
  <si>
    <t>25-0572</t>
  </si>
  <si>
    <t>25-0573</t>
  </si>
  <si>
    <t>25-0574</t>
  </si>
  <si>
    <t>25-0575</t>
  </si>
  <si>
    <t>25-0576</t>
  </si>
  <si>
    <t>25-0577</t>
  </si>
  <si>
    <t>BC Academy International School L.L.C</t>
  </si>
  <si>
    <t>Paper cups</t>
  </si>
  <si>
    <t>Medrich Care Dental &amp; Medical Center L.L.C</t>
  </si>
  <si>
    <t>104521490300003</t>
  </si>
  <si>
    <t>Business cards (Sang Yoon Lee)</t>
  </si>
  <si>
    <t>Business Card (Mahmoud Hamza)</t>
  </si>
  <si>
    <t>Flyer - 2-fold (200 x 2 artwork)</t>
  </si>
  <si>
    <t xml:space="preserve">Diwali Gift Hamper - </t>
  </si>
  <si>
    <t>Printing of the Birthday banner for Carter</t>
  </si>
  <si>
    <t xml:space="preserve">Careers </t>
  </si>
  <si>
    <t xml:space="preserve">Academics </t>
  </si>
  <si>
    <t>Facilities</t>
  </si>
  <si>
    <t>STS</t>
  </si>
  <si>
    <t>Flyer and Rollup banner</t>
  </si>
  <si>
    <t xml:space="preserve">Poster with frame </t>
  </si>
  <si>
    <t>25-0578</t>
  </si>
  <si>
    <t>Business Card (Arvind Giri)</t>
  </si>
  <si>
    <t>25-0579</t>
  </si>
  <si>
    <t>25-0580</t>
  </si>
  <si>
    <t>25-0581</t>
  </si>
  <si>
    <t>25-0582</t>
  </si>
  <si>
    <t>25-0583</t>
  </si>
  <si>
    <t>25-0584</t>
  </si>
  <si>
    <t>25-0585</t>
  </si>
  <si>
    <t>25-0586</t>
  </si>
  <si>
    <t>25-0587</t>
  </si>
  <si>
    <t>25-0588</t>
  </si>
  <si>
    <t>25-0589</t>
  </si>
  <si>
    <t>Meeting Expenses 17/Oct/2025</t>
  </si>
  <si>
    <t>Tote Bag</t>
  </si>
  <si>
    <t>Roundneck T-shirt , Polo shirt and Rollup banner</t>
  </si>
  <si>
    <t>Business card and Epoxy badge</t>
  </si>
  <si>
    <t>Gift Bag - Fam trip </t>
  </si>
  <si>
    <t>Business Card (Binoj James)</t>
  </si>
  <si>
    <t>Ramfoam Containers Manufacturing LLC</t>
  </si>
  <si>
    <t xml:space="preserve">Safety Vest </t>
  </si>
  <si>
    <t>100332190600003</t>
  </si>
  <si>
    <t>The University of Manchester Worldwide Limited</t>
  </si>
  <si>
    <t>100307922300003</t>
  </si>
  <si>
    <t xml:space="preserve">Tyvek Wrist band with QR code </t>
  </si>
  <si>
    <t>Flower decoration for Podium</t>
  </si>
  <si>
    <t xml:space="preserve">Mr. P V B P Sarma </t>
  </si>
  <si>
    <t>SKROSS® TRAVEL - Classic All in One Coffee Maker</t>
  </si>
  <si>
    <t>25-0590</t>
  </si>
  <si>
    <t>Waisl Digital</t>
  </si>
  <si>
    <t>25-0591</t>
  </si>
  <si>
    <t>25-0592</t>
  </si>
  <si>
    <t>25-0593</t>
  </si>
  <si>
    <t>25-0594</t>
  </si>
  <si>
    <t>25-0595</t>
  </si>
  <si>
    <t>25-0596</t>
  </si>
  <si>
    <t>25-0597</t>
  </si>
  <si>
    <t>25-0598</t>
  </si>
  <si>
    <t>25-0599</t>
  </si>
  <si>
    <t>25-0600</t>
  </si>
  <si>
    <t>25-0601</t>
  </si>
  <si>
    <t>25-0602</t>
  </si>
  <si>
    <t>25-0603</t>
  </si>
  <si>
    <t>25-0604</t>
  </si>
  <si>
    <t>25-0605</t>
  </si>
  <si>
    <t>25-0606</t>
  </si>
  <si>
    <t>25-0607</t>
  </si>
  <si>
    <t>25-0608</t>
  </si>
  <si>
    <t>25-0609</t>
  </si>
  <si>
    <t>25-0610</t>
  </si>
  <si>
    <t>25-0611</t>
  </si>
  <si>
    <t>25-0612</t>
  </si>
  <si>
    <t>25-0613</t>
  </si>
  <si>
    <t>25-0614</t>
  </si>
  <si>
    <t>25-0615</t>
  </si>
  <si>
    <t>25-0616</t>
  </si>
  <si>
    <t>25-0617</t>
  </si>
  <si>
    <t>25-0618</t>
  </si>
  <si>
    <t>25-0619</t>
  </si>
  <si>
    <t>25-0620</t>
  </si>
  <si>
    <t>25-0621</t>
  </si>
  <si>
    <t>25-0622</t>
  </si>
  <si>
    <t>25-0623</t>
  </si>
  <si>
    <t>25-0624</t>
  </si>
  <si>
    <t>Business card (Amith and Alphin))</t>
  </si>
  <si>
    <t>At Your Service Productions LLC</t>
  </si>
  <si>
    <t>Polo Shirt </t>
  </si>
  <si>
    <t>Sarah for Food and Beverages Trading Co. L.L.C</t>
  </si>
  <si>
    <t>Polo shirt and Cap</t>
  </si>
  <si>
    <t>Business cards (P.G Haridas)</t>
  </si>
  <si>
    <t>LIV Global Travel LLC</t>
  </si>
  <si>
    <t>Paper bag and 3 fold brochure</t>
  </si>
  <si>
    <t>Indo Tausch Trading DMCC</t>
  </si>
  <si>
    <t>Business card ' (Pankaj Jha)</t>
  </si>
  <si>
    <t>Eco-neutral A5 Cork Fabric Hard Cover Notebook and Pen Set</t>
  </si>
  <si>
    <t>Desk Calendar 2026, Pennant flags, Genz sticker, Lapel pin and Gift Bag - Fam trip</t>
  </si>
  <si>
    <t>A5 flyer, Rollup banner, A3 Desktop Rollup 
Table Cloth, Test date card and Business Cards</t>
  </si>
  <si>
    <t>Business card 200 x 4 name</t>
  </si>
  <si>
    <t>Meeting Expenses 24/Oct/2025</t>
  </si>
  <si>
    <t>NCR books</t>
  </si>
  <si>
    <t>Desk Calendar 2026</t>
  </si>
  <si>
    <t>Onestep Global Ingress - FZCO</t>
  </si>
  <si>
    <t>Marketing Stock (Eco natural Notebook, Backdrop, Poster)</t>
  </si>
  <si>
    <t>Agenda Card (55 x 1 art work / 24x 1 art work)</t>
  </si>
  <si>
    <t>Paper bags</t>
  </si>
  <si>
    <t>Business Card - (Nouha Kedous)</t>
  </si>
  <si>
    <t>Keystone Consulting FZE LLC</t>
  </si>
  <si>
    <t>Double Wall Vacuum Water bottle</t>
  </si>
  <si>
    <t>Business cards ('100 x 2 names)</t>
  </si>
  <si>
    <t>Business cards - (Molby Mascarenhas)</t>
  </si>
  <si>
    <t>Supplies done in October, 2025</t>
  </si>
  <si>
    <t>Unique World Business Centre LLC -(Br)</t>
  </si>
  <si>
    <t>Business Card - ( Sara Eid )</t>
  </si>
  <si>
    <t>Cotton Tote Bag, Flyer, Brochure</t>
  </si>
  <si>
    <t>Business cards ,Rubber Stamp and Badges</t>
  </si>
  <si>
    <t>Certificate, Poster and Rollup</t>
  </si>
  <si>
    <t>Business Cards ('200 x 5 name)</t>
  </si>
  <si>
    <t>Meeting Expenses 31/Oct/2025</t>
  </si>
  <si>
    <t>ORIGA GENERAL CONTRACTING LLC</t>
  </si>
  <si>
    <t>25-0625</t>
  </si>
  <si>
    <t>25-0626</t>
  </si>
  <si>
    <t>25-0627</t>
  </si>
  <si>
    <t>25-0628</t>
  </si>
  <si>
    <t>25-0629</t>
  </si>
  <si>
    <t>25-0630</t>
  </si>
  <si>
    <t>25-0631</t>
  </si>
  <si>
    <t>25-0632</t>
  </si>
  <si>
    <t>25-0633</t>
  </si>
  <si>
    <t>25-0634</t>
  </si>
  <si>
    <t>25-0635</t>
  </si>
  <si>
    <t>Business cards (Offset printing) - void see Inv 25-0618</t>
  </si>
  <si>
    <t>Murdoch University</t>
  </si>
  <si>
    <t>MURDOCH Dubai Grads - Print assets</t>
  </si>
  <si>
    <t>ROI Management Consultancy FZCO</t>
  </si>
  <si>
    <t>100341200200003</t>
  </si>
  <si>
    <t>Business Cards (250 x 3 name)</t>
  </si>
  <si>
    <t>Polo Shirt and Pants</t>
  </si>
  <si>
    <t>SWISS BUSINESS COUNCIL (DMCC BRANCH)</t>
  </si>
  <si>
    <t>100212272700003</t>
  </si>
  <si>
    <t>Metal signage, Backdrop (Customized), Wooden Plaque and Printing on Gold Plate</t>
  </si>
  <si>
    <t>Crystal Trophy</t>
  </si>
  <si>
    <t>Meeting Expenses 7/Nov/2025</t>
  </si>
  <si>
    <t>Ms. Yasmine Nasr</t>
  </si>
  <si>
    <t>Birthday Balloon Prop Set up</t>
  </si>
  <si>
    <t xml:space="preserve">Round neck Tshirt </t>
  </si>
  <si>
    <t>Ms. Sarah Btaddini</t>
  </si>
  <si>
    <t>25-0636</t>
  </si>
  <si>
    <t>25-0637</t>
  </si>
  <si>
    <t>25-0638</t>
  </si>
  <si>
    <t>25-0639</t>
  </si>
  <si>
    <t>25-0640</t>
  </si>
  <si>
    <t>25-0641</t>
  </si>
  <si>
    <t>25-0642</t>
  </si>
  <si>
    <t>25-0643</t>
  </si>
  <si>
    <t>25-0644</t>
  </si>
  <si>
    <t>25-0645</t>
  </si>
  <si>
    <t>25-0646</t>
  </si>
  <si>
    <t>25-0647</t>
  </si>
  <si>
    <t>25-0648</t>
  </si>
  <si>
    <t>25-0649</t>
  </si>
  <si>
    <t>25-0650</t>
  </si>
  <si>
    <t>25-0651</t>
  </si>
  <si>
    <t>25-0652</t>
  </si>
  <si>
    <t>25-0653</t>
  </si>
  <si>
    <t>25-0654</t>
  </si>
  <si>
    <t>25-0655</t>
  </si>
  <si>
    <t>Gift Box ( 50% Advance payment)</t>
  </si>
  <si>
    <t>Adverve Marketing Management Co. L.L.C</t>
  </si>
  <si>
    <t>104126628700003</t>
  </si>
  <si>
    <t>Sample Cost for the Collapsible Box</t>
  </si>
  <si>
    <t>Business Card (100 x 1 name)</t>
  </si>
  <si>
    <t>Invitation card and Envelope</t>
  </si>
  <si>
    <t>Paper Bags</t>
  </si>
  <si>
    <t>Ground Floor Branding</t>
  </si>
  <si>
    <t>Meeting Expenses 14/Nov/2025</t>
  </si>
  <si>
    <t>Investmenter Real Estate LLC</t>
  </si>
  <si>
    <t>T-shirts</t>
  </si>
  <si>
    <t xml:space="preserve">Gift Packaging Box </t>
  </si>
  <si>
    <t>Metal Pen- Pecunia and Aurantius</t>
  </si>
  <si>
    <t xml:space="preserve">Roll Up Banner and Table Flag </t>
  </si>
  <si>
    <t>Business Card ( Sabha Surti )</t>
  </si>
  <si>
    <t>Business Card (Aurelien Balp)</t>
  </si>
  <si>
    <t>Business Card (Zina S )</t>
  </si>
  <si>
    <t>100366318200003</t>
  </si>
  <si>
    <t>IDP Education LLC</t>
  </si>
  <si>
    <t>Gift box (Mug, notebook and Bluetooth Speaker)</t>
  </si>
  <si>
    <t>Business Card - 200 x 2 name</t>
  </si>
  <si>
    <t>Gift Box</t>
  </si>
  <si>
    <t>25-0656</t>
  </si>
  <si>
    <t>25-0657</t>
  </si>
  <si>
    <t>25-0658</t>
  </si>
  <si>
    <t>25-0659</t>
  </si>
  <si>
    <t>25-0660</t>
  </si>
  <si>
    <t>25-0661</t>
  </si>
  <si>
    <t>Round neck T-shirts</t>
  </si>
  <si>
    <t>4C Integrated Communicators</t>
  </si>
  <si>
    <t>100036330700003</t>
  </si>
  <si>
    <t xml:space="preserve">St Mary's Konkani Community </t>
  </si>
  <si>
    <t>Roll Up Banner</t>
  </si>
  <si>
    <t>UAE Table Flag</t>
  </si>
  <si>
    <t>25-0662</t>
  </si>
  <si>
    <t>25-0663</t>
  </si>
  <si>
    <t>25-0664</t>
  </si>
  <si>
    <t>25-0665</t>
  </si>
  <si>
    <t>25-0667</t>
  </si>
  <si>
    <t>25-0668</t>
  </si>
  <si>
    <t>25-0669</t>
  </si>
  <si>
    <t>25-0670</t>
  </si>
  <si>
    <t>25-0671</t>
  </si>
  <si>
    <t>25-0672</t>
  </si>
  <si>
    <t>25-0673</t>
  </si>
  <si>
    <t>25-0674</t>
  </si>
  <si>
    <t>25-0675</t>
  </si>
  <si>
    <t>Meeting Expenses 21/Nov/2025</t>
  </si>
  <si>
    <t>Business Card ( 100 x 1 Name)</t>
  </si>
  <si>
    <t>Business Card (Afsar Mohammed)</t>
  </si>
  <si>
    <t>Business card (Rashed Nasser)</t>
  </si>
  <si>
    <t>Business Card   ( Jasim Albadi )</t>
  </si>
  <si>
    <t>Business Card   (Peter Verheijen)</t>
  </si>
  <si>
    <t>Business cards (Cyril C Zacharia)</t>
  </si>
  <si>
    <t>Flyer, Checklist, Rollup banner and Business Card (Daisy and Radha)</t>
  </si>
  <si>
    <t>Certificate, Agenda card, Name Tent Cards, Rollup Banner, Name Badge with cover, Metal Ball Pen and Crystal &amp; Marble Award</t>
  </si>
  <si>
    <t>Printing Option 2 for Ground floor branding</t>
  </si>
  <si>
    <t>105017697100001</t>
  </si>
  <si>
    <t>Dahya Yachts Repairing Services L.L.C</t>
  </si>
  <si>
    <t>SR Resources FZC</t>
  </si>
  <si>
    <t>100348338300003</t>
  </si>
  <si>
    <t>25-0676</t>
  </si>
  <si>
    <t>25-0678</t>
  </si>
  <si>
    <t>25-0679</t>
  </si>
  <si>
    <t>25-0680</t>
  </si>
  <si>
    <t>25-0681</t>
  </si>
  <si>
    <t>25-0682</t>
  </si>
  <si>
    <t>25-0683</t>
  </si>
  <si>
    <t>25-0684</t>
  </si>
  <si>
    <t>Business Card ( Precilla Dsouza )</t>
  </si>
  <si>
    <t>Business Card (Rahul Chandran,Abdul Hamid Khan and Mohan Sankar)</t>
  </si>
  <si>
    <t>Business Card ( Binoj James )</t>
  </si>
  <si>
    <t>Business Card (Omar Rishi)</t>
  </si>
  <si>
    <t>Brochure for University of Alberta</t>
  </si>
  <si>
    <t>Meeting Expenses 28/Nov/2025</t>
  </si>
  <si>
    <t>Supplies done in November, 2025</t>
  </si>
  <si>
    <t>25-0677</t>
  </si>
  <si>
    <t>25-0685</t>
  </si>
  <si>
    <t>25-0686</t>
  </si>
  <si>
    <t>25-0687</t>
  </si>
  <si>
    <t>25-0688</t>
  </si>
  <si>
    <t>25-0689</t>
  </si>
  <si>
    <t>25-0690</t>
  </si>
  <si>
    <t>25-0691</t>
  </si>
  <si>
    <t>25-0692</t>
  </si>
  <si>
    <t>25-0693</t>
  </si>
  <si>
    <t>25-0694</t>
  </si>
  <si>
    <t>Sample cost for the drinking glass</t>
  </si>
  <si>
    <t xml:space="preserve">Legal Square </t>
  </si>
  <si>
    <t>Business Card ( Daniel Caton )</t>
  </si>
  <si>
    <t>Business Card (Gini Johny)</t>
  </si>
  <si>
    <t>Business Card ( Jasim Albadi )</t>
  </si>
  <si>
    <t>Business Card ( Sahul Hameed )</t>
  </si>
  <si>
    <t>Business Card (Farid Belbouab)</t>
  </si>
  <si>
    <t>Wooden Plaque</t>
  </si>
  <si>
    <t>Polo shirt and Aprons</t>
  </si>
  <si>
    <t>Polo shirts with Chinese neck, Shorts and chef coats</t>
  </si>
  <si>
    <t>25-0695</t>
  </si>
  <si>
    <t>25-0696</t>
  </si>
  <si>
    <t>25-0697</t>
  </si>
  <si>
    <t>25-0698</t>
  </si>
  <si>
    <t>25-0699</t>
  </si>
  <si>
    <t>25-0700</t>
  </si>
  <si>
    <t>25-0701</t>
  </si>
  <si>
    <t>25-0702</t>
  </si>
  <si>
    <t>25-0703</t>
  </si>
  <si>
    <t>25-0704</t>
  </si>
  <si>
    <t>25-0705</t>
  </si>
  <si>
    <t>25-0706</t>
  </si>
  <si>
    <t>Ms. Karishma Joshi</t>
  </si>
  <si>
    <t>Tote Bag and A4 Book </t>
  </si>
  <si>
    <t>Letter Head and business card</t>
  </si>
  <si>
    <t>Polo Shirt and Sporty Grey Pants</t>
  </si>
  <si>
    <t>Business cards (Lydia Geetika)</t>
  </si>
  <si>
    <t>Brochure, Course Guide (PG and UG)</t>
  </si>
  <si>
    <t>IDP Business Cards (Mohamed Elenany) and Certificate</t>
  </si>
  <si>
    <t xml:space="preserve">Metal Name Signage </t>
  </si>
  <si>
    <t>Metal Trophy</t>
  </si>
  <si>
    <t>Rollup and Posters</t>
  </si>
  <si>
    <t>Meeting Expenses 05/Dec/2025</t>
  </si>
  <si>
    <t>Logo creation for Swiss Business Council</t>
  </si>
  <si>
    <t>Mr. Edwin</t>
  </si>
  <si>
    <t>25-0707</t>
  </si>
  <si>
    <t>25-0708</t>
  </si>
  <si>
    <t>25-0709</t>
  </si>
  <si>
    <t>25-0710</t>
  </si>
  <si>
    <t>25-0711</t>
  </si>
  <si>
    <t>25-0712</t>
  </si>
  <si>
    <t>25-0713</t>
  </si>
  <si>
    <t>25-0714</t>
  </si>
  <si>
    <t>25-0715</t>
  </si>
  <si>
    <t>25-0716</t>
  </si>
  <si>
    <t>25-0717</t>
  </si>
  <si>
    <t>25-0718</t>
  </si>
  <si>
    <t>25-0719</t>
  </si>
  <si>
    <t>25-0720</t>
  </si>
  <si>
    <t>25-0721</t>
  </si>
  <si>
    <t>Greeting Cards and Envelope</t>
  </si>
  <si>
    <t>Royal Page Co FZE</t>
  </si>
  <si>
    <t>104153172200003</t>
  </si>
  <si>
    <t>Iceberg Design Crystal Awards with Glass Base</t>
  </si>
  <si>
    <t xml:space="preserve">Arabian dhow </t>
  </si>
  <si>
    <t xml:space="preserve">TAM TRADING FZ-LLC </t>
  </si>
  <si>
    <t>100476865900003</t>
  </si>
  <si>
    <t>A5 PU Notebook, Metal Ballpoint Pen and Calendar</t>
  </si>
  <si>
    <t>Business card and Epoxy Badges</t>
  </si>
  <si>
    <t>Business Card (Prashant Jagadish)</t>
  </si>
  <si>
    <t>Business Card (Stanley Clemence, (Swaminathan Vanchinath and rahul Chandran)</t>
  </si>
  <si>
    <t>Business cards -Thermo king (Konstantin Kryazhevskikh)</t>
  </si>
  <si>
    <t>Business cards (Mohamed Mostafa)</t>
  </si>
  <si>
    <t>Ms. Sally Souleman</t>
  </si>
  <si>
    <t>Hoodies (without zipper)</t>
  </si>
  <si>
    <t xml:space="preserve">Polo shirts with Chinese neck </t>
  </si>
  <si>
    <t>Business Card (Selvakumar, Melisa Santoso and Farid Belbouab)</t>
  </si>
  <si>
    <t>25-0722</t>
  </si>
  <si>
    <t>25-0723</t>
  </si>
  <si>
    <t>25-0724</t>
  </si>
  <si>
    <t>25-0725</t>
  </si>
  <si>
    <t>25-0726</t>
  </si>
  <si>
    <t>Meeting Expenses 12/Dec/2025</t>
  </si>
  <si>
    <t xml:space="preserve">Business Card, Calendar 2026 and A5 PU Notebook  </t>
  </si>
  <si>
    <t>Blue and Clear Trophy - Small</t>
  </si>
  <si>
    <t>25-0727</t>
  </si>
  <si>
    <t>Meeting Expenses 19/Dec/2025</t>
  </si>
  <si>
    <t>25-0728</t>
  </si>
  <si>
    <t>25-0729</t>
  </si>
  <si>
    <t>Harshika's Birthday Party Setup</t>
  </si>
  <si>
    <t>25-0730</t>
  </si>
  <si>
    <t>25-0731</t>
  </si>
  <si>
    <t>25-0732</t>
  </si>
  <si>
    <t>25-0733</t>
  </si>
  <si>
    <t>25-0734</t>
  </si>
  <si>
    <t>25-0735</t>
  </si>
  <si>
    <t>25-0736</t>
  </si>
  <si>
    <t>25-0737</t>
  </si>
  <si>
    <t>25-0738</t>
  </si>
  <si>
    <t>25-0739</t>
  </si>
  <si>
    <t>25-0740</t>
  </si>
  <si>
    <t>25-0741</t>
  </si>
  <si>
    <t>25-0742</t>
  </si>
  <si>
    <t>25-0743</t>
  </si>
  <si>
    <t>25-0744</t>
  </si>
  <si>
    <t>25-0745</t>
  </si>
  <si>
    <t>Radiant Car Workshop</t>
  </si>
  <si>
    <t>100245597800003</t>
  </si>
  <si>
    <t>Polo shirt, Cargo pant and Shoes</t>
  </si>
  <si>
    <t>Paper sticker</t>
  </si>
  <si>
    <t>Warm Glow Goods Wholesalers L.L.C</t>
  </si>
  <si>
    <t>104708459300003</t>
  </si>
  <si>
    <t>Vehicle Branding - 3T Pickup truck (Double cabin)</t>
  </si>
  <si>
    <t>Take Me Live</t>
  </si>
  <si>
    <t>Cotton Bag, Bottle, Notebook, Plastic Pen, Anti Stress ball, Tshirt and Epoxy badge</t>
  </si>
  <si>
    <t>Buiness Card (Shiela)</t>
  </si>
  <si>
    <t>Buiness Card (Baha Rashid)</t>
  </si>
  <si>
    <t>Buiness Card (Murugan Ramaiah)</t>
  </si>
  <si>
    <t>Buiness Card (Riyaz Shaik)</t>
  </si>
  <si>
    <t>Supplies done in December, 2025</t>
  </si>
  <si>
    <t xml:space="preserve">Bamboo Ballpoint Pen, Stylus Metal Pen, Desk Calendar 2026, PU Notebook and A5 Hardcover Notebook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</si>
</sst>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-* #,##0.00_-;\-* #,##0.00_-;_-* &quot;-&quot;??_-;_-@_-"/>
    <numFmt numFmtId="166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9" tint="-0.499984740745262"/>
      <name val="Calibri"/>
      <family val="2"/>
    </font>
    <font>
      <sz val="10"/>
      <name val="Calibri"/>
      <family val="2"/>
    </font>
    <font>
      <sz val="10"/>
      <color rgb="FFC00000"/>
      <name val="Calibri"/>
      <family val="2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10"/>
      <color rgb="FF9A0000"/>
      <name val="Calibri"/>
      <family val="2"/>
    </font>
    <font>
      <sz val="9"/>
      <color rgb="FF9A0000"/>
      <name val="Calibri"/>
      <family val="2"/>
    </font>
    <font>
      <b/>
      <sz val="10"/>
      <color rgb="FFC00000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1">
    <xf numFmtId="0" fontId="0" fillId="0" borderId="0" xfId="0"/>
    <xf numFmtId="43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2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3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165" fontId="3" fillId="0" borderId="0" xfId="0" applyNumberFormat="1" applyFont="1"/>
    <xf numFmtId="0" fontId="6" fillId="3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0" borderId="5" xfId="0" applyFont="1" applyBorder="1" applyAlignment="1">
      <alignment horizontal="center"/>
    </xf>
    <xf numFmtId="0" fontId="3" fillId="0" borderId="6" xfId="0" applyFont="1" applyBorder="1"/>
    <xf numFmtId="43" fontId="3" fillId="0" borderId="5" xfId="1" applyFont="1" applyBorder="1"/>
    <xf numFmtId="0" fontId="3" fillId="0" borderId="5" xfId="0" applyFont="1" applyBorder="1"/>
    <xf numFmtId="0" fontId="3" fillId="0" borderId="7" xfId="0" applyFont="1" applyBorder="1"/>
    <xf numFmtId="43" fontId="3" fillId="0" borderId="8" xfId="1" applyFont="1" applyBorder="1"/>
    <xf numFmtId="0" fontId="3" fillId="0" borderId="8" xfId="0" applyFont="1" applyBorder="1"/>
    <xf numFmtId="0" fontId="3" fillId="0" borderId="9" xfId="0" applyFont="1" applyBorder="1"/>
    <xf numFmtId="43" fontId="3" fillId="0" borderId="10" xfId="1" applyFont="1" applyBorder="1"/>
    <xf numFmtId="43" fontId="3" fillId="0" borderId="10" xfId="0" applyNumberFormat="1" applyFont="1" applyBorder="1"/>
    <xf numFmtId="43" fontId="3" fillId="0" borderId="5" xfId="0" applyNumberFormat="1" applyFont="1" applyBorder="1"/>
    <xf numFmtId="43" fontId="3" fillId="0" borderId="8" xfId="0" applyNumberFormat="1" applyFont="1" applyBorder="1"/>
    <xf numFmtId="43" fontId="3" fillId="5" borderId="10" xfId="0" applyNumberFormat="1" applyFont="1" applyFill="1" applyBorder="1"/>
    <xf numFmtId="0" fontId="3" fillId="0" borderId="10" xfId="0" applyFont="1" applyBorder="1"/>
    <xf numFmtId="43" fontId="2" fillId="4" borderId="11" xfId="0" applyNumberFormat="1" applyFont="1" applyFill="1" applyBorder="1"/>
    <xf numFmtId="43" fontId="3" fillId="0" borderId="0" xfId="1" applyFont="1"/>
    <xf numFmtId="49" fontId="7" fillId="6" borderId="1" xfId="0" quotePrefix="1" applyNumberFormat="1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 vertical="top"/>
    </xf>
    <xf numFmtId="2" fontId="7" fillId="6" borderId="1" xfId="0" quotePrefix="1" applyNumberFormat="1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0" fontId="7" fillId="6" borderId="4" xfId="0" applyFont="1" applyFill="1" applyBorder="1"/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top"/>
    </xf>
    <xf numFmtId="0" fontId="3" fillId="7" borderId="1" xfId="0" applyFont="1" applyFill="1" applyBorder="1"/>
    <xf numFmtId="43" fontId="3" fillId="7" borderId="1" xfId="1" applyFont="1" applyFill="1" applyBorder="1"/>
    <xf numFmtId="43" fontId="3" fillId="7" borderId="1" xfId="2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vertical="top" wrapText="1"/>
    </xf>
    <xf numFmtId="43" fontId="3" fillId="7" borderId="1" xfId="1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3" fontId="3" fillId="10" borderId="1" xfId="1" applyFont="1" applyFill="1" applyBorder="1"/>
    <xf numFmtId="43" fontId="3" fillId="10" borderId="1" xfId="2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top"/>
    </xf>
    <xf numFmtId="49" fontId="11" fillId="10" borderId="1" xfId="0" applyNumberFormat="1" applyFont="1" applyFill="1" applyBorder="1" applyAlignment="1">
      <alignment horizontal="center"/>
    </xf>
    <xf numFmtId="0" fontId="11" fillId="10" borderId="1" xfId="0" applyFont="1" applyFill="1" applyBorder="1"/>
    <xf numFmtId="164" fontId="11" fillId="10" borderId="1" xfId="0" applyNumberFormat="1" applyFont="1" applyFill="1" applyBorder="1" applyAlignment="1">
      <alignment horizontal="center" vertical="center"/>
    </xf>
    <xf numFmtId="43" fontId="11" fillId="10" borderId="1" xfId="1" applyFont="1" applyFill="1" applyBorder="1"/>
    <xf numFmtId="43" fontId="11" fillId="10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0" fontId="13" fillId="6" borderId="1" xfId="0" applyFont="1" applyFill="1" applyBorder="1"/>
    <xf numFmtId="0" fontId="14" fillId="6" borderId="1" xfId="0" applyFont="1" applyFill="1" applyBorder="1"/>
    <xf numFmtId="0" fontId="13" fillId="6" borderId="1" xfId="0" applyFont="1" applyFill="1" applyBorder="1" applyAlignment="1">
      <alignment vertical="top"/>
    </xf>
    <xf numFmtId="0" fontId="13" fillId="10" borderId="1" xfId="0" applyFont="1" applyFill="1" applyBorder="1"/>
    <xf numFmtId="0" fontId="13" fillId="6" borderId="2" xfId="0" applyFont="1" applyFill="1" applyBorder="1"/>
    <xf numFmtId="0" fontId="13" fillId="6" borderId="3" xfId="0" applyFont="1" applyFill="1" applyBorder="1"/>
    <xf numFmtId="0" fontId="13" fillId="6" borderId="4" xfId="0" applyFont="1" applyFill="1" applyBorder="1"/>
    <xf numFmtId="166" fontId="3" fillId="7" borderId="1" xfId="1" applyNumberFormat="1" applyFont="1" applyFill="1" applyBorder="1"/>
    <xf numFmtId="164" fontId="3" fillId="4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49" fontId="12" fillId="10" borderId="1" xfId="0" applyNumberFormat="1" applyFont="1" applyFill="1" applyBorder="1" applyAlignment="1">
      <alignment horizontal="center"/>
    </xf>
    <xf numFmtId="0" fontId="12" fillId="10" borderId="1" xfId="0" applyFont="1" applyFill="1" applyBorder="1"/>
    <xf numFmtId="43" fontId="12" fillId="10" borderId="1" xfId="1" applyFont="1" applyFill="1" applyBorder="1"/>
    <xf numFmtId="43" fontId="12" fillId="10" borderId="1" xfId="2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/>
    </xf>
    <xf numFmtId="0" fontId="7" fillId="6" borderId="12" xfId="0" applyFont="1" applyFill="1" applyBorder="1"/>
    <xf numFmtId="164" fontId="3" fillId="7" borderId="13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/>
    </xf>
    <xf numFmtId="0" fontId="3" fillId="7" borderId="13" xfId="0" applyFont="1" applyFill="1" applyBorder="1"/>
    <xf numFmtId="43" fontId="3" fillId="7" borderId="13" xfId="1" applyFont="1" applyFill="1" applyBorder="1"/>
    <xf numFmtId="0" fontId="7" fillId="6" borderId="14" xfId="0" applyFont="1" applyFill="1" applyBorder="1"/>
    <xf numFmtId="0" fontId="3" fillId="7" borderId="3" xfId="0" applyFont="1" applyFill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/>
    </xf>
    <xf numFmtId="0" fontId="3" fillId="7" borderId="3" xfId="0" applyFont="1" applyFill="1" applyBorder="1"/>
    <xf numFmtId="43" fontId="3" fillId="7" borderId="3" xfId="1" applyFont="1" applyFill="1" applyBorder="1"/>
    <xf numFmtId="43" fontId="3" fillId="7" borderId="3" xfId="2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vertical="center" wrapText="1"/>
    </xf>
    <xf numFmtId="15" fontId="3" fillId="7" borderId="1" xfId="0" applyNumberFormat="1" applyFont="1" applyFill="1" applyBorder="1" applyAlignment="1">
      <alignment horizontal="center" vertical="center" wrapText="1"/>
    </xf>
    <xf numFmtId="1" fontId="7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right" wrapText="1"/>
    </xf>
    <xf numFmtId="0" fontId="0" fillId="7" borderId="1" xfId="0" applyFill="1" applyBorder="1" applyAlignment="1">
      <alignment wrapText="1"/>
    </xf>
    <xf numFmtId="1" fontId="7" fillId="6" borderId="1" xfId="0" applyNumberFormat="1" applyFont="1" applyFill="1" applyBorder="1" applyAlignment="1">
      <alignment horizontal="center" wrapText="1"/>
    </xf>
    <xf numFmtId="4" fontId="3" fillId="7" borderId="1" xfId="0" applyNumberFormat="1" applyFont="1" applyFill="1" applyBorder="1" applyAlignment="1">
      <alignment horizontal="right" wrapText="1"/>
    </xf>
    <xf numFmtId="1" fontId="0" fillId="6" borderId="1" xfId="0" applyNumberFormat="1" applyFill="1" applyBorder="1" applyAlignment="1">
      <alignment horizontal="center" wrapText="1"/>
    </xf>
    <xf numFmtId="2" fontId="3" fillId="7" borderId="1" xfId="0" applyNumberFormat="1" applyFont="1" applyFill="1" applyBorder="1" applyAlignment="1">
      <alignment horizontal="right" wrapText="1"/>
    </xf>
    <xf numFmtId="0" fontId="15" fillId="10" borderId="4" xfId="0" applyFont="1" applyFill="1" applyBorder="1"/>
    <xf numFmtId="0" fontId="16" fillId="7" borderId="1" xfId="0" applyFont="1" applyFill="1" applyBorder="1" applyAlignment="1">
      <alignment horizontal="center" vertical="center" wrapText="1"/>
    </xf>
    <xf numFmtId="164" fontId="1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/>
    <xf numFmtId="43" fontId="6" fillId="7" borderId="1" xfId="1" applyFont="1" applyFill="1" applyBorder="1"/>
    <xf numFmtId="0" fontId="7" fillId="6" borderId="1" xfId="0" applyFont="1" applyFill="1" applyBorder="1" applyAlignment="1">
      <alignment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4" fontId="3" fillId="7" borderId="1" xfId="0" applyNumberFormat="1" applyFont="1" applyFill="1" applyBorder="1" applyAlignment="1">
      <alignment horizontal="right" vertical="center" wrapText="1"/>
    </xf>
    <xf numFmtId="0" fontId="0" fillId="7" borderId="1" xfId="0" applyFill="1" applyBorder="1" applyAlignment="1">
      <alignment vertical="center" wrapText="1"/>
    </xf>
    <xf numFmtId="43" fontId="3" fillId="7" borderId="3" xfId="1" applyFont="1" applyFill="1" applyBorder="1" applyAlignment="1">
      <alignment vertical="center"/>
    </xf>
    <xf numFmtId="43" fontId="3" fillId="7" borderId="3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9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DB23-AC64-4E11-863F-2400A59A559A}">
  <sheetPr>
    <pageSetUpPr fitToPage="1"/>
  </sheetPr>
  <dimension ref="A2:U758"/>
  <sheetViews>
    <sheetView tabSelected="1" topLeftCell="E681" zoomScaleNormal="100" zoomScaleSheetLayoutView="85" workbookViewId="0">
      <selection activeCell="Q694" sqref="Q694"/>
    </sheetView>
  </sheetViews>
  <sheetFormatPr defaultColWidth="21" defaultRowHeight="15" x14ac:dyDescent="0.25"/>
  <cols>
    <col min="1" max="1" width="2.85546875" customWidth="1"/>
    <col min="2" max="2" width="55" bestFit="1" customWidth="1"/>
    <col min="3" max="3" width="13.7109375" customWidth="1"/>
    <col min="4" max="4" width="16.42578125" bestFit="1" customWidth="1"/>
    <col min="5" max="5" width="16.140625" bestFit="1" customWidth="1"/>
    <col min="6" max="6" width="56.28515625" customWidth="1"/>
    <col min="7" max="7" width="16.42578125" bestFit="1" customWidth="1"/>
    <col min="8" max="8" width="11.7109375" bestFit="1" customWidth="1"/>
    <col min="9" max="9" width="16.42578125" bestFit="1" customWidth="1"/>
    <col min="10" max="11" width="12.85546875" bestFit="1" customWidth="1"/>
    <col min="12" max="12" width="12.28515625" customWidth="1"/>
    <col min="13" max="13" width="4" bestFit="1" customWidth="1"/>
    <col min="14" max="14" width="5.85546875" bestFit="1" customWidth="1"/>
    <col min="15" max="15" width="12.5703125" bestFit="1" customWidth="1"/>
    <col min="16" max="16" width="7.7109375" bestFit="1" customWidth="1"/>
    <col min="18" max="18" width="10.28515625" bestFit="1" customWidth="1"/>
    <col min="19" max="19" width="11.5703125" bestFit="1" customWidth="1"/>
    <col min="20" max="20" width="13.28515625" bestFit="1" customWidth="1"/>
    <col min="21" max="21" width="13.7109375" customWidth="1"/>
  </cols>
  <sheetData>
    <row r="2" spans="2:20" ht="38.25" x14ac:dyDescent="0.25">
      <c r="B2" s="2" t="s">
        <v>0</v>
      </c>
      <c r="C2" s="2" t="s">
        <v>1</v>
      </c>
      <c r="D2" s="3" t="s">
        <v>2</v>
      </c>
      <c r="E2" s="4" t="s">
        <v>3</v>
      </c>
      <c r="F2" s="2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5" t="s">
        <v>10</v>
      </c>
      <c r="M2" s="6">
        <f>COUNTA(C:C)-1</f>
        <v>744</v>
      </c>
      <c r="N2" s="7" t="e">
        <f>GETPIVOTDATA("Count of INVOICE NO.",#REF!)+GETPIVOTDATA("Count of INVOICE NO.",#REF!)</f>
        <v>#REF!</v>
      </c>
      <c r="O2" s="8">
        <f>SUM(G:G)</f>
        <v>1862367.5213095197</v>
      </c>
      <c r="P2" s="9"/>
      <c r="Q2" s="9"/>
      <c r="R2" s="9"/>
      <c r="S2" s="9"/>
      <c r="T2" s="9"/>
    </row>
    <row r="3" spans="2:20" x14ac:dyDescent="0.25">
      <c r="B3" s="58" t="s">
        <v>12</v>
      </c>
      <c r="C3" s="37" t="s">
        <v>28</v>
      </c>
      <c r="D3" s="38">
        <v>45659</v>
      </c>
      <c r="E3" s="34" t="s">
        <v>13</v>
      </c>
      <c r="F3" s="40" t="s">
        <v>29</v>
      </c>
      <c r="G3" s="41">
        <v>799.5</v>
      </c>
      <c r="H3" s="41"/>
      <c r="I3" s="41">
        <f>G3-H3</f>
        <v>799.5</v>
      </c>
      <c r="J3" s="41">
        <f t="shared" ref="J3" si="0">G3*5%</f>
        <v>39.975000000000001</v>
      </c>
      <c r="K3" s="41">
        <f t="shared" ref="K3" si="1">G3+J3</f>
        <v>839.47500000000002</v>
      </c>
      <c r="L3" s="42" t="s">
        <v>11</v>
      </c>
      <c r="M3" s="10"/>
      <c r="N3" s="11"/>
      <c r="O3" s="10"/>
      <c r="P3" s="10"/>
      <c r="Q3" s="10"/>
      <c r="R3" s="10"/>
      <c r="S3" s="10"/>
      <c r="T3" s="10"/>
    </row>
    <row r="4" spans="2:20" x14ac:dyDescent="0.25">
      <c r="B4" s="58" t="s">
        <v>30</v>
      </c>
      <c r="C4" s="37" t="s">
        <v>31</v>
      </c>
      <c r="D4" s="38">
        <v>45661</v>
      </c>
      <c r="E4" s="34" t="s">
        <v>32</v>
      </c>
      <c r="F4" s="40" t="s">
        <v>33</v>
      </c>
      <c r="G4" s="41">
        <v>3552.5</v>
      </c>
      <c r="H4" s="41"/>
      <c r="I4" s="41">
        <f t="shared" ref="I4" si="2">G4-H4</f>
        <v>3552.5</v>
      </c>
      <c r="J4" s="41">
        <f t="shared" ref="J4" si="3">G4*5%</f>
        <v>177.625</v>
      </c>
      <c r="K4" s="41">
        <f t="shared" ref="K4" si="4">G4+J4</f>
        <v>3730.125</v>
      </c>
      <c r="L4" s="42" t="s">
        <v>11</v>
      </c>
      <c r="M4" s="10"/>
      <c r="N4" s="11"/>
      <c r="O4" s="10"/>
      <c r="P4" s="10"/>
      <c r="Q4" s="10"/>
      <c r="R4" s="10"/>
      <c r="S4" s="10"/>
      <c r="T4" s="10"/>
    </row>
    <row r="5" spans="2:20" x14ac:dyDescent="0.25">
      <c r="B5" s="59" t="s">
        <v>34</v>
      </c>
      <c r="C5" s="37" t="s">
        <v>35</v>
      </c>
      <c r="D5" s="38">
        <v>45665</v>
      </c>
      <c r="E5" s="34" t="s">
        <v>36</v>
      </c>
      <c r="F5" s="40" t="s">
        <v>37</v>
      </c>
      <c r="G5" s="41">
        <v>2332.0500000000002</v>
      </c>
      <c r="H5" s="41"/>
      <c r="I5" s="41">
        <f>G5-H5</f>
        <v>2332.0500000000002</v>
      </c>
      <c r="J5" s="41">
        <f t="shared" ref="J5:J31" si="5">G5*5%</f>
        <v>116.60250000000002</v>
      </c>
      <c r="K5" s="41">
        <f t="shared" ref="K5" si="6">G5+J5</f>
        <v>2448.6525000000001</v>
      </c>
      <c r="L5" s="42" t="s">
        <v>11</v>
      </c>
      <c r="M5" s="10"/>
      <c r="N5" s="11"/>
      <c r="O5" s="10"/>
      <c r="P5" s="10"/>
      <c r="Q5" s="10"/>
      <c r="R5" s="10"/>
      <c r="S5" s="10"/>
      <c r="T5" s="10"/>
    </row>
    <row r="6" spans="2:20" x14ac:dyDescent="0.25">
      <c r="B6" s="58" t="s">
        <v>38</v>
      </c>
      <c r="C6" s="37" t="s">
        <v>39</v>
      </c>
      <c r="D6" s="38">
        <v>45661</v>
      </c>
      <c r="E6" s="34" t="s">
        <v>40</v>
      </c>
      <c r="F6" s="40" t="s">
        <v>41</v>
      </c>
      <c r="G6" s="41">
        <v>232.6</v>
      </c>
      <c r="H6" s="41"/>
      <c r="I6" s="41">
        <v>232.6</v>
      </c>
      <c r="J6" s="41">
        <f t="shared" si="5"/>
        <v>11.63</v>
      </c>
      <c r="K6" s="41">
        <f t="shared" ref="K6:K31" si="7">G6+J6</f>
        <v>244.23</v>
      </c>
      <c r="L6" s="42" t="s">
        <v>11</v>
      </c>
      <c r="M6" s="10"/>
      <c r="N6" s="11"/>
      <c r="O6" s="10"/>
      <c r="P6" s="10"/>
      <c r="Q6" s="10"/>
      <c r="R6" s="10"/>
      <c r="S6" s="10"/>
      <c r="T6" s="10"/>
    </row>
    <row r="7" spans="2:20" x14ac:dyDescent="0.25">
      <c r="B7" s="58" t="s">
        <v>42</v>
      </c>
      <c r="C7" s="37" t="s">
        <v>43</v>
      </c>
      <c r="D7" s="38">
        <v>45665</v>
      </c>
      <c r="E7" s="31" t="s">
        <v>44</v>
      </c>
      <c r="F7" s="40" t="s">
        <v>45</v>
      </c>
      <c r="G7" s="41">
        <v>1335</v>
      </c>
      <c r="H7" s="41"/>
      <c r="I7" s="41">
        <v>1335</v>
      </c>
      <c r="J7" s="41">
        <f t="shared" si="5"/>
        <v>66.75</v>
      </c>
      <c r="K7" s="41">
        <f t="shared" si="7"/>
        <v>1401.75</v>
      </c>
      <c r="L7" s="42" t="s">
        <v>49</v>
      </c>
      <c r="M7" s="10"/>
      <c r="N7" s="11"/>
      <c r="O7" s="10"/>
      <c r="P7" s="10"/>
      <c r="Q7" s="10"/>
      <c r="R7" s="10"/>
      <c r="S7" s="10"/>
      <c r="T7" s="10"/>
    </row>
    <row r="8" spans="2:20" x14ac:dyDescent="0.25">
      <c r="B8" s="58" t="s">
        <v>46</v>
      </c>
      <c r="C8" s="37" t="s">
        <v>47</v>
      </c>
      <c r="D8" s="38">
        <v>45661</v>
      </c>
      <c r="E8" s="32"/>
      <c r="F8" s="40" t="s">
        <v>48</v>
      </c>
      <c r="G8" s="41">
        <v>189</v>
      </c>
      <c r="H8" s="41"/>
      <c r="I8" s="41">
        <v>189</v>
      </c>
      <c r="J8" s="41">
        <f t="shared" si="5"/>
        <v>9.4500000000000011</v>
      </c>
      <c r="K8" s="41">
        <f t="shared" si="7"/>
        <v>198.45</v>
      </c>
      <c r="L8" s="42" t="s">
        <v>49</v>
      </c>
      <c r="M8" s="10"/>
      <c r="N8" s="11"/>
      <c r="O8" s="10"/>
      <c r="P8" s="10"/>
      <c r="Q8" s="10"/>
      <c r="R8" s="10"/>
      <c r="S8" s="10"/>
      <c r="T8" s="10"/>
    </row>
    <row r="9" spans="2:20" x14ac:dyDescent="0.25">
      <c r="B9" s="58" t="s">
        <v>51</v>
      </c>
      <c r="C9" s="37" t="s">
        <v>50</v>
      </c>
      <c r="D9" s="38">
        <v>45663</v>
      </c>
      <c r="E9" s="31" t="s">
        <v>52</v>
      </c>
      <c r="F9" s="40" t="s">
        <v>53</v>
      </c>
      <c r="G9" s="41">
        <v>125</v>
      </c>
      <c r="H9" s="41"/>
      <c r="I9" s="41">
        <v>125</v>
      </c>
      <c r="J9" s="41">
        <f t="shared" si="5"/>
        <v>6.25</v>
      </c>
      <c r="K9" s="41">
        <f t="shared" si="7"/>
        <v>131.25</v>
      </c>
      <c r="L9" s="42" t="s">
        <v>11</v>
      </c>
      <c r="M9" s="10"/>
      <c r="N9" s="11"/>
      <c r="O9" s="10"/>
      <c r="P9" s="10"/>
      <c r="Q9" s="10"/>
      <c r="R9" s="10"/>
      <c r="S9" s="10"/>
      <c r="T9" s="10"/>
    </row>
    <row r="10" spans="2:20" x14ac:dyDescent="0.25">
      <c r="B10" s="58" t="s">
        <v>54</v>
      </c>
      <c r="C10" s="37" t="s">
        <v>55</v>
      </c>
      <c r="D10" s="38">
        <v>45673</v>
      </c>
      <c r="E10" s="31"/>
      <c r="F10" s="40" t="s">
        <v>56</v>
      </c>
      <c r="G10" s="41">
        <v>4750</v>
      </c>
      <c r="H10" s="41"/>
      <c r="I10" s="41">
        <v>4750</v>
      </c>
      <c r="J10" s="41">
        <f t="shared" si="5"/>
        <v>237.5</v>
      </c>
      <c r="K10" s="41">
        <f t="shared" si="7"/>
        <v>4987.5</v>
      </c>
      <c r="L10" s="42" t="s">
        <v>57</v>
      </c>
      <c r="M10" s="10"/>
      <c r="N10" s="11"/>
      <c r="O10" s="10"/>
      <c r="P10" s="10"/>
      <c r="Q10" s="10"/>
      <c r="R10" s="10"/>
      <c r="S10" s="10"/>
      <c r="T10" s="10"/>
    </row>
    <row r="11" spans="2:20" x14ac:dyDescent="0.25">
      <c r="B11" s="58" t="s">
        <v>58</v>
      </c>
      <c r="C11" s="37" t="s">
        <v>59</v>
      </c>
      <c r="D11" s="38">
        <v>45666</v>
      </c>
      <c r="E11" s="31" t="s">
        <v>60</v>
      </c>
      <c r="F11" s="40" t="s">
        <v>61</v>
      </c>
      <c r="G11" s="41">
        <v>689</v>
      </c>
      <c r="H11" s="41"/>
      <c r="I11" s="41">
        <v>689</v>
      </c>
      <c r="J11" s="41">
        <f t="shared" si="5"/>
        <v>34.450000000000003</v>
      </c>
      <c r="K11" s="41">
        <f t="shared" si="7"/>
        <v>723.45</v>
      </c>
      <c r="L11" s="42" t="s">
        <v>11</v>
      </c>
      <c r="M11" s="10"/>
      <c r="N11" s="11"/>
      <c r="O11" s="10"/>
      <c r="P11" s="10"/>
      <c r="Q11" s="10"/>
      <c r="R11" s="10"/>
      <c r="S11" s="10"/>
      <c r="T11" s="10"/>
    </row>
    <row r="12" spans="2:20" x14ac:dyDescent="0.25">
      <c r="B12" s="58" t="s">
        <v>62</v>
      </c>
      <c r="C12" s="37" t="s">
        <v>63</v>
      </c>
      <c r="D12" s="38">
        <v>45672</v>
      </c>
      <c r="E12" s="32"/>
      <c r="F12" s="40" t="s">
        <v>64</v>
      </c>
      <c r="G12" s="41">
        <v>4687.5</v>
      </c>
      <c r="H12" s="41"/>
      <c r="I12" s="41">
        <v>4687.5</v>
      </c>
      <c r="J12" s="41">
        <f t="shared" si="5"/>
        <v>234.375</v>
      </c>
      <c r="K12" s="41">
        <f t="shared" si="7"/>
        <v>4921.875</v>
      </c>
      <c r="L12" s="42" t="s">
        <v>57</v>
      </c>
      <c r="M12" s="10"/>
      <c r="N12" s="10"/>
      <c r="O12" s="10"/>
      <c r="P12" s="10"/>
      <c r="Q12" s="10"/>
      <c r="R12" s="10"/>
      <c r="S12" s="10"/>
      <c r="T12" s="10"/>
    </row>
    <row r="13" spans="2:20" x14ac:dyDescent="0.25">
      <c r="B13" s="58" t="s">
        <v>65</v>
      </c>
      <c r="C13" s="37" t="s">
        <v>66</v>
      </c>
      <c r="D13" s="38">
        <v>45664</v>
      </c>
      <c r="E13" s="32"/>
      <c r="F13" s="40" t="s">
        <v>67</v>
      </c>
      <c r="G13" s="41">
        <v>4764.2</v>
      </c>
      <c r="H13" s="41"/>
      <c r="I13" s="41">
        <v>4764.2</v>
      </c>
      <c r="J13" s="41">
        <f t="shared" si="5"/>
        <v>238.21</v>
      </c>
      <c r="K13" s="41">
        <f t="shared" si="7"/>
        <v>5002.41</v>
      </c>
      <c r="L13" s="42" t="s">
        <v>11</v>
      </c>
      <c r="M13" s="10"/>
      <c r="N13" s="10"/>
      <c r="O13" s="10"/>
      <c r="P13" s="10"/>
      <c r="Q13" s="10"/>
      <c r="R13" s="10"/>
      <c r="S13" s="10"/>
      <c r="T13" s="10"/>
    </row>
    <row r="14" spans="2:20" x14ac:dyDescent="0.25">
      <c r="B14" s="58" t="s">
        <v>68</v>
      </c>
      <c r="C14" s="37" t="s">
        <v>70</v>
      </c>
      <c r="D14" s="38">
        <v>45665</v>
      </c>
      <c r="E14" s="32" t="s">
        <v>78</v>
      </c>
      <c r="F14" s="40" t="s">
        <v>69</v>
      </c>
      <c r="G14" s="41">
        <v>375</v>
      </c>
      <c r="H14" s="41"/>
      <c r="I14" s="41">
        <v>375</v>
      </c>
      <c r="J14" s="41">
        <f t="shared" si="5"/>
        <v>18.75</v>
      </c>
      <c r="K14" s="41">
        <f t="shared" si="7"/>
        <v>393.75</v>
      </c>
      <c r="L14" s="42" t="s">
        <v>11</v>
      </c>
      <c r="M14" s="10"/>
      <c r="N14" s="10"/>
      <c r="O14" s="10"/>
      <c r="P14" s="10"/>
      <c r="Q14" s="10"/>
      <c r="R14" s="10"/>
      <c r="S14" s="10"/>
      <c r="T14" s="10"/>
    </row>
    <row r="15" spans="2:20" x14ac:dyDescent="0.25">
      <c r="B15" s="58" t="s">
        <v>68</v>
      </c>
      <c r="C15" s="37" t="s">
        <v>71</v>
      </c>
      <c r="D15" s="38">
        <v>45665</v>
      </c>
      <c r="E15" s="32" t="s">
        <v>78</v>
      </c>
      <c r="F15" s="40" t="s">
        <v>79</v>
      </c>
      <c r="G15" s="41">
        <v>630</v>
      </c>
      <c r="H15" s="41"/>
      <c r="I15" s="41">
        <v>630</v>
      </c>
      <c r="J15" s="41">
        <f t="shared" si="5"/>
        <v>31.5</v>
      </c>
      <c r="K15" s="41">
        <f t="shared" si="7"/>
        <v>661.5</v>
      </c>
      <c r="L15" s="42" t="s">
        <v>11</v>
      </c>
      <c r="M15" s="10"/>
      <c r="N15" s="10"/>
      <c r="O15" s="10"/>
      <c r="P15" s="10"/>
      <c r="Q15" s="10"/>
      <c r="R15" s="10"/>
      <c r="S15" s="10"/>
      <c r="T15" s="10"/>
    </row>
    <row r="16" spans="2:20" x14ac:dyDescent="0.25">
      <c r="B16" s="58" t="s">
        <v>12</v>
      </c>
      <c r="C16" s="37" t="s">
        <v>72</v>
      </c>
      <c r="D16" s="38">
        <v>45665</v>
      </c>
      <c r="E16" s="35" t="s">
        <v>13</v>
      </c>
      <c r="F16" s="40" t="s">
        <v>80</v>
      </c>
      <c r="G16" s="41">
        <v>968.5</v>
      </c>
      <c r="H16" s="41"/>
      <c r="I16" s="41">
        <v>968.5</v>
      </c>
      <c r="J16" s="41">
        <f t="shared" si="5"/>
        <v>48.425000000000004</v>
      </c>
      <c r="K16" s="41">
        <f t="shared" si="7"/>
        <v>1016.925</v>
      </c>
      <c r="L16" s="42" t="s">
        <v>11</v>
      </c>
      <c r="M16" s="10"/>
      <c r="N16" s="10"/>
      <c r="O16" s="10"/>
      <c r="P16" s="10"/>
      <c r="Q16" s="10"/>
      <c r="R16" s="10"/>
      <c r="S16" s="10"/>
      <c r="T16" s="10"/>
    </row>
    <row r="17" spans="2:20" x14ac:dyDescent="0.25">
      <c r="B17" s="58" t="s">
        <v>68</v>
      </c>
      <c r="C17" s="37" t="s">
        <v>73</v>
      </c>
      <c r="D17" s="38">
        <v>45666</v>
      </c>
      <c r="E17" s="32" t="s">
        <v>78</v>
      </c>
      <c r="F17" s="40" t="s">
        <v>81</v>
      </c>
      <c r="G17" s="41">
        <v>405</v>
      </c>
      <c r="H17" s="41"/>
      <c r="I17" s="41">
        <v>405</v>
      </c>
      <c r="J17" s="41">
        <f t="shared" si="5"/>
        <v>20.25</v>
      </c>
      <c r="K17" s="41">
        <f t="shared" si="7"/>
        <v>425.25</v>
      </c>
      <c r="L17" s="42" t="s">
        <v>11</v>
      </c>
      <c r="M17" s="10"/>
      <c r="N17" s="10"/>
      <c r="O17" s="10"/>
      <c r="P17" s="10"/>
      <c r="Q17" s="10"/>
      <c r="R17" s="10"/>
      <c r="S17" s="10"/>
      <c r="T17" s="10"/>
    </row>
    <row r="18" spans="2:20" x14ac:dyDescent="0.25">
      <c r="B18" s="58" t="s">
        <v>82</v>
      </c>
      <c r="C18" s="37" t="s">
        <v>74</v>
      </c>
      <c r="D18" s="38">
        <v>45667</v>
      </c>
      <c r="E18" s="32" t="s">
        <v>84</v>
      </c>
      <c r="F18" s="40" t="s">
        <v>83</v>
      </c>
      <c r="G18" s="41">
        <v>2917.5</v>
      </c>
      <c r="H18" s="41"/>
      <c r="I18" s="41">
        <v>2917.5</v>
      </c>
      <c r="J18" s="41">
        <f t="shared" si="5"/>
        <v>145.875</v>
      </c>
      <c r="K18" s="41">
        <f t="shared" si="7"/>
        <v>3063.375</v>
      </c>
      <c r="L18" s="42" t="s">
        <v>11</v>
      </c>
      <c r="M18" s="10"/>
      <c r="N18" s="10"/>
      <c r="O18" s="10"/>
      <c r="P18" s="10"/>
      <c r="Q18" s="10"/>
      <c r="R18" s="10"/>
      <c r="S18" s="10"/>
      <c r="T18" s="10"/>
    </row>
    <row r="19" spans="2:20" x14ac:dyDescent="0.25">
      <c r="B19" s="58" t="s">
        <v>68</v>
      </c>
      <c r="C19" s="37" t="s">
        <v>75</v>
      </c>
      <c r="D19" s="38">
        <v>45666</v>
      </c>
      <c r="E19" s="32" t="s">
        <v>78</v>
      </c>
      <c r="F19" s="40" t="s">
        <v>85</v>
      </c>
      <c r="G19" s="41">
        <v>96</v>
      </c>
      <c r="H19" s="41"/>
      <c r="I19" s="41">
        <v>96</v>
      </c>
      <c r="J19" s="41">
        <f t="shared" si="5"/>
        <v>4.8000000000000007</v>
      </c>
      <c r="K19" s="41">
        <f t="shared" si="7"/>
        <v>100.8</v>
      </c>
      <c r="L19" s="42" t="s">
        <v>11</v>
      </c>
      <c r="M19" s="10"/>
      <c r="N19" s="10"/>
      <c r="O19" s="10"/>
      <c r="P19" s="10"/>
      <c r="Q19" s="10"/>
      <c r="R19" s="10"/>
      <c r="S19" s="10"/>
      <c r="T19" s="10"/>
    </row>
    <row r="20" spans="2:20" x14ac:dyDescent="0.25">
      <c r="B20" s="58" t="s">
        <v>42</v>
      </c>
      <c r="C20" s="37" t="s">
        <v>76</v>
      </c>
      <c r="D20" s="38">
        <v>45670</v>
      </c>
      <c r="E20" s="32" t="s">
        <v>44</v>
      </c>
      <c r="F20" s="40" t="s">
        <v>86</v>
      </c>
      <c r="G20" s="41">
        <v>1525</v>
      </c>
      <c r="H20" s="41"/>
      <c r="I20" s="41">
        <v>1525</v>
      </c>
      <c r="J20" s="41">
        <f t="shared" si="5"/>
        <v>76.25</v>
      </c>
      <c r="K20" s="41">
        <f t="shared" si="7"/>
        <v>1601.25</v>
      </c>
      <c r="L20" s="42" t="s">
        <v>49</v>
      </c>
      <c r="M20" s="10"/>
      <c r="N20" s="10"/>
      <c r="O20" s="10"/>
      <c r="P20" s="10"/>
      <c r="Q20" s="10"/>
      <c r="R20" s="10"/>
      <c r="S20" s="10"/>
      <c r="T20" s="10"/>
    </row>
    <row r="21" spans="2:20" x14ac:dyDescent="0.25">
      <c r="B21" s="58" t="s">
        <v>87</v>
      </c>
      <c r="C21" s="37" t="s">
        <v>77</v>
      </c>
      <c r="D21" s="38">
        <v>45672</v>
      </c>
      <c r="E21" s="32" t="s">
        <v>88</v>
      </c>
      <c r="F21" s="40" t="s">
        <v>89</v>
      </c>
      <c r="G21" s="41">
        <v>7200</v>
      </c>
      <c r="H21" s="41"/>
      <c r="I21" s="41">
        <v>7200</v>
      </c>
      <c r="J21" s="41">
        <f t="shared" si="5"/>
        <v>360</v>
      </c>
      <c r="K21" s="41">
        <f t="shared" si="7"/>
        <v>7560</v>
      </c>
      <c r="L21" s="42" t="s">
        <v>90</v>
      </c>
      <c r="M21" s="10"/>
      <c r="N21" s="10"/>
      <c r="O21" s="10"/>
      <c r="P21" s="10"/>
      <c r="Q21" s="10"/>
      <c r="R21" s="10"/>
      <c r="S21" s="10"/>
      <c r="T21" s="10"/>
    </row>
    <row r="22" spans="2:20" x14ac:dyDescent="0.25">
      <c r="B22" s="58" t="s">
        <v>46</v>
      </c>
      <c r="C22" s="37" t="s">
        <v>91</v>
      </c>
      <c r="D22" s="38">
        <v>45668</v>
      </c>
      <c r="E22" s="32"/>
      <c r="F22" s="40" t="s">
        <v>92</v>
      </c>
      <c r="G22" s="41">
        <v>649</v>
      </c>
      <c r="H22" s="41"/>
      <c r="I22" s="41">
        <v>649</v>
      </c>
      <c r="J22" s="41">
        <f t="shared" si="5"/>
        <v>32.450000000000003</v>
      </c>
      <c r="K22" s="41">
        <f t="shared" si="7"/>
        <v>681.45</v>
      </c>
      <c r="L22" s="42" t="s">
        <v>49</v>
      </c>
      <c r="M22" s="10"/>
      <c r="N22" s="10"/>
      <c r="O22" s="10"/>
      <c r="P22" s="10"/>
      <c r="Q22" s="10"/>
      <c r="R22" s="10"/>
      <c r="S22" s="10"/>
      <c r="T22" s="10"/>
    </row>
    <row r="23" spans="2:20" x14ac:dyDescent="0.25">
      <c r="B23" s="58" t="s">
        <v>58</v>
      </c>
      <c r="C23" s="37" t="s">
        <v>93</v>
      </c>
      <c r="D23" s="38">
        <v>45670</v>
      </c>
      <c r="E23" s="32" t="s">
        <v>60</v>
      </c>
      <c r="F23" s="40" t="s">
        <v>95</v>
      </c>
      <c r="G23" s="41">
        <v>320</v>
      </c>
      <c r="H23" s="41"/>
      <c r="I23" s="41">
        <v>320</v>
      </c>
      <c r="J23" s="41">
        <f t="shared" si="5"/>
        <v>16</v>
      </c>
      <c r="K23" s="41">
        <f t="shared" si="7"/>
        <v>336</v>
      </c>
      <c r="L23" s="42" t="s">
        <v>11</v>
      </c>
      <c r="M23" s="10"/>
      <c r="N23" s="10"/>
      <c r="O23" s="10"/>
      <c r="P23" s="10"/>
      <c r="Q23" s="10"/>
      <c r="R23" s="10"/>
      <c r="S23" s="10"/>
      <c r="T23" s="10"/>
    </row>
    <row r="24" spans="2:20" x14ac:dyDescent="0.25">
      <c r="B24" s="58" t="s">
        <v>96</v>
      </c>
      <c r="C24" s="37" t="s">
        <v>94</v>
      </c>
      <c r="D24" s="38">
        <v>45672</v>
      </c>
      <c r="E24" s="32" t="s">
        <v>97</v>
      </c>
      <c r="F24" s="40" t="s">
        <v>98</v>
      </c>
      <c r="G24" s="41">
        <v>190</v>
      </c>
      <c r="H24" s="41"/>
      <c r="I24" s="41">
        <v>190</v>
      </c>
      <c r="J24" s="41">
        <f t="shared" si="5"/>
        <v>9.5</v>
      </c>
      <c r="K24" s="41">
        <f t="shared" si="7"/>
        <v>199.5</v>
      </c>
      <c r="L24" s="42" t="s">
        <v>11</v>
      </c>
      <c r="M24" s="10"/>
      <c r="N24" s="10"/>
      <c r="O24" s="10"/>
      <c r="P24" s="10"/>
      <c r="Q24" s="10"/>
      <c r="R24" s="10"/>
      <c r="S24" s="10"/>
      <c r="T24" s="10"/>
    </row>
    <row r="25" spans="2:20" x14ac:dyDescent="0.25">
      <c r="B25" s="58" t="s">
        <v>99</v>
      </c>
      <c r="C25" s="37" t="s">
        <v>100</v>
      </c>
      <c r="D25" s="38">
        <v>45672</v>
      </c>
      <c r="E25" s="32" t="s">
        <v>101</v>
      </c>
      <c r="F25" s="40" t="s">
        <v>102</v>
      </c>
      <c r="G25" s="41">
        <v>180</v>
      </c>
      <c r="H25" s="41"/>
      <c r="I25" s="41">
        <v>180</v>
      </c>
      <c r="J25" s="41">
        <f t="shared" si="5"/>
        <v>9</v>
      </c>
      <c r="K25" s="41">
        <f t="shared" si="7"/>
        <v>189</v>
      </c>
      <c r="L25" s="42" t="s">
        <v>11</v>
      </c>
      <c r="M25" s="10"/>
      <c r="N25" s="10"/>
      <c r="O25" s="10"/>
      <c r="P25" s="10"/>
      <c r="Q25" s="10"/>
      <c r="R25" s="10"/>
      <c r="S25" s="10"/>
      <c r="T25" s="10"/>
    </row>
    <row r="26" spans="2:20" x14ac:dyDescent="0.25">
      <c r="B26" s="58" t="s">
        <v>103</v>
      </c>
      <c r="C26" s="37" t="s">
        <v>104</v>
      </c>
      <c r="D26" s="38">
        <v>45673</v>
      </c>
      <c r="E26" s="32"/>
      <c r="F26" s="40" t="s">
        <v>371</v>
      </c>
      <c r="G26" s="41">
        <v>3250</v>
      </c>
      <c r="H26" s="41"/>
      <c r="I26" s="41">
        <v>3250</v>
      </c>
      <c r="J26" s="41">
        <f t="shared" si="5"/>
        <v>162.5</v>
      </c>
      <c r="K26" s="41">
        <f t="shared" si="7"/>
        <v>3412.5</v>
      </c>
      <c r="L26" s="42" t="s">
        <v>11</v>
      </c>
      <c r="M26" s="10"/>
      <c r="N26" s="10"/>
      <c r="O26" s="10"/>
      <c r="P26" s="10"/>
      <c r="Q26" s="10"/>
      <c r="R26" s="10"/>
      <c r="S26" s="10"/>
      <c r="T26" s="10"/>
    </row>
    <row r="27" spans="2:20" x14ac:dyDescent="0.25">
      <c r="B27" s="58" t="s">
        <v>105</v>
      </c>
      <c r="C27" s="37" t="s">
        <v>106</v>
      </c>
      <c r="D27" s="38">
        <v>45672</v>
      </c>
      <c r="E27" s="32" t="s">
        <v>108</v>
      </c>
      <c r="F27" s="40" t="s">
        <v>107</v>
      </c>
      <c r="G27" s="41">
        <v>1827.5</v>
      </c>
      <c r="H27" s="41"/>
      <c r="I27" s="41">
        <v>1827.5</v>
      </c>
      <c r="J27" s="41">
        <f t="shared" si="5"/>
        <v>91.375</v>
      </c>
      <c r="K27" s="41">
        <f t="shared" si="7"/>
        <v>1918.875</v>
      </c>
      <c r="L27" s="42" t="s">
        <v>11</v>
      </c>
      <c r="M27" s="10"/>
      <c r="N27" s="10"/>
      <c r="O27" s="10"/>
      <c r="P27" s="10"/>
      <c r="Q27" s="10"/>
      <c r="R27" s="10"/>
      <c r="S27" s="10"/>
      <c r="T27" s="10"/>
    </row>
    <row r="28" spans="2:20" x14ac:dyDescent="0.25">
      <c r="B28" s="58" t="s">
        <v>58</v>
      </c>
      <c r="C28" s="37" t="s">
        <v>109</v>
      </c>
      <c r="D28" s="38">
        <v>45672</v>
      </c>
      <c r="E28" s="32" t="s">
        <v>60</v>
      </c>
      <c r="F28" s="40" t="s">
        <v>110</v>
      </c>
      <c r="G28" s="41">
        <v>8037.5</v>
      </c>
      <c r="H28" s="41"/>
      <c r="I28" s="41">
        <v>8037.5</v>
      </c>
      <c r="J28" s="41">
        <f t="shared" si="5"/>
        <v>401.875</v>
      </c>
      <c r="K28" s="41">
        <f t="shared" si="7"/>
        <v>8439.375</v>
      </c>
      <c r="L28" s="42" t="s">
        <v>11</v>
      </c>
      <c r="M28" s="10"/>
      <c r="N28" s="10"/>
      <c r="O28" s="10"/>
      <c r="P28" s="10"/>
      <c r="Q28" s="10"/>
      <c r="R28" s="10"/>
      <c r="S28" s="10"/>
      <c r="T28" s="10"/>
    </row>
    <row r="29" spans="2:20" x14ac:dyDescent="0.25">
      <c r="B29" s="58" t="s">
        <v>111</v>
      </c>
      <c r="C29" s="37" t="s">
        <v>112</v>
      </c>
      <c r="D29" s="38">
        <v>45673</v>
      </c>
      <c r="E29" s="32" t="s">
        <v>113</v>
      </c>
      <c r="F29" s="40" t="s">
        <v>114</v>
      </c>
      <c r="G29" s="41">
        <v>565</v>
      </c>
      <c r="H29" s="41"/>
      <c r="I29" s="41">
        <v>565</v>
      </c>
      <c r="J29" s="41">
        <f t="shared" si="5"/>
        <v>28.25</v>
      </c>
      <c r="K29" s="41">
        <f t="shared" si="7"/>
        <v>593.25</v>
      </c>
      <c r="L29" s="42" t="s">
        <v>11</v>
      </c>
      <c r="M29" s="10"/>
      <c r="N29" s="10"/>
      <c r="O29" s="10"/>
      <c r="P29" s="10"/>
      <c r="Q29" s="10"/>
      <c r="R29" s="10"/>
      <c r="S29" s="10"/>
      <c r="T29" s="10"/>
    </row>
    <row r="30" spans="2:20" x14ac:dyDescent="0.25">
      <c r="B30" s="58" t="s">
        <v>68</v>
      </c>
      <c r="C30" s="37" t="s">
        <v>115</v>
      </c>
      <c r="D30" s="38">
        <v>45673</v>
      </c>
      <c r="E30" s="32" t="s">
        <v>78</v>
      </c>
      <c r="F30" s="40" t="s">
        <v>116</v>
      </c>
      <c r="G30" s="41">
        <v>405</v>
      </c>
      <c r="H30" s="41"/>
      <c r="I30" s="41">
        <v>405</v>
      </c>
      <c r="J30" s="41">
        <f t="shared" si="5"/>
        <v>20.25</v>
      </c>
      <c r="K30" s="41">
        <f t="shared" si="7"/>
        <v>425.25</v>
      </c>
      <c r="L30" s="42" t="s">
        <v>11</v>
      </c>
      <c r="M30" s="10"/>
      <c r="N30" s="10"/>
      <c r="O30" s="10"/>
      <c r="P30" s="10"/>
      <c r="Q30" s="10"/>
      <c r="R30" s="10"/>
      <c r="S30" s="10"/>
      <c r="T30" s="10"/>
    </row>
    <row r="31" spans="2:20" x14ac:dyDescent="0.25">
      <c r="B31" s="58" t="s">
        <v>372</v>
      </c>
      <c r="C31" s="37" t="s">
        <v>117</v>
      </c>
      <c r="D31" s="38">
        <v>45673</v>
      </c>
      <c r="E31" s="32" t="s">
        <v>118</v>
      </c>
      <c r="F31" s="40" t="s">
        <v>119</v>
      </c>
      <c r="G31" s="41">
        <v>470</v>
      </c>
      <c r="H31" s="41"/>
      <c r="I31" s="41">
        <v>470</v>
      </c>
      <c r="J31" s="41">
        <f t="shared" si="5"/>
        <v>23.5</v>
      </c>
      <c r="K31" s="41">
        <f t="shared" si="7"/>
        <v>493.5</v>
      </c>
      <c r="L31" s="42" t="s">
        <v>11</v>
      </c>
      <c r="M31" s="10"/>
      <c r="N31" s="10"/>
      <c r="O31" s="10"/>
      <c r="P31" s="10"/>
      <c r="Q31" s="10"/>
      <c r="R31" s="10"/>
      <c r="S31" s="10"/>
      <c r="T31" s="10"/>
    </row>
    <row r="32" spans="2:20" x14ac:dyDescent="0.25">
      <c r="B32" s="58" t="s">
        <v>12</v>
      </c>
      <c r="C32" s="37" t="s">
        <v>122</v>
      </c>
      <c r="D32" s="38">
        <v>45687</v>
      </c>
      <c r="E32" s="32" t="s">
        <v>13</v>
      </c>
      <c r="F32" s="40" t="s">
        <v>190</v>
      </c>
      <c r="G32" s="41">
        <v>2250</v>
      </c>
      <c r="H32" s="41"/>
      <c r="I32" s="41">
        <v>2250</v>
      </c>
      <c r="J32" s="41">
        <f t="shared" ref="J32" si="8">G32*5%</f>
        <v>112.5</v>
      </c>
      <c r="K32" s="41">
        <f t="shared" ref="K32" si="9">G32+J32</f>
        <v>2362.5</v>
      </c>
      <c r="L32" s="42" t="s">
        <v>11</v>
      </c>
      <c r="M32" s="10"/>
      <c r="N32" s="10"/>
      <c r="O32" s="10"/>
      <c r="P32" s="10"/>
      <c r="Q32" s="10"/>
      <c r="R32" s="10"/>
      <c r="S32" s="10"/>
      <c r="T32" s="10"/>
    </row>
    <row r="33" spans="2:20" x14ac:dyDescent="0.25">
      <c r="B33" s="58" t="s">
        <v>135</v>
      </c>
      <c r="C33" s="37" t="s">
        <v>123</v>
      </c>
      <c r="D33" s="38">
        <v>45677</v>
      </c>
      <c r="E33" s="32" t="s">
        <v>137</v>
      </c>
      <c r="F33" s="40" t="s">
        <v>136</v>
      </c>
      <c r="G33" s="41">
        <v>9675</v>
      </c>
      <c r="H33" s="41"/>
      <c r="I33" s="41">
        <v>9675</v>
      </c>
      <c r="J33" s="41">
        <f t="shared" ref="J33:J34" si="10">G33*5%</f>
        <v>483.75</v>
      </c>
      <c r="K33" s="41">
        <f t="shared" ref="K33:K34" si="11">G33+J33</f>
        <v>10158.75</v>
      </c>
      <c r="L33" s="42" t="s">
        <v>11</v>
      </c>
      <c r="M33" s="10"/>
      <c r="N33" s="10"/>
      <c r="O33" s="10"/>
      <c r="P33" s="10"/>
      <c r="Q33" s="10"/>
      <c r="R33" s="10"/>
      <c r="S33" s="10"/>
      <c r="T33" s="10"/>
    </row>
    <row r="34" spans="2:20" x14ac:dyDescent="0.25">
      <c r="B34" s="58" t="s">
        <v>46</v>
      </c>
      <c r="C34" s="37" t="s">
        <v>120</v>
      </c>
      <c r="D34" s="38">
        <v>45674</v>
      </c>
      <c r="E34" s="32"/>
      <c r="F34" s="40" t="s">
        <v>121</v>
      </c>
      <c r="G34" s="41">
        <v>175</v>
      </c>
      <c r="H34" s="41"/>
      <c r="I34" s="41">
        <v>175</v>
      </c>
      <c r="J34" s="41">
        <f t="shared" si="10"/>
        <v>8.75</v>
      </c>
      <c r="K34" s="41">
        <f t="shared" si="11"/>
        <v>183.75</v>
      </c>
      <c r="L34" s="42" t="s">
        <v>49</v>
      </c>
      <c r="M34" s="10"/>
      <c r="N34" s="10"/>
      <c r="O34" s="10"/>
      <c r="P34" s="10"/>
      <c r="Q34" s="10"/>
      <c r="R34" s="10"/>
      <c r="S34" s="10"/>
      <c r="T34" s="10"/>
    </row>
    <row r="35" spans="2:20" x14ac:dyDescent="0.25">
      <c r="B35" s="58" t="s">
        <v>138</v>
      </c>
      <c r="C35" s="37" t="s">
        <v>124</v>
      </c>
      <c r="D35" s="38">
        <v>45677</v>
      </c>
      <c r="E35" s="32" t="s">
        <v>139</v>
      </c>
      <c r="F35" s="40" t="s">
        <v>140</v>
      </c>
      <c r="G35" s="41">
        <v>145</v>
      </c>
      <c r="H35" s="41"/>
      <c r="I35" s="41">
        <v>145</v>
      </c>
      <c r="J35" s="41">
        <f t="shared" ref="J35:J98" si="12">G35*5%</f>
        <v>7.25</v>
      </c>
      <c r="K35" s="41">
        <f t="shared" ref="K35:K98" si="13">G35+J35</f>
        <v>152.25</v>
      </c>
      <c r="L35" s="42" t="s">
        <v>11</v>
      </c>
      <c r="M35" s="10"/>
      <c r="N35" s="10"/>
      <c r="O35" s="10"/>
      <c r="P35" s="10"/>
      <c r="Q35" s="10"/>
      <c r="R35" s="10"/>
      <c r="S35" s="10"/>
      <c r="T35" s="10"/>
    </row>
    <row r="36" spans="2:20" x14ac:dyDescent="0.25">
      <c r="B36" s="58" t="s">
        <v>141</v>
      </c>
      <c r="C36" s="37" t="s">
        <v>125</v>
      </c>
      <c r="D36" s="38">
        <v>45680</v>
      </c>
      <c r="E36" s="32" t="s">
        <v>143</v>
      </c>
      <c r="F36" s="40" t="s">
        <v>142</v>
      </c>
      <c r="G36" s="41">
        <v>1385</v>
      </c>
      <c r="H36" s="41"/>
      <c r="I36" s="41">
        <v>1385</v>
      </c>
      <c r="J36" s="41">
        <f t="shared" si="12"/>
        <v>69.25</v>
      </c>
      <c r="K36" s="41">
        <f t="shared" si="13"/>
        <v>1454.25</v>
      </c>
      <c r="L36" s="42" t="s">
        <v>11</v>
      </c>
      <c r="M36" s="10"/>
      <c r="N36" s="10"/>
      <c r="O36" s="10"/>
      <c r="P36" s="10"/>
      <c r="Q36" s="10"/>
      <c r="R36" s="10"/>
      <c r="S36" s="10"/>
      <c r="T36" s="10"/>
    </row>
    <row r="37" spans="2:20" x14ac:dyDescent="0.25">
      <c r="B37" s="58" t="s">
        <v>144</v>
      </c>
      <c r="C37" s="37" t="s">
        <v>126</v>
      </c>
      <c r="D37" s="38">
        <v>45677</v>
      </c>
      <c r="E37" s="32"/>
      <c r="F37" s="40" t="s">
        <v>145</v>
      </c>
      <c r="G37" s="41">
        <v>150</v>
      </c>
      <c r="H37" s="41"/>
      <c r="I37" s="41">
        <v>150</v>
      </c>
      <c r="J37" s="41">
        <f t="shared" si="12"/>
        <v>7.5</v>
      </c>
      <c r="K37" s="41">
        <f t="shared" si="13"/>
        <v>157.5</v>
      </c>
      <c r="L37" s="42" t="s">
        <v>11</v>
      </c>
      <c r="M37" s="10"/>
      <c r="N37" s="10"/>
      <c r="O37" s="10"/>
      <c r="P37" s="10"/>
      <c r="Q37" s="10"/>
      <c r="R37" s="10"/>
      <c r="S37" s="10"/>
      <c r="T37" s="10"/>
    </row>
    <row r="38" spans="2:20" x14ac:dyDescent="0.25">
      <c r="B38" s="58" t="s">
        <v>146</v>
      </c>
      <c r="C38" s="37" t="s">
        <v>127</v>
      </c>
      <c r="D38" s="38">
        <v>45679</v>
      </c>
      <c r="E38" s="32"/>
      <c r="F38" s="40" t="s">
        <v>147</v>
      </c>
      <c r="G38" s="41">
        <v>2065</v>
      </c>
      <c r="H38" s="41"/>
      <c r="I38" s="41">
        <v>2065</v>
      </c>
      <c r="J38" s="41">
        <f t="shared" si="12"/>
        <v>103.25</v>
      </c>
      <c r="K38" s="41">
        <f t="shared" si="13"/>
        <v>2168.25</v>
      </c>
      <c r="L38" s="42" t="s">
        <v>11</v>
      </c>
      <c r="M38" s="10"/>
      <c r="N38" s="10"/>
      <c r="O38" s="10"/>
      <c r="P38" s="10"/>
      <c r="Q38" s="10"/>
      <c r="R38" s="10"/>
      <c r="S38" s="10"/>
      <c r="T38" s="10"/>
    </row>
    <row r="39" spans="2:20" x14ac:dyDescent="0.25">
      <c r="B39" s="58" t="s">
        <v>148</v>
      </c>
      <c r="C39" s="37" t="s">
        <v>128</v>
      </c>
      <c r="D39" s="38">
        <v>45680</v>
      </c>
      <c r="E39" s="32" t="s">
        <v>150</v>
      </c>
      <c r="F39" s="40" t="s">
        <v>149</v>
      </c>
      <c r="G39" s="41">
        <v>470</v>
      </c>
      <c r="H39" s="41"/>
      <c r="I39" s="41">
        <v>470</v>
      </c>
      <c r="J39" s="41">
        <f t="shared" si="12"/>
        <v>23.5</v>
      </c>
      <c r="K39" s="41">
        <f t="shared" si="13"/>
        <v>493.5</v>
      </c>
      <c r="L39" s="42" t="s">
        <v>11</v>
      </c>
      <c r="M39" s="10"/>
      <c r="N39" s="10"/>
      <c r="O39" s="10"/>
      <c r="P39" s="10"/>
      <c r="Q39" s="10"/>
      <c r="R39" s="10"/>
      <c r="S39" s="10"/>
      <c r="T39" s="10"/>
    </row>
    <row r="40" spans="2:20" x14ac:dyDescent="0.25">
      <c r="B40" s="58" t="s">
        <v>151</v>
      </c>
      <c r="C40" s="37" t="s">
        <v>129</v>
      </c>
      <c r="D40" s="38">
        <v>45679</v>
      </c>
      <c r="E40" s="32"/>
      <c r="F40" s="40" t="s">
        <v>152</v>
      </c>
      <c r="G40" s="41">
        <v>280</v>
      </c>
      <c r="H40" s="41"/>
      <c r="I40" s="41">
        <v>280</v>
      </c>
      <c r="J40" s="41">
        <f t="shared" si="12"/>
        <v>14</v>
      </c>
      <c r="K40" s="41">
        <f t="shared" si="13"/>
        <v>294</v>
      </c>
      <c r="L40" s="42" t="s">
        <v>11</v>
      </c>
      <c r="M40" s="10"/>
      <c r="N40" s="10"/>
      <c r="O40" s="10"/>
      <c r="P40" s="10"/>
      <c r="Q40" s="10"/>
      <c r="R40" s="10"/>
      <c r="S40" s="10"/>
      <c r="T40" s="10"/>
    </row>
    <row r="41" spans="2:20" x14ac:dyDescent="0.25">
      <c r="B41" s="58" t="s">
        <v>153</v>
      </c>
      <c r="C41" s="37" t="s">
        <v>130</v>
      </c>
      <c r="D41" s="38">
        <v>45679</v>
      </c>
      <c r="E41" s="32"/>
      <c r="F41" s="40" t="s">
        <v>154</v>
      </c>
      <c r="G41" s="41">
        <v>210</v>
      </c>
      <c r="H41" s="41"/>
      <c r="I41" s="41">
        <v>210</v>
      </c>
      <c r="J41" s="41">
        <f t="shared" si="12"/>
        <v>10.5</v>
      </c>
      <c r="K41" s="41">
        <f t="shared" si="13"/>
        <v>220.5</v>
      </c>
      <c r="L41" s="42" t="s">
        <v>11</v>
      </c>
      <c r="M41" s="10"/>
      <c r="N41" s="10"/>
      <c r="O41" s="10"/>
      <c r="P41" s="10"/>
      <c r="Q41" s="10"/>
      <c r="R41" s="10"/>
      <c r="S41" s="10"/>
      <c r="T41" s="10"/>
    </row>
    <row r="42" spans="2:20" x14ac:dyDescent="0.25">
      <c r="B42" s="58" t="s">
        <v>155</v>
      </c>
      <c r="C42" s="37" t="s">
        <v>131</v>
      </c>
      <c r="D42" s="38">
        <v>45679</v>
      </c>
      <c r="E42" s="32" t="s">
        <v>157</v>
      </c>
      <c r="F42" s="40" t="s">
        <v>156</v>
      </c>
      <c r="G42" s="41">
        <v>937.5</v>
      </c>
      <c r="H42" s="41"/>
      <c r="I42" s="41">
        <v>937.5</v>
      </c>
      <c r="J42" s="41">
        <f t="shared" si="12"/>
        <v>46.875</v>
      </c>
      <c r="K42" s="41">
        <f t="shared" si="13"/>
        <v>984.375</v>
      </c>
      <c r="L42" s="42" t="s">
        <v>11</v>
      </c>
      <c r="M42" s="10"/>
      <c r="N42" s="10"/>
      <c r="O42" s="10"/>
      <c r="P42" s="10"/>
      <c r="Q42" s="10"/>
      <c r="R42" s="10"/>
      <c r="S42" s="10"/>
      <c r="T42" s="10"/>
    </row>
    <row r="43" spans="2:20" x14ac:dyDescent="0.25">
      <c r="B43" s="58" t="s">
        <v>68</v>
      </c>
      <c r="C43" s="37" t="s">
        <v>132</v>
      </c>
      <c r="D43" s="38">
        <v>45680</v>
      </c>
      <c r="E43" s="32" t="s">
        <v>78</v>
      </c>
      <c r="F43" s="40" t="s">
        <v>158</v>
      </c>
      <c r="G43" s="41">
        <v>470</v>
      </c>
      <c r="H43" s="41"/>
      <c r="I43" s="41">
        <v>470</v>
      </c>
      <c r="J43" s="41">
        <f t="shared" si="12"/>
        <v>23.5</v>
      </c>
      <c r="K43" s="41">
        <f t="shared" si="13"/>
        <v>493.5</v>
      </c>
      <c r="L43" s="42" t="s">
        <v>11</v>
      </c>
      <c r="M43" s="10"/>
      <c r="N43" s="10"/>
      <c r="O43" s="10"/>
      <c r="P43" s="10"/>
      <c r="Q43" s="10"/>
      <c r="R43" s="10"/>
      <c r="S43" s="10"/>
      <c r="T43" s="10"/>
    </row>
    <row r="44" spans="2:20" x14ac:dyDescent="0.25">
      <c r="B44" s="58" t="s">
        <v>159</v>
      </c>
      <c r="C44" s="37" t="s">
        <v>133</v>
      </c>
      <c r="D44" s="38">
        <v>45680</v>
      </c>
      <c r="E44" s="32"/>
      <c r="F44" s="40" t="s">
        <v>160</v>
      </c>
      <c r="G44" s="41">
        <v>2360</v>
      </c>
      <c r="H44" s="41"/>
      <c r="I44" s="41">
        <v>2360</v>
      </c>
      <c r="J44" s="41">
        <f t="shared" si="12"/>
        <v>118</v>
      </c>
      <c r="K44" s="41">
        <f t="shared" si="13"/>
        <v>2478</v>
      </c>
      <c r="L44" s="42" t="s">
        <v>11</v>
      </c>
      <c r="M44" s="10"/>
      <c r="N44" s="10"/>
      <c r="O44" s="10"/>
      <c r="P44" s="10"/>
      <c r="Q44" s="10"/>
      <c r="R44" s="10"/>
      <c r="S44" s="10"/>
      <c r="T44" s="10"/>
    </row>
    <row r="45" spans="2:20" x14ac:dyDescent="0.25">
      <c r="B45" s="58" t="s">
        <v>161</v>
      </c>
      <c r="C45" s="37" t="s">
        <v>134</v>
      </c>
      <c r="D45" s="38">
        <v>45680</v>
      </c>
      <c r="E45" s="32"/>
      <c r="F45" s="40" t="s">
        <v>162</v>
      </c>
      <c r="G45" s="41">
        <v>1054.5</v>
      </c>
      <c r="H45" s="41"/>
      <c r="I45" s="41">
        <v>1054.5</v>
      </c>
      <c r="J45" s="41">
        <f t="shared" si="12"/>
        <v>52.725000000000001</v>
      </c>
      <c r="K45" s="41">
        <f t="shared" si="13"/>
        <v>1107.2249999999999</v>
      </c>
      <c r="L45" s="42" t="s">
        <v>11</v>
      </c>
      <c r="M45" s="10"/>
      <c r="N45" s="10"/>
      <c r="O45" s="10"/>
      <c r="P45" s="10"/>
      <c r="Q45" s="10"/>
      <c r="R45" s="10"/>
      <c r="S45" s="10"/>
      <c r="T45" s="10"/>
    </row>
    <row r="46" spans="2:20" x14ac:dyDescent="0.25">
      <c r="B46" s="58" t="s">
        <v>169</v>
      </c>
      <c r="C46" s="37" t="s">
        <v>163</v>
      </c>
      <c r="D46" s="38">
        <v>45688</v>
      </c>
      <c r="E46" s="32" t="s">
        <v>170</v>
      </c>
      <c r="F46" s="41" t="s">
        <v>171</v>
      </c>
      <c r="G46" s="41">
        <v>1440</v>
      </c>
      <c r="H46" s="41"/>
      <c r="I46" s="41">
        <v>1440</v>
      </c>
      <c r="J46" s="41">
        <f>G46*5%</f>
        <v>72</v>
      </c>
      <c r="K46" s="41">
        <f>G46+J46</f>
        <v>1512</v>
      </c>
      <c r="L46" s="42" t="s">
        <v>11</v>
      </c>
      <c r="M46" s="10"/>
      <c r="N46" s="10"/>
      <c r="O46" s="10"/>
      <c r="P46" s="10"/>
      <c r="Q46" s="10"/>
      <c r="R46" s="10"/>
      <c r="S46" s="10"/>
      <c r="T46" s="10"/>
    </row>
    <row r="47" spans="2:20" x14ac:dyDescent="0.25">
      <c r="B47" s="58" t="s">
        <v>46</v>
      </c>
      <c r="C47" s="37" t="s">
        <v>164</v>
      </c>
      <c r="D47" s="38">
        <v>45681</v>
      </c>
      <c r="E47" s="32"/>
      <c r="F47" s="40" t="s">
        <v>172</v>
      </c>
      <c r="G47" s="41">
        <v>154</v>
      </c>
      <c r="H47" s="41"/>
      <c r="I47" s="41">
        <v>154</v>
      </c>
      <c r="J47" s="41">
        <f t="shared" si="12"/>
        <v>7.7</v>
      </c>
      <c r="K47" s="41">
        <f t="shared" si="13"/>
        <v>161.69999999999999</v>
      </c>
      <c r="L47" s="42" t="s">
        <v>49</v>
      </c>
      <c r="M47" s="10"/>
      <c r="N47" s="10"/>
      <c r="O47" s="10"/>
      <c r="P47" s="10"/>
      <c r="Q47" s="10"/>
      <c r="R47" s="10"/>
      <c r="S47" s="10"/>
      <c r="T47" s="10"/>
    </row>
    <row r="48" spans="2:20" x14ac:dyDescent="0.25">
      <c r="B48" s="58" t="s">
        <v>173</v>
      </c>
      <c r="C48" s="37" t="s">
        <v>165</v>
      </c>
      <c r="D48" s="38">
        <v>45687</v>
      </c>
      <c r="E48" s="32" t="s">
        <v>174</v>
      </c>
      <c r="F48" s="40" t="s">
        <v>175</v>
      </c>
      <c r="G48" s="41">
        <v>560</v>
      </c>
      <c r="H48" s="41"/>
      <c r="I48" s="41">
        <v>560</v>
      </c>
      <c r="J48" s="41">
        <f t="shared" si="12"/>
        <v>28</v>
      </c>
      <c r="K48" s="41">
        <f t="shared" si="13"/>
        <v>588</v>
      </c>
      <c r="L48" s="42" t="s">
        <v>11</v>
      </c>
      <c r="M48" s="10"/>
      <c r="N48" s="10"/>
      <c r="O48" s="10"/>
      <c r="P48" s="10"/>
      <c r="Q48" s="10"/>
      <c r="R48" s="10"/>
      <c r="S48" s="10"/>
      <c r="T48" s="10"/>
    </row>
    <row r="49" spans="2:20" x14ac:dyDescent="0.25">
      <c r="B49" s="58" t="s">
        <v>68</v>
      </c>
      <c r="C49" s="37" t="s">
        <v>166</v>
      </c>
      <c r="D49" s="38">
        <v>45684</v>
      </c>
      <c r="E49" s="32" t="s">
        <v>78</v>
      </c>
      <c r="F49" s="40" t="s">
        <v>176</v>
      </c>
      <c r="G49" s="41">
        <v>405</v>
      </c>
      <c r="H49" s="41"/>
      <c r="I49" s="41">
        <v>405</v>
      </c>
      <c r="J49" s="41">
        <f t="shared" si="12"/>
        <v>20.25</v>
      </c>
      <c r="K49" s="41">
        <f t="shared" si="13"/>
        <v>425.25</v>
      </c>
      <c r="L49" s="42" t="s">
        <v>11</v>
      </c>
      <c r="M49" s="10"/>
      <c r="N49" s="10"/>
      <c r="O49" s="10"/>
      <c r="P49" s="10"/>
      <c r="Q49" s="10"/>
      <c r="R49" s="10"/>
      <c r="S49" s="10"/>
      <c r="T49" s="10"/>
    </row>
    <row r="50" spans="2:20" x14ac:dyDescent="0.25">
      <c r="B50" s="58" t="s">
        <v>68</v>
      </c>
      <c r="C50" s="37" t="s">
        <v>167</v>
      </c>
      <c r="D50" s="38">
        <v>45684</v>
      </c>
      <c r="E50" s="32" t="s">
        <v>78</v>
      </c>
      <c r="F50" s="40" t="s">
        <v>177</v>
      </c>
      <c r="G50" s="41">
        <v>405</v>
      </c>
      <c r="H50" s="41"/>
      <c r="I50" s="41">
        <v>405</v>
      </c>
      <c r="J50" s="41">
        <f t="shared" si="12"/>
        <v>20.25</v>
      </c>
      <c r="K50" s="41">
        <f t="shared" si="13"/>
        <v>425.25</v>
      </c>
      <c r="L50" s="42" t="s">
        <v>11</v>
      </c>
      <c r="M50" s="10"/>
      <c r="N50" s="10"/>
      <c r="O50" s="10"/>
      <c r="P50" s="10"/>
      <c r="Q50" s="10"/>
      <c r="R50" s="10"/>
      <c r="S50" s="10"/>
      <c r="T50" s="10"/>
    </row>
    <row r="51" spans="2:20" x14ac:dyDescent="0.25">
      <c r="B51" s="58" t="s">
        <v>96</v>
      </c>
      <c r="C51" s="37" t="s">
        <v>168</v>
      </c>
      <c r="D51" s="38">
        <v>45685</v>
      </c>
      <c r="E51" s="32" t="s">
        <v>97</v>
      </c>
      <c r="F51" s="41" t="s">
        <v>171</v>
      </c>
      <c r="G51" s="41">
        <v>430</v>
      </c>
      <c r="H51" s="41"/>
      <c r="I51" s="41">
        <v>430</v>
      </c>
      <c r="J51" s="41">
        <f t="shared" si="12"/>
        <v>21.5</v>
      </c>
      <c r="K51" s="41">
        <f t="shared" si="13"/>
        <v>451.5</v>
      </c>
      <c r="L51" s="42" t="s">
        <v>11</v>
      </c>
      <c r="M51" s="10"/>
      <c r="N51" s="10"/>
      <c r="O51" s="10"/>
      <c r="P51" s="10"/>
      <c r="Q51" s="10"/>
      <c r="R51" s="10"/>
      <c r="S51" s="10"/>
      <c r="T51" s="10"/>
    </row>
    <row r="52" spans="2:20" x14ac:dyDescent="0.25">
      <c r="B52" s="58" t="s">
        <v>105</v>
      </c>
      <c r="C52" s="37" t="s">
        <v>178</v>
      </c>
      <c r="D52" s="38">
        <v>45686</v>
      </c>
      <c r="E52" s="32" t="s">
        <v>108</v>
      </c>
      <c r="F52" s="40" t="s">
        <v>182</v>
      </c>
      <c r="G52" s="41">
        <v>4380</v>
      </c>
      <c r="H52" s="41"/>
      <c r="I52" s="41">
        <v>4380</v>
      </c>
      <c r="J52" s="41">
        <f t="shared" si="12"/>
        <v>219</v>
      </c>
      <c r="K52" s="41">
        <f t="shared" si="13"/>
        <v>4599</v>
      </c>
      <c r="L52" s="42" t="s">
        <v>57</v>
      </c>
      <c r="M52" s="10"/>
      <c r="N52" s="10"/>
      <c r="O52" s="10"/>
      <c r="P52" s="10"/>
      <c r="Q52" s="10"/>
      <c r="R52" s="10"/>
      <c r="S52" s="10"/>
      <c r="T52" s="10"/>
    </row>
    <row r="53" spans="2:20" x14ac:dyDescent="0.25">
      <c r="B53" s="58" t="s">
        <v>183</v>
      </c>
      <c r="C53" s="37" t="s">
        <v>179</v>
      </c>
      <c r="D53" s="38">
        <v>45686</v>
      </c>
      <c r="E53" s="32" t="s">
        <v>184</v>
      </c>
      <c r="F53" s="40" t="s">
        <v>185</v>
      </c>
      <c r="G53" s="41">
        <v>1640</v>
      </c>
      <c r="H53" s="41"/>
      <c r="I53" s="41">
        <v>1640</v>
      </c>
      <c r="J53" s="41">
        <f t="shared" si="12"/>
        <v>82</v>
      </c>
      <c r="K53" s="41">
        <f t="shared" si="13"/>
        <v>1722</v>
      </c>
      <c r="L53" s="42" t="s">
        <v>11</v>
      </c>
      <c r="M53" s="10"/>
      <c r="N53" s="10"/>
      <c r="O53" s="10"/>
      <c r="P53" s="10"/>
      <c r="Q53" s="10"/>
      <c r="R53" s="10"/>
      <c r="S53" s="10"/>
      <c r="T53" s="10"/>
    </row>
    <row r="54" spans="2:20" x14ac:dyDescent="0.25">
      <c r="B54" s="58" t="s">
        <v>186</v>
      </c>
      <c r="C54" s="37" t="s">
        <v>180</v>
      </c>
      <c r="D54" s="38">
        <v>45686</v>
      </c>
      <c r="E54" s="32" t="s">
        <v>188</v>
      </c>
      <c r="F54" s="40" t="s">
        <v>187</v>
      </c>
      <c r="G54" s="41">
        <v>1395</v>
      </c>
      <c r="H54" s="41"/>
      <c r="I54" s="41">
        <v>1395</v>
      </c>
      <c r="J54" s="41">
        <f t="shared" si="12"/>
        <v>69.75</v>
      </c>
      <c r="K54" s="41">
        <f t="shared" si="13"/>
        <v>1464.75</v>
      </c>
      <c r="L54" s="42" t="s">
        <v>11</v>
      </c>
      <c r="M54" s="10"/>
      <c r="N54" s="10"/>
      <c r="O54" s="10"/>
      <c r="P54" s="10"/>
      <c r="Q54" s="10"/>
      <c r="R54" s="10"/>
      <c r="S54" s="10"/>
      <c r="T54" s="10"/>
    </row>
    <row r="55" spans="2:20" x14ac:dyDescent="0.25">
      <c r="B55" s="58" t="s">
        <v>189</v>
      </c>
      <c r="C55" s="37" t="s">
        <v>181</v>
      </c>
      <c r="D55" s="38">
        <v>45686</v>
      </c>
      <c r="E55" s="32"/>
      <c r="F55" s="40" t="s">
        <v>207</v>
      </c>
      <c r="G55" s="41">
        <v>825.5</v>
      </c>
      <c r="H55" s="41"/>
      <c r="I55" s="41">
        <v>825.5</v>
      </c>
      <c r="J55" s="41">
        <f t="shared" si="12"/>
        <v>41.275000000000006</v>
      </c>
      <c r="K55" s="41">
        <f t="shared" si="13"/>
        <v>866.77499999999998</v>
      </c>
      <c r="L55" s="42" t="s">
        <v>11</v>
      </c>
      <c r="M55" s="10"/>
      <c r="N55" s="10"/>
      <c r="O55" s="10"/>
      <c r="P55" s="10"/>
      <c r="Q55" s="10"/>
      <c r="R55" s="10"/>
      <c r="S55" s="10"/>
      <c r="T55" s="10"/>
    </row>
    <row r="56" spans="2:20" x14ac:dyDescent="0.25">
      <c r="B56" s="58" t="s">
        <v>12</v>
      </c>
      <c r="C56" s="37" t="s">
        <v>191</v>
      </c>
      <c r="D56" s="38">
        <v>45687</v>
      </c>
      <c r="E56" s="32" t="s">
        <v>13</v>
      </c>
      <c r="F56" s="40" t="s">
        <v>192</v>
      </c>
      <c r="G56" s="41">
        <v>325</v>
      </c>
      <c r="H56" s="41"/>
      <c r="I56" s="41">
        <v>325</v>
      </c>
      <c r="J56" s="41">
        <f t="shared" si="12"/>
        <v>16.25</v>
      </c>
      <c r="K56" s="41">
        <f t="shared" si="13"/>
        <v>341.25</v>
      </c>
      <c r="L56" s="42" t="s">
        <v>11</v>
      </c>
      <c r="M56" s="10"/>
      <c r="N56" s="10"/>
      <c r="O56" s="10"/>
      <c r="P56" s="10"/>
      <c r="Q56" s="10"/>
      <c r="R56" s="10"/>
      <c r="S56" s="10"/>
      <c r="T56" s="10"/>
    </row>
    <row r="57" spans="2:20" x14ac:dyDescent="0.25">
      <c r="B57" s="58" t="s">
        <v>58</v>
      </c>
      <c r="C57" s="37" t="s">
        <v>193</v>
      </c>
      <c r="D57" s="38">
        <v>45688</v>
      </c>
      <c r="E57" s="32" t="s">
        <v>60</v>
      </c>
      <c r="F57" s="40" t="s">
        <v>200</v>
      </c>
      <c r="G57" s="41">
        <v>37406.75</v>
      </c>
      <c r="H57" s="41"/>
      <c r="I57" s="41">
        <v>37406.75</v>
      </c>
      <c r="J57" s="41">
        <f t="shared" si="12"/>
        <v>1870.3375000000001</v>
      </c>
      <c r="K57" s="41">
        <f t="shared" si="13"/>
        <v>39277.087500000001</v>
      </c>
      <c r="L57" s="42" t="s">
        <v>11</v>
      </c>
      <c r="M57" s="10"/>
      <c r="N57" s="10"/>
      <c r="O57" s="10"/>
      <c r="P57" s="10"/>
      <c r="Q57" s="10"/>
      <c r="R57" s="10"/>
      <c r="S57" s="10"/>
      <c r="T57" s="10"/>
    </row>
    <row r="58" spans="2:20" x14ac:dyDescent="0.25">
      <c r="B58" s="58" t="s">
        <v>58</v>
      </c>
      <c r="C58" s="37" t="s">
        <v>194</v>
      </c>
      <c r="D58" s="38">
        <v>45688</v>
      </c>
      <c r="E58" s="32" t="s">
        <v>60</v>
      </c>
      <c r="F58" s="40" t="s">
        <v>201</v>
      </c>
      <c r="G58" s="41">
        <v>58482.5</v>
      </c>
      <c r="H58" s="41"/>
      <c r="I58" s="41">
        <v>58482.5</v>
      </c>
      <c r="J58" s="41">
        <f t="shared" si="12"/>
        <v>2924.125</v>
      </c>
      <c r="K58" s="41">
        <f t="shared" si="13"/>
        <v>61406.625</v>
      </c>
      <c r="L58" s="42" t="s">
        <v>11</v>
      </c>
      <c r="M58" s="10"/>
      <c r="N58" s="10"/>
      <c r="O58" s="10"/>
      <c r="P58" s="10"/>
      <c r="Q58" s="10"/>
      <c r="R58" s="10"/>
      <c r="S58" s="10"/>
      <c r="T58" s="10"/>
    </row>
    <row r="59" spans="2:20" x14ac:dyDescent="0.25">
      <c r="B59" s="58" t="s">
        <v>58</v>
      </c>
      <c r="C59" s="37" t="s">
        <v>195</v>
      </c>
      <c r="D59" s="38">
        <v>45688</v>
      </c>
      <c r="E59" s="32" t="s">
        <v>60</v>
      </c>
      <c r="F59" s="40" t="s">
        <v>202</v>
      </c>
      <c r="G59" s="41">
        <v>1470</v>
      </c>
      <c r="H59" s="41"/>
      <c r="I59" s="41">
        <v>1470</v>
      </c>
      <c r="J59" s="41">
        <f t="shared" si="12"/>
        <v>73.5</v>
      </c>
      <c r="K59" s="41">
        <f t="shared" si="13"/>
        <v>1543.5</v>
      </c>
      <c r="L59" s="42" t="s">
        <v>11</v>
      </c>
      <c r="M59" s="10"/>
      <c r="N59" s="10"/>
      <c r="O59" s="10"/>
      <c r="P59" s="10"/>
      <c r="Q59" s="10"/>
      <c r="R59" s="10"/>
      <c r="S59" s="10"/>
      <c r="T59" s="10"/>
    </row>
    <row r="60" spans="2:20" x14ac:dyDescent="0.25">
      <c r="B60" s="58" t="s">
        <v>58</v>
      </c>
      <c r="C60" s="37" t="s">
        <v>196</v>
      </c>
      <c r="D60" s="38">
        <v>45688</v>
      </c>
      <c r="E60" s="32" t="s">
        <v>60</v>
      </c>
      <c r="F60" s="45" t="s">
        <v>203</v>
      </c>
      <c r="G60" s="44">
        <v>1380</v>
      </c>
      <c r="H60" s="44"/>
      <c r="I60" s="44">
        <v>1380</v>
      </c>
      <c r="J60" s="41">
        <f t="shared" si="12"/>
        <v>69</v>
      </c>
      <c r="K60" s="41">
        <f t="shared" si="13"/>
        <v>1449</v>
      </c>
      <c r="L60" s="42" t="s">
        <v>11</v>
      </c>
      <c r="M60" s="10"/>
      <c r="N60" s="10"/>
      <c r="O60" s="10"/>
      <c r="P60" s="10"/>
      <c r="Q60" s="10"/>
      <c r="R60" s="10"/>
      <c r="S60" s="10"/>
      <c r="T60" s="10"/>
    </row>
    <row r="61" spans="2:20" x14ac:dyDescent="0.25">
      <c r="B61" s="58" t="s">
        <v>58</v>
      </c>
      <c r="C61" s="37" t="s">
        <v>197</v>
      </c>
      <c r="D61" s="38">
        <v>45688</v>
      </c>
      <c r="E61" s="32" t="s">
        <v>60</v>
      </c>
      <c r="F61" s="40" t="s">
        <v>204</v>
      </c>
      <c r="G61" s="41">
        <v>330</v>
      </c>
      <c r="H61" s="41"/>
      <c r="I61" s="41">
        <v>330</v>
      </c>
      <c r="J61" s="41">
        <f t="shared" si="12"/>
        <v>16.5</v>
      </c>
      <c r="K61" s="41">
        <f t="shared" si="13"/>
        <v>346.5</v>
      </c>
      <c r="L61" s="42" t="s">
        <v>11</v>
      </c>
      <c r="M61" s="10"/>
      <c r="N61" s="10"/>
      <c r="O61" s="10"/>
      <c r="P61" s="10"/>
      <c r="Q61" s="10"/>
      <c r="R61" s="10"/>
      <c r="S61" s="10"/>
      <c r="T61" s="10"/>
    </row>
    <row r="62" spans="2:20" x14ac:dyDescent="0.25">
      <c r="B62" s="58" t="s">
        <v>58</v>
      </c>
      <c r="C62" s="37" t="s">
        <v>198</v>
      </c>
      <c r="D62" s="38">
        <v>45688</v>
      </c>
      <c r="E62" s="32" t="s">
        <v>60</v>
      </c>
      <c r="F62" s="43" t="s">
        <v>205</v>
      </c>
      <c r="G62" s="41">
        <v>4000</v>
      </c>
      <c r="H62" s="44"/>
      <c r="I62" s="41">
        <v>4000</v>
      </c>
      <c r="J62" s="41">
        <f t="shared" si="12"/>
        <v>200</v>
      </c>
      <c r="K62" s="41">
        <f t="shared" si="13"/>
        <v>4200</v>
      </c>
      <c r="L62" s="42" t="s">
        <v>11</v>
      </c>
      <c r="M62" s="10"/>
      <c r="N62" s="10"/>
      <c r="O62" s="10"/>
      <c r="P62" s="10"/>
      <c r="Q62" s="10"/>
      <c r="R62" s="10"/>
      <c r="S62" s="10"/>
      <c r="T62" s="10"/>
    </row>
    <row r="63" spans="2:20" x14ac:dyDescent="0.25">
      <c r="B63" s="58" t="s">
        <v>96</v>
      </c>
      <c r="C63" s="37" t="s">
        <v>199</v>
      </c>
      <c r="D63" s="38">
        <v>45688</v>
      </c>
      <c r="E63" s="32" t="s">
        <v>97</v>
      </c>
      <c r="F63" s="40" t="s">
        <v>206</v>
      </c>
      <c r="G63" s="41">
        <v>190</v>
      </c>
      <c r="H63" s="41"/>
      <c r="I63" s="41">
        <v>190</v>
      </c>
      <c r="J63" s="41">
        <f t="shared" si="12"/>
        <v>9.5</v>
      </c>
      <c r="K63" s="41">
        <f t="shared" si="13"/>
        <v>199.5</v>
      </c>
      <c r="L63" s="42" t="s">
        <v>11</v>
      </c>
      <c r="M63" s="10"/>
      <c r="N63" s="10"/>
      <c r="O63" s="10"/>
      <c r="P63" s="10"/>
      <c r="Q63" s="10"/>
      <c r="R63" s="10"/>
      <c r="S63" s="10"/>
      <c r="T63" s="10"/>
    </row>
    <row r="64" spans="2:20" x14ac:dyDescent="0.25">
      <c r="B64" s="58" t="s">
        <v>212</v>
      </c>
      <c r="C64" s="37" t="s">
        <v>208</v>
      </c>
      <c r="D64" s="38">
        <v>45688</v>
      </c>
      <c r="E64" s="32" t="s">
        <v>213</v>
      </c>
      <c r="F64" s="40" t="s">
        <v>214</v>
      </c>
      <c r="G64" s="41">
        <v>210</v>
      </c>
      <c r="H64" s="41"/>
      <c r="I64" s="41">
        <v>210</v>
      </c>
      <c r="J64" s="41">
        <f t="shared" si="12"/>
        <v>10.5</v>
      </c>
      <c r="K64" s="41">
        <f t="shared" si="13"/>
        <v>220.5</v>
      </c>
      <c r="L64" s="42" t="s">
        <v>49</v>
      </c>
      <c r="M64" s="10"/>
      <c r="N64" s="10"/>
      <c r="O64" s="10"/>
      <c r="P64" s="10"/>
      <c r="Q64" s="10"/>
      <c r="R64" s="10"/>
      <c r="S64" s="10"/>
      <c r="T64" s="10"/>
    </row>
    <row r="65" spans="2:20" x14ac:dyDescent="0.25">
      <c r="B65" s="58" t="s">
        <v>46</v>
      </c>
      <c r="C65" s="37" t="s">
        <v>209</v>
      </c>
      <c r="D65" s="38">
        <v>45688</v>
      </c>
      <c r="E65" s="32"/>
      <c r="F65" s="40" t="s">
        <v>215</v>
      </c>
      <c r="G65" s="41">
        <v>940</v>
      </c>
      <c r="H65" s="41"/>
      <c r="I65" s="41">
        <v>940</v>
      </c>
      <c r="J65" s="41">
        <f t="shared" si="12"/>
        <v>47</v>
      </c>
      <c r="K65" s="41">
        <f t="shared" si="13"/>
        <v>987</v>
      </c>
      <c r="L65" s="42" t="s">
        <v>49</v>
      </c>
      <c r="M65" s="10"/>
      <c r="N65" s="10"/>
      <c r="O65" s="10"/>
      <c r="P65" s="10"/>
      <c r="Q65" s="10"/>
      <c r="R65" s="10"/>
      <c r="S65" s="10"/>
      <c r="T65" s="10"/>
    </row>
    <row r="66" spans="2:20" x14ac:dyDescent="0.25">
      <c r="B66" s="58" t="s">
        <v>216</v>
      </c>
      <c r="C66" s="37" t="s">
        <v>210</v>
      </c>
      <c r="D66" s="38">
        <v>45688</v>
      </c>
      <c r="E66" s="32" t="s">
        <v>217</v>
      </c>
      <c r="F66" s="40" t="s">
        <v>218</v>
      </c>
      <c r="G66" s="41">
        <v>760</v>
      </c>
      <c r="H66" s="41"/>
      <c r="I66" s="41">
        <v>760</v>
      </c>
      <c r="J66" s="41">
        <f t="shared" si="12"/>
        <v>38</v>
      </c>
      <c r="K66" s="41">
        <f t="shared" si="13"/>
        <v>798</v>
      </c>
      <c r="L66" s="42" t="s">
        <v>11</v>
      </c>
      <c r="M66" s="10"/>
      <c r="N66" s="10"/>
      <c r="O66" s="10"/>
      <c r="P66" s="10"/>
      <c r="Q66" s="10"/>
      <c r="R66" s="10"/>
      <c r="S66" s="10"/>
      <c r="T66" s="10"/>
    </row>
    <row r="67" spans="2:20" x14ac:dyDescent="0.25">
      <c r="B67" s="58" t="s">
        <v>219</v>
      </c>
      <c r="C67" s="37" t="s">
        <v>211</v>
      </c>
      <c r="D67" s="38">
        <v>45688</v>
      </c>
      <c r="E67" s="32"/>
      <c r="F67" s="40" t="s">
        <v>220</v>
      </c>
      <c r="G67" s="41">
        <v>310</v>
      </c>
      <c r="H67" s="41"/>
      <c r="I67" s="41">
        <v>310</v>
      </c>
      <c r="J67" s="41">
        <f t="shared" si="12"/>
        <v>15.5</v>
      </c>
      <c r="K67" s="41">
        <f t="shared" si="13"/>
        <v>325.5</v>
      </c>
      <c r="L67" s="42" t="s">
        <v>11</v>
      </c>
      <c r="M67" s="10"/>
      <c r="N67" s="10"/>
      <c r="O67" s="10"/>
      <c r="P67" s="10"/>
      <c r="Q67" s="10"/>
      <c r="R67" s="10"/>
      <c r="S67" s="10"/>
      <c r="T67" s="10"/>
    </row>
    <row r="68" spans="2:20" x14ac:dyDescent="0.25">
      <c r="B68" s="58" t="s">
        <v>161</v>
      </c>
      <c r="C68" s="37" t="s">
        <v>221</v>
      </c>
      <c r="D68" s="38">
        <v>45688</v>
      </c>
      <c r="E68" s="32"/>
      <c r="F68" s="40" t="s">
        <v>233</v>
      </c>
      <c r="G68" s="41">
        <v>190</v>
      </c>
      <c r="H68" s="41"/>
      <c r="I68" s="41">
        <v>190</v>
      </c>
      <c r="J68" s="41">
        <f t="shared" si="12"/>
        <v>9.5</v>
      </c>
      <c r="K68" s="41">
        <f t="shared" si="13"/>
        <v>199.5</v>
      </c>
      <c r="L68" s="42" t="s">
        <v>11</v>
      </c>
      <c r="M68" s="10"/>
      <c r="N68" s="10"/>
      <c r="O68" s="10"/>
      <c r="P68" s="10"/>
      <c r="Q68" s="10"/>
      <c r="R68" s="10"/>
      <c r="S68" s="10"/>
      <c r="T68" s="10"/>
    </row>
    <row r="69" spans="2:20" x14ac:dyDescent="0.25">
      <c r="B69" s="58" t="s">
        <v>234</v>
      </c>
      <c r="C69" s="37" t="s">
        <v>222</v>
      </c>
      <c r="D69" s="39">
        <v>45700</v>
      </c>
      <c r="E69" s="32"/>
      <c r="F69" s="40" t="s">
        <v>235</v>
      </c>
      <c r="G69" s="41">
        <v>4800</v>
      </c>
      <c r="H69" s="41"/>
      <c r="I69" s="41">
        <v>4800</v>
      </c>
      <c r="J69" s="41">
        <f t="shared" si="12"/>
        <v>240</v>
      </c>
      <c r="K69" s="41">
        <f t="shared" si="13"/>
        <v>5040</v>
      </c>
      <c r="L69" s="42" t="s">
        <v>90</v>
      </c>
      <c r="M69" s="10"/>
      <c r="N69" s="10"/>
      <c r="O69" s="10"/>
      <c r="P69" s="10"/>
      <c r="Q69" s="10"/>
      <c r="R69" s="10"/>
      <c r="S69" s="10"/>
      <c r="T69" s="10"/>
    </row>
    <row r="70" spans="2:20" x14ac:dyDescent="0.25">
      <c r="B70" s="58" t="s">
        <v>237</v>
      </c>
      <c r="C70" s="37" t="s">
        <v>223</v>
      </c>
      <c r="D70" s="38">
        <v>45688</v>
      </c>
      <c r="E70" s="32"/>
      <c r="F70" s="40" t="s">
        <v>236</v>
      </c>
      <c r="G70" s="41">
        <v>900</v>
      </c>
      <c r="H70" s="41"/>
      <c r="I70" s="41">
        <v>900</v>
      </c>
      <c r="J70" s="41">
        <f t="shared" si="12"/>
        <v>45</v>
      </c>
      <c r="K70" s="41">
        <f t="shared" si="13"/>
        <v>945</v>
      </c>
      <c r="L70" s="42" t="s">
        <v>11</v>
      </c>
      <c r="M70" s="10"/>
      <c r="N70" s="10"/>
      <c r="O70" s="10"/>
      <c r="P70" s="10"/>
      <c r="Q70" s="10"/>
      <c r="R70" s="10"/>
      <c r="S70" s="10"/>
      <c r="T70" s="10"/>
    </row>
    <row r="71" spans="2:20" x14ac:dyDescent="0.25">
      <c r="B71" s="58" t="s">
        <v>238</v>
      </c>
      <c r="C71" s="46" t="s">
        <v>224</v>
      </c>
      <c r="D71" s="39">
        <v>45691</v>
      </c>
      <c r="E71" s="32"/>
      <c r="F71" s="40" t="s">
        <v>239</v>
      </c>
      <c r="G71" s="41">
        <v>3825</v>
      </c>
      <c r="H71" s="41"/>
      <c r="I71" s="41">
        <v>3825</v>
      </c>
      <c r="J71" s="41">
        <f t="shared" si="12"/>
        <v>191.25</v>
      </c>
      <c r="K71" s="41">
        <f t="shared" si="13"/>
        <v>4016.25</v>
      </c>
      <c r="L71" s="42" t="s">
        <v>49</v>
      </c>
      <c r="M71" s="10"/>
      <c r="N71" s="10"/>
      <c r="O71" s="10"/>
      <c r="P71" s="10"/>
      <c r="Q71" s="10"/>
      <c r="R71" s="10"/>
      <c r="S71" s="10"/>
      <c r="T71" s="10"/>
    </row>
    <row r="72" spans="2:20" x14ac:dyDescent="0.25">
      <c r="B72" s="58" t="s">
        <v>240</v>
      </c>
      <c r="C72" s="37" t="s">
        <v>225</v>
      </c>
      <c r="D72" s="38">
        <v>45688</v>
      </c>
      <c r="E72" s="32" t="s">
        <v>243</v>
      </c>
      <c r="F72" s="40" t="s">
        <v>241</v>
      </c>
      <c r="G72" s="41">
        <v>90</v>
      </c>
      <c r="H72" s="41"/>
      <c r="I72" s="41">
        <v>90</v>
      </c>
      <c r="J72" s="41">
        <f t="shared" si="12"/>
        <v>4.5</v>
      </c>
      <c r="K72" s="41">
        <f t="shared" si="13"/>
        <v>94.5</v>
      </c>
      <c r="L72" s="42" t="s">
        <v>11</v>
      </c>
      <c r="M72" s="10"/>
      <c r="N72" s="10"/>
      <c r="O72" s="10"/>
      <c r="P72" s="10"/>
      <c r="Q72" s="10"/>
      <c r="R72" s="10"/>
      <c r="S72" s="10"/>
      <c r="T72" s="10"/>
    </row>
    <row r="73" spans="2:20" x14ac:dyDescent="0.25">
      <c r="B73" s="58" t="s">
        <v>242</v>
      </c>
      <c r="C73" s="37" t="s">
        <v>226</v>
      </c>
      <c r="D73" s="38">
        <v>45688</v>
      </c>
      <c r="E73" s="32" t="s">
        <v>243</v>
      </c>
      <c r="F73" s="40" t="s">
        <v>241</v>
      </c>
      <c r="G73" s="41">
        <v>135</v>
      </c>
      <c r="H73" s="41"/>
      <c r="I73" s="41">
        <v>135</v>
      </c>
      <c r="J73" s="41">
        <f t="shared" si="12"/>
        <v>6.75</v>
      </c>
      <c r="K73" s="41">
        <f t="shared" si="13"/>
        <v>141.75</v>
      </c>
      <c r="L73" s="42" t="s">
        <v>11</v>
      </c>
      <c r="M73" s="10"/>
      <c r="N73" s="10"/>
      <c r="O73" s="10"/>
      <c r="P73" s="10"/>
      <c r="Q73" s="10"/>
      <c r="R73" s="10"/>
      <c r="S73" s="10"/>
      <c r="T73" s="10"/>
    </row>
    <row r="74" spans="2:20" x14ac:dyDescent="0.25">
      <c r="B74" s="58" t="s">
        <v>244</v>
      </c>
      <c r="C74" s="37" t="s">
        <v>227</v>
      </c>
      <c r="D74" s="39">
        <v>45700</v>
      </c>
      <c r="E74" s="32" t="s">
        <v>245</v>
      </c>
      <c r="F74" s="40" t="s">
        <v>246</v>
      </c>
      <c r="G74" s="41">
        <v>285</v>
      </c>
      <c r="H74" s="41"/>
      <c r="I74" s="41">
        <v>285</v>
      </c>
      <c r="J74" s="41">
        <f t="shared" si="12"/>
        <v>14.25</v>
      </c>
      <c r="K74" s="41">
        <f t="shared" si="13"/>
        <v>299.25</v>
      </c>
      <c r="L74" s="42" t="s">
        <v>11</v>
      </c>
      <c r="M74" s="10"/>
      <c r="N74" s="10"/>
      <c r="O74" s="10"/>
      <c r="P74" s="10"/>
      <c r="Q74" s="10"/>
      <c r="R74" s="10"/>
      <c r="S74" s="10"/>
      <c r="T74" s="10"/>
    </row>
    <row r="75" spans="2:20" x14ac:dyDescent="0.25">
      <c r="B75" s="58" t="s">
        <v>247</v>
      </c>
      <c r="C75" s="37" t="s">
        <v>228</v>
      </c>
      <c r="D75" s="39">
        <v>45701</v>
      </c>
      <c r="E75" s="32" t="s">
        <v>248</v>
      </c>
      <c r="F75" s="40" t="s">
        <v>315</v>
      </c>
      <c r="G75" s="41">
        <v>810</v>
      </c>
      <c r="H75" s="41"/>
      <c r="I75" s="41">
        <v>810</v>
      </c>
      <c r="J75" s="41">
        <f t="shared" si="12"/>
        <v>40.5</v>
      </c>
      <c r="K75" s="41">
        <f t="shared" si="13"/>
        <v>850.5</v>
      </c>
      <c r="L75" s="42" t="s">
        <v>11</v>
      </c>
      <c r="M75" s="10"/>
      <c r="N75" s="10"/>
      <c r="O75" s="10"/>
      <c r="P75" s="10"/>
      <c r="Q75" s="10"/>
      <c r="R75" s="10"/>
      <c r="S75" s="10"/>
      <c r="T75" s="10"/>
    </row>
    <row r="76" spans="2:20" x14ac:dyDescent="0.25">
      <c r="B76" s="58" t="s">
        <v>58</v>
      </c>
      <c r="C76" s="37" t="s">
        <v>229</v>
      </c>
      <c r="D76" s="39">
        <v>45700</v>
      </c>
      <c r="E76" s="32" t="s">
        <v>60</v>
      </c>
      <c r="F76" s="40" t="s">
        <v>249</v>
      </c>
      <c r="G76" s="41">
        <v>1530</v>
      </c>
      <c r="H76" s="41"/>
      <c r="I76" s="41">
        <v>1530</v>
      </c>
      <c r="J76" s="41">
        <f t="shared" si="12"/>
        <v>76.5</v>
      </c>
      <c r="K76" s="41">
        <f t="shared" si="13"/>
        <v>1606.5</v>
      </c>
      <c r="L76" s="42" t="s">
        <v>11</v>
      </c>
      <c r="M76" s="10"/>
      <c r="N76" s="10"/>
      <c r="O76" s="10"/>
      <c r="P76" s="10"/>
      <c r="Q76" s="10"/>
      <c r="R76" s="10"/>
      <c r="S76" s="10"/>
      <c r="T76" s="10"/>
    </row>
    <row r="77" spans="2:20" ht="15" customHeight="1" x14ac:dyDescent="0.25">
      <c r="B77" s="60" t="s">
        <v>12</v>
      </c>
      <c r="C77" s="37" t="s">
        <v>230</v>
      </c>
      <c r="D77" s="39">
        <v>45699</v>
      </c>
      <c r="E77" s="33" t="s">
        <v>13</v>
      </c>
      <c r="F77" s="43" t="s">
        <v>250</v>
      </c>
      <c r="G77" s="44">
        <v>951.6</v>
      </c>
      <c r="H77" s="44"/>
      <c r="I77" s="44">
        <v>951.6</v>
      </c>
      <c r="J77" s="41">
        <f t="shared" si="12"/>
        <v>47.580000000000005</v>
      </c>
      <c r="K77" s="41">
        <f t="shared" si="13"/>
        <v>999.18000000000006</v>
      </c>
      <c r="L77" s="42" t="s">
        <v>11</v>
      </c>
      <c r="M77" s="10"/>
      <c r="N77" s="10"/>
      <c r="O77" s="10"/>
      <c r="P77" s="10"/>
      <c r="Q77" s="10"/>
      <c r="R77" s="10"/>
      <c r="S77" s="10"/>
      <c r="T77" s="10"/>
    </row>
    <row r="78" spans="2:20" x14ac:dyDescent="0.25">
      <c r="B78" s="58" t="s">
        <v>251</v>
      </c>
      <c r="C78" s="37" t="s">
        <v>231</v>
      </c>
      <c r="D78" s="39">
        <v>45722</v>
      </c>
      <c r="E78" s="32" t="s">
        <v>252</v>
      </c>
      <c r="F78" s="40" t="s">
        <v>253</v>
      </c>
      <c r="G78" s="41">
        <v>3450</v>
      </c>
      <c r="H78" s="41"/>
      <c r="I78" s="41">
        <v>3450</v>
      </c>
      <c r="J78" s="41">
        <f t="shared" si="12"/>
        <v>172.5</v>
      </c>
      <c r="K78" s="41">
        <f t="shared" si="13"/>
        <v>3622.5</v>
      </c>
      <c r="L78" s="42" t="s">
        <v>11</v>
      </c>
      <c r="M78" s="10"/>
      <c r="N78" s="10"/>
      <c r="O78" s="10"/>
      <c r="P78" s="10"/>
      <c r="Q78" s="10"/>
      <c r="R78" s="10"/>
      <c r="S78" s="10"/>
      <c r="T78" s="10"/>
    </row>
    <row r="79" spans="2:20" x14ac:dyDescent="0.25">
      <c r="B79" s="58" t="s">
        <v>251</v>
      </c>
      <c r="C79" s="37" t="s">
        <v>232</v>
      </c>
      <c r="D79" s="39">
        <v>45734</v>
      </c>
      <c r="E79" s="32" t="s">
        <v>252</v>
      </c>
      <c r="F79" s="40" t="s">
        <v>253</v>
      </c>
      <c r="G79" s="41">
        <v>2574</v>
      </c>
      <c r="H79" s="41"/>
      <c r="I79" s="41">
        <v>2574</v>
      </c>
      <c r="J79" s="41">
        <f t="shared" si="12"/>
        <v>128.70000000000002</v>
      </c>
      <c r="K79" s="41">
        <f t="shared" si="13"/>
        <v>2702.7</v>
      </c>
      <c r="L79" s="42" t="s">
        <v>11</v>
      </c>
      <c r="M79" s="10"/>
      <c r="N79" s="10"/>
      <c r="O79" s="10"/>
      <c r="P79" s="10"/>
      <c r="Q79" s="10"/>
      <c r="R79" s="10"/>
      <c r="S79" s="10"/>
      <c r="T79" s="10"/>
    </row>
    <row r="80" spans="2:20" x14ac:dyDescent="0.25">
      <c r="B80" s="58" t="s">
        <v>254</v>
      </c>
      <c r="C80" s="37" t="s">
        <v>255</v>
      </c>
      <c r="D80" s="39">
        <v>45695</v>
      </c>
      <c r="E80" s="32"/>
      <c r="F80" s="40" t="s">
        <v>95</v>
      </c>
      <c r="G80" s="41">
        <v>170</v>
      </c>
      <c r="H80" s="41"/>
      <c r="I80" s="41">
        <v>170</v>
      </c>
      <c r="J80" s="41">
        <f t="shared" si="12"/>
        <v>8.5</v>
      </c>
      <c r="K80" s="41">
        <f t="shared" si="13"/>
        <v>178.5</v>
      </c>
      <c r="L80" s="42" t="s">
        <v>11</v>
      </c>
      <c r="M80" s="10"/>
      <c r="N80" s="10"/>
      <c r="O80" s="10"/>
      <c r="P80" s="10"/>
      <c r="Q80" s="10"/>
      <c r="R80" s="10"/>
      <c r="S80" s="10"/>
      <c r="T80" s="10"/>
    </row>
    <row r="81" spans="2:20" x14ac:dyDescent="0.25">
      <c r="B81" s="58" t="s">
        <v>68</v>
      </c>
      <c r="C81" s="37" t="s">
        <v>256</v>
      </c>
      <c r="D81" s="39">
        <v>45699</v>
      </c>
      <c r="E81" s="32" t="s">
        <v>78</v>
      </c>
      <c r="F81" s="40" t="s">
        <v>257</v>
      </c>
      <c r="G81" s="41">
        <v>405</v>
      </c>
      <c r="H81" s="41"/>
      <c r="I81" s="41">
        <v>405</v>
      </c>
      <c r="J81" s="41">
        <f t="shared" si="12"/>
        <v>20.25</v>
      </c>
      <c r="K81" s="41">
        <f t="shared" si="13"/>
        <v>425.25</v>
      </c>
      <c r="L81" s="42" t="s">
        <v>11</v>
      </c>
      <c r="M81" s="10"/>
      <c r="N81" s="10"/>
      <c r="O81" s="10"/>
      <c r="P81" s="10"/>
      <c r="Q81" s="10"/>
      <c r="R81" s="10"/>
      <c r="S81" s="10"/>
      <c r="T81" s="10"/>
    </row>
    <row r="82" spans="2:20" x14ac:dyDescent="0.25">
      <c r="B82" s="58" t="s">
        <v>68</v>
      </c>
      <c r="C82" s="37" t="s">
        <v>258</v>
      </c>
      <c r="D82" s="39">
        <v>45696</v>
      </c>
      <c r="E82" s="32" t="s">
        <v>78</v>
      </c>
      <c r="F82" s="40" t="s">
        <v>259</v>
      </c>
      <c r="G82" s="41">
        <v>8190</v>
      </c>
      <c r="H82" s="41"/>
      <c r="I82" s="41">
        <v>8190</v>
      </c>
      <c r="J82" s="41">
        <f t="shared" si="12"/>
        <v>409.5</v>
      </c>
      <c r="K82" s="41">
        <f t="shared" si="13"/>
        <v>8599.5</v>
      </c>
      <c r="L82" s="42" t="s">
        <v>11</v>
      </c>
      <c r="M82" s="10"/>
      <c r="N82" s="10"/>
      <c r="O82" s="10"/>
      <c r="P82" s="10"/>
      <c r="Q82" s="10"/>
      <c r="R82" s="10"/>
      <c r="S82" s="10"/>
      <c r="T82" s="10"/>
    </row>
    <row r="83" spans="2:20" x14ac:dyDescent="0.25">
      <c r="B83" s="58" t="s">
        <v>12</v>
      </c>
      <c r="C83" s="37" t="s">
        <v>260</v>
      </c>
      <c r="D83" s="39">
        <v>45696</v>
      </c>
      <c r="E83" s="32" t="s">
        <v>13</v>
      </c>
      <c r="F83" s="40" t="s">
        <v>261</v>
      </c>
      <c r="G83" s="41">
        <v>410</v>
      </c>
      <c r="H83" s="41"/>
      <c r="I83" s="41">
        <v>410</v>
      </c>
      <c r="J83" s="41">
        <f t="shared" si="12"/>
        <v>20.5</v>
      </c>
      <c r="K83" s="41">
        <f t="shared" si="13"/>
        <v>430.5</v>
      </c>
      <c r="L83" s="42" t="s">
        <v>11</v>
      </c>
      <c r="M83" s="10"/>
      <c r="N83" s="10"/>
      <c r="O83" s="10"/>
      <c r="P83" s="10"/>
      <c r="Q83" s="10"/>
      <c r="R83" s="10"/>
      <c r="S83" s="10"/>
      <c r="T83" s="10"/>
    </row>
    <row r="84" spans="2:20" x14ac:dyDescent="0.25">
      <c r="B84" s="58" t="s">
        <v>262</v>
      </c>
      <c r="C84" s="37" t="s">
        <v>263</v>
      </c>
      <c r="D84" s="39">
        <v>45693</v>
      </c>
      <c r="E84" s="32"/>
      <c r="F84" s="40" t="s">
        <v>264</v>
      </c>
      <c r="G84" s="41">
        <v>19950</v>
      </c>
      <c r="H84" s="41"/>
      <c r="I84" s="41">
        <v>19950</v>
      </c>
      <c r="J84" s="41">
        <f t="shared" si="12"/>
        <v>997.5</v>
      </c>
      <c r="K84" s="41">
        <f t="shared" si="13"/>
        <v>20947.5</v>
      </c>
      <c r="L84" s="42" t="s">
        <v>11</v>
      </c>
      <c r="M84" s="10"/>
      <c r="N84" s="10"/>
      <c r="O84" s="10"/>
      <c r="P84" s="10"/>
      <c r="Q84" s="10"/>
      <c r="R84" s="10"/>
      <c r="S84" s="10"/>
      <c r="T84" s="10"/>
    </row>
    <row r="85" spans="2:20" x14ac:dyDescent="0.25">
      <c r="B85" s="58" t="s">
        <v>58</v>
      </c>
      <c r="C85" s="37" t="s">
        <v>266</v>
      </c>
      <c r="D85" s="39">
        <v>45698</v>
      </c>
      <c r="E85" s="32" t="s">
        <v>60</v>
      </c>
      <c r="F85" s="40" t="s">
        <v>265</v>
      </c>
      <c r="G85" s="41">
        <v>325</v>
      </c>
      <c r="H85" s="41"/>
      <c r="I85" s="41">
        <v>325</v>
      </c>
      <c r="J85" s="41">
        <f t="shared" si="12"/>
        <v>16.25</v>
      </c>
      <c r="K85" s="41">
        <f t="shared" si="13"/>
        <v>341.25</v>
      </c>
      <c r="L85" s="42" t="s">
        <v>11</v>
      </c>
      <c r="M85" s="10"/>
      <c r="N85" s="10"/>
      <c r="O85" s="10"/>
      <c r="P85" s="10"/>
      <c r="Q85" s="10"/>
      <c r="R85" s="10"/>
      <c r="S85" s="10"/>
      <c r="T85" s="10"/>
    </row>
    <row r="86" spans="2:20" x14ac:dyDescent="0.25">
      <c r="B86" s="58" t="s">
        <v>96</v>
      </c>
      <c r="C86" s="37" t="s">
        <v>267</v>
      </c>
      <c r="D86" s="39">
        <v>45698</v>
      </c>
      <c r="E86" s="32" t="s">
        <v>97</v>
      </c>
      <c r="F86" s="40" t="s">
        <v>268</v>
      </c>
      <c r="G86" s="41">
        <v>325</v>
      </c>
      <c r="H86" s="41"/>
      <c r="I86" s="41">
        <v>325</v>
      </c>
      <c r="J86" s="41">
        <f t="shared" si="12"/>
        <v>16.25</v>
      </c>
      <c r="K86" s="41">
        <f t="shared" si="13"/>
        <v>341.25</v>
      </c>
      <c r="L86" s="42" t="s">
        <v>11</v>
      </c>
      <c r="M86" s="10"/>
      <c r="N86" s="10"/>
      <c r="O86" s="10"/>
      <c r="P86" s="10"/>
      <c r="Q86" s="10"/>
      <c r="R86" s="10"/>
      <c r="S86" s="10"/>
      <c r="T86" s="10"/>
    </row>
    <row r="87" spans="2:20" x14ac:dyDescent="0.25">
      <c r="B87" s="58" t="s">
        <v>46</v>
      </c>
      <c r="C87" s="37" t="s">
        <v>269</v>
      </c>
      <c r="D87" s="39">
        <v>45696</v>
      </c>
      <c r="E87" s="32"/>
      <c r="F87" s="40" t="s">
        <v>270</v>
      </c>
      <c r="G87" s="41">
        <v>336</v>
      </c>
      <c r="H87" s="41"/>
      <c r="I87" s="41">
        <v>336</v>
      </c>
      <c r="J87" s="41">
        <f t="shared" si="12"/>
        <v>16.8</v>
      </c>
      <c r="K87" s="41">
        <f t="shared" si="13"/>
        <v>352.8</v>
      </c>
      <c r="L87" s="42" t="s">
        <v>49</v>
      </c>
      <c r="M87" s="10"/>
      <c r="N87" s="10"/>
      <c r="O87" s="10"/>
      <c r="P87" s="10"/>
      <c r="Q87" s="10"/>
      <c r="R87" s="10"/>
      <c r="S87" s="10"/>
      <c r="T87" s="10"/>
    </row>
    <row r="88" spans="2:20" x14ac:dyDescent="0.25">
      <c r="B88" s="58" t="s">
        <v>271</v>
      </c>
      <c r="C88" s="37" t="s">
        <v>272</v>
      </c>
      <c r="D88" s="39">
        <v>45698</v>
      </c>
      <c r="E88" s="32" t="s">
        <v>273</v>
      </c>
      <c r="F88" s="40" t="s">
        <v>274</v>
      </c>
      <c r="G88" s="41">
        <v>943.2</v>
      </c>
      <c r="H88" s="41"/>
      <c r="I88" s="41">
        <v>943.2</v>
      </c>
      <c r="J88" s="41">
        <f t="shared" si="12"/>
        <v>47.160000000000004</v>
      </c>
      <c r="K88" s="41">
        <f t="shared" si="13"/>
        <v>990.36</v>
      </c>
      <c r="L88" s="42" t="s">
        <v>11</v>
      </c>
      <c r="M88" s="10"/>
      <c r="N88" s="10"/>
      <c r="O88" s="10"/>
      <c r="P88" s="10"/>
      <c r="Q88" s="10"/>
      <c r="R88" s="10"/>
      <c r="S88" s="10"/>
      <c r="T88" s="10"/>
    </row>
    <row r="89" spans="2:20" x14ac:dyDescent="0.25">
      <c r="B89" s="58" t="s">
        <v>275</v>
      </c>
      <c r="C89" s="37" t="s">
        <v>276</v>
      </c>
      <c r="D89" s="39">
        <v>45698</v>
      </c>
      <c r="E89" s="32"/>
      <c r="F89" s="40" t="s">
        <v>277</v>
      </c>
      <c r="G89" s="41">
        <v>1375</v>
      </c>
      <c r="H89" s="41"/>
      <c r="I89" s="41">
        <v>1375</v>
      </c>
      <c r="J89" s="41">
        <f t="shared" si="12"/>
        <v>68.75</v>
      </c>
      <c r="K89" s="41">
        <f t="shared" si="13"/>
        <v>1443.75</v>
      </c>
      <c r="L89" s="42" t="s">
        <v>11</v>
      </c>
      <c r="M89" s="10"/>
      <c r="N89" s="10"/>
      <c r="O89" s="10"/>
      <c r="P89" s="10"/>
      <c r="Q89" s="10"/>
      <c r="R89" s="10"/>
      <c r="S89" s="10"/>
      <c r="T89" s="10"/>
    </row>
    <row r="90" spans="2:20" x14ac:dyDescent="0.25">
      <c r="B90" s="58" t="s">
        <v>169</v>
      </c>
      <c r="C90" s="37" t="s">
        <v>278</v>
      </c>
      <c r="D90" s="39">
        <v>45698</v>
      </c>
      <c r="E90" s="32" t="s">
        <v>170</v>
      </c>
      <c r="F90" s="40" t="s">
        <v>279</v>
      </c>
      <c r="G90" s="41">
        <v>809.4</v>
      </c>
      <c r="H90" s="41"/>
      <c r="I90" s="41">
        <v>809.4</v>
      </c>
      <c r="J90" s="41">
        <f t="shared" si="12"/>
        <v>40.47</v>
      </c>
      <c r="K90" s="41">
        <f t="shared" si="13"/>
        <v>849.87</v>
      </c>
      <c r="L90" s="42" t="s">
        <v>11</v>
      </c>
      <c r="M90" s="10"/>
      <c r="N90" s="10"/>
      <c r="O90" s="10"/>
      <c r="P90" s="10"/>
      <c r="Q90" s="10"/>
      <c r="R90" s="10"/>
      <c r="S90" s="10"/>
      <c r="T90" s="10"/>
    </row>
    <row r="91" spans="2:20" x14ac:dyDescent="0.25">
      <c r="B91" s="58" t="s">
        <v>189</v>
      </c>
      <c r="C91" s="37" t="s">
        <v>280</v>
      </c>
      <c r="D91" s="39">
        <v>45705</v>
      </c>
      <c r="E91" s="32"/>
      <c r="F91" s="40" t="s">
        <v>282</v>
      </c>
      <c r="G91" s="41">
        <v>898.05</v>
      </c>
      <c r="H91" s="41"/>
      <c r="I91" s="41">
        <v>898.05</v>
      </c>
      <c r="J91" s="41">
        <f t="shared" si="12"/>
        <v>44.902500000000003</v>
      </c>
      <c r="K91" s="41">
        <f t="shared" si="13"/>
        <v>942.95249999999999</v>
      </c>
      <c r="L91" s="42" t="s">
        <v>11</v>
      </c>
      <c r="M91" s="10"/>
      <c r="N91" s="10"/>
      <c r="O91" s="10"/>
      <c r="P91" s="10"/>
      <c r="Q91" s="10"/>
      <c r="R91" s="10"/>
      <c r="S91" s="10"/>
      <c r="T91" s="10"/>
    </row>
    <row r="92" spans="2:20" x14ac:dyDescent="0.25">
      <c r="B92" s="58" t="s">
        <v>283</v>
      </c>
      <c r="C92" s="37" t="s">
        <v>281</v>
      </c>
      <c r="D92" s="39">
        <v>45700</v>
      </c>
      <c r="E92" s="32" t="s">
        <v>284</v>
      </c>
      <c r="F92" s="40" t="s">
        <v>79</v>
      </c>
      <c r="G92" s="41">
        <v>870</v>
      </c>
      <c r="H92" s="41"/>
      <c r="I92" s="41">
        <v>870</v>
      </c>
      <c r="J92" s="41">
        <f t="shared" si="12"/>
        <v>43.5</v>
      </c>
      <c r="K92" s="41">
        <f t="shared" si="13"/>
        <v>913.5</v>
      </c>
      <c r="L92" s="42" t="s">
        <v>11</v>
      </c>
      <c r="M92" s="10"/>
      <c r="N92" s="10"/>
      <c r="O92" s="10"/>
      <c r="P92" s="10"/>
      <c r="Q92" s="10"/>
      <c r="R92" s="10"/>
      <c r="S92" s="10"/>
      <c r="T92" s="10"/>
    </row>
    <row r="93" spans="2:20" x14ac:dyDescent="0.25">
      <c r="B93" s="58" t="s">
        <v>286</v>
      </c>
      <c r="C93" s="37" t="s">
        <v>285</v>
      </c>
      <c r="D93" s="39">
        <v>45699</v>
      </c>
      <c r="E93" s="32"/>
      <c r="F93" s="40" t="s">
        <v>287</v>
      </c>
      <c r="G93" s="41">
        <v>120</v>
      </c>
      <c r="H93" s="41"/>
      <c r="I93" s="41">
        <v>120</v>
      </c>
      <c r="J93" s="41">
        <f t="shared" si="12"/>
        <v>6</v>
      </c>
      <c r="K93" s="41">
        <f t="shared" si="13"/>
        <v>126</v>
      </c>
      <c r="L93" s="42" t="s">
        <v>11</v>
      </c>
      <c r="M93" s="10"/>
      <c r="N93" s="10"/>
      <c r="O93" s="10"/>
      <c r="P93" s="10"/>
      <c r="Q93" s="10"/>
      <c r="R93" s="10"/>
      <c r="S93" s="10"/>
      <c r="T93" s="10"/>
    </row>
    <row r="94" spans="2:20" x14ac:dyDescent="0.25">
      <c r="B94" s="58" t="s">
        <v>216</v>
      </c>
      <c r="C94" s="37" t="s">
        <v>288</v>
      </c>
      <c r="D94" s="39">
        <v>45705</v>
      </c>
      <c r="E94" s="32" t="s">
        <v>217</v>
      </c>
      <c r="F94" s="40" t="s">
        <v>289</v>
      </c>
      <c r="G94" s="41">
        <v>2470</v>
      </c>
      <c r="H94" s="41"/>
      <c r="I94" s="41">
        <v>2470</v>
      </c>
      <c r="J94" s="41">
        <f t="shared" si="12"/>
        <v>123.5</v>
      </c>
      <c r="K94" s="41">
        <f t="shared" si="13"/>
        <v>2593.5</v>
      </c>
      <c r="L94" s="42" t="s">
        <v>11</v>
      </c>
      <c r="M94" s="10"/>
      <c r="N94" s="10"/>
      <c r="O94" s="10"/>
      <c r="P94" s="10"/>
      <c r="Q94" s="10"/>
      <c r="R94" s="10"/>
      <c r="S94" s="10"/>
      <c r="T94" s="10"/>
    </row>
    <row r="95" spans="2:20" x14ac:dyDescent="0.25">
      <c r="B95" s="58" t="s">
        <v>12</v>
      </c>
      <c r="C95" s="37" t="s">
        <v>290</v>
      </c>
      <c r="D95" s="39">
        <v>45705</v>
      </c>
      <c r="E95" s="32" t="s">
        <v>13</v>
      </c>
      <c r="F95" s="40" t="s">
        <v>291</v>
      </c>
      <c r="G95" s="41">
        <v>650</v>
      </c>
      <c r="H95" s="41"/>
      <c r="I95" s="41">
        <v>650</v>
      </c>
      <c r="J95" s="41">
        <f t="shared" si="12"/>
        <v>32.5</v>
      </c>
      <c r="K95" s="41">
        <f t="shared" si="13"/>
        <v>682.5</v>
      </c>
      <c r="L95" s="42" t="s">
        <v>11</v>
      </c>
      <c r="M95" s="10"/>
      <c r="N95" s="10"/>
      <c r="O95" s="10"/>
      <c r="P95" s="10"/>
      <c r="Q95" s="10"/>
      <c r="R95" s="10"/>
      <c r="S95" s="10"/>
      <c r="T95" s="10"/>
    </row>
    <row r="96" spans="2:20" x14ac:dyDescent="0.25">
      <c r="B96" s="58" t="s">
        <v>293</v>
      </c>
      <c r="C96" s="37" t="s">
        <v>292</v>
      </c>
      <c r="D96" s="39">
        <v>45702</v>
      </c>
      <c r="E96" s="32" t="s">
        <v>294</v>
      </c>
      <c r="F96" s="40" t="s">
        <v>257</v>
      </c>
      <c r="G96" s="41">
        <v>90</v>
      </c>
      <c r="H96" s="41"/>
      <c r="I96" s="41">
        <v>90</v>
      </c>
      <c r="J96" s="41">
        <f t="shared" si="12"/>
        <v>4.5</v>
      </c>
      <c r="K96" s="41">
        <f t="shared" si="13"/>
        <v>94.5</v>
      </c>
      <c r="L96" s="42" t="s">
        <v>11</v>
      </c>
      <c r="M96" s="10"/>
      <c r="N96" s="10"/>
      <c r="O96" s="10"/>
      <c r="P96" s="10"/>
      <c r="Q96" s="10"/>
      <c r="R96" s="10"/>
      <c r="S96" s="10"/>
      <c r="T96" s="10"/>
    </row>
    <row r="97" spans="1:20" x14ac:dyDescent="0.25">
      <c r="B97" s="58" t="s">
        <v>295</v>
      </c>
      <c r="C97" s="37" t="s">
        <v>296</v>
      </c>
      <c r="D97" s="39">
        <v>45701</v>
      </c>
      <c r="E97" s="32"/>
      <c r="F97" s="40" t="s">
        <v>302</v>
      </c>
      <c r="G97" s="41">
        <v>8980</v>
      </c>
      <c r="H97" s="41"/>
      <c r="I97" s="41">
        <v>8980</v>
      </c>
      <c r="J97" s="41">
        <f t="shared" si="12"/>
        <v>449</v>
      </c>
      <c r="K97" s="41">
        <f t="shared" si="13"/>
        <v>9429</v>
      </c>
      <c r="L97" s="42" t="s">
        <v>57</v>
      </c>
      <c r="M97" s="10"/>
      <c r="N97" s="10"/>
      <c r="O97" s="10"/>
      <c r="P97" s="10"/>
      <c r="Q97" s="10"/>
      <c r="R97" s="10"/>
      <c r="S97" s="10"/>
      <c r="T97" s="10"/>
    </row>
    <row r="98" spans="1:20" x14ac:dyDescent="0.25">
      <c r="B98" s="58" t="s">
        <v>262</v>
      </c>
      <c r="C98" s="37" t="s">
        <v>297</v>
      </c>
      <c r="D98" s="39">
        <v>45701</v>
      </c>
      <c r="E98" s="32"/>
      <c r="F98" s="40" t="s">
        <v>303</v>
      </c>
      <c r="G98" s="41">
        <v>7905</v>
      </c>
      <c r="H98" s="41"/>
      <c r="I98" s="41">
        <v>7905</v>
      </c>
      <c r="J98" s="41">
        <f t="shared" si="12"/>
        <v>395.25</v>
      </c>
      <c r="K98" s="41">
        <f t="shared" si="13"/>
        <v>8300.25</v>
      </c>
      <c r="L98" s="42" t="s">
        <v>11</v>
      </c>
      <c r="M98" s="10"/>
      <c r="N98" s="10"/>
      <c r="O98" s="10"/>
      <c r="P98" s="10"/>
      <c r="Q98" s="10"/>
      <c r="R98" s="10"/>
      <c r="S98" s="10"/>
      <c r="T98" s="10"/>
    </row>
    <row r="99" spans="1:20" x14ac:dyDescent="0.25">
      <c r="B99" s="58" t="s">
        <v>304</v>
      </c>
      <c r="C99" s="37" t="s">
        <v>298</v>
      </c>
      <c r="D99" s="39">
        <v>45701</v>
      </c>
      <c r="E99" s="32" t="s">
        <v>305</v>
      </c>
      <c r="F99" s="40" t="s">
        <v>306</v>
      </c>
      <c r="G99" s="41">
        <v>314</v>
      </c>
      <c r="H99" s="41"/>
      <c r="I99" s="41">
        <v>314</v>
      </c>
      <c r="J99" s="41">
        <f t="shared" ref="J99:J162" si="14">G99*5%</f>
        <v>15.700000000000001</v>
      </c>
      <c r="K99" s="41">
        <f t="shared" ref="K99:K162" si="15">G99+J99</f>
        <v>329.7</v>
      </c>
      <c r="L99" s="42" t="s">
        <v>11</v>
      </c>
      <c r="M99" s="10"/>
      <c r="N99" s="10"/>
      <c r="O99" s="10"/>
      <c r="P99" s="10"/>
      <c r="Q99" s="10"/>
      <c r="R99" s="10"/>
      <c r="S99" s="10"/>
      <c r="T99" s="10"/>
    </row>
    <row r="100" spans="1:20" x14ac:dyDescent="0.25">
      <c r="B100" s="58" t="s">
        <v>307</v>
      </c>
      <c r="C100" s="37" t="s">
        <v>299</v>
      </c>
      <c r="D100" s="39">
        <v>45701</v>
      </c>
      <c r="E100" s="32" t="s">
        <v>308</v>
      </c>
      <c r="F100" s="40" t="s">
        <v>309</v>
      </c>
      <c r="G100" s="41">
        <v>325</v>
      </c>
      <c r="H100" s="41"/>
      <c r="I100" s="41">
        <v>325</v>
      </c>
      <c r="J100" s="41">
        <f t="shared" si="14"/>
        <v>16.25</v>
      </c>
      <c r="K100" s="41">
        <f t="shared" si="15"/>
        <v>341.25</v>
      </c>
      <c r="L100" s="42" t="s">
        <v>49</v>
      </c>
      <c r="M100" s="10"/>
      <c r="N100" s="10"/>
      <c r="O100" s="10"/>
      <c r="P100" s="10"/>
      <c r="Q100" s="10"/>
      <c r="R100" s="10"/>
      <c r="S100" s="10"/>
      <c r="T100" s="10"/>
    </row>
    <row r="101" spans="1:20" x14ac:dyDescent="0.25">
      <c r="B101" s="58" t="s">
        <v>310</v>
      </c>
      <c r="C101" s="37" t="s">
        <v>300</v>
      </c>
      <c r="D101" s="39">
        <v>45701</v>
      </c>
      <c r="E101" s="32" t="s">
        <v>157</v>
      </c>
      <c r="F101" s="40" t="s">
        <v>311</v>
      </c>
      <c r="G101" s="41">
        <v>235</v>
      </c>
      <c r="H101" s="41"/>
      <c r="I101" s="41">
        <v>235</v>
      </c>
      <c r="J101" s="41">
        <f t="shared" si="14"/>
        <v>11.75</v>
      </c>
      <c r="K101" s="41">
        <f t="shared" si="15"/>
        <v>246.75</v>
      </c>
      <c r="L101" s="42" t="s">
        <v>11</v>
      </c>
      <c r="M101" s="10"/>
      <c r="N101" s="10"/>
      <c r="O101" s="10"/>
      <c r="P101" s="10"/>
      <c r="Q101" s="10"/>
      <c r="R101" s="10"/>
      <c r="S101" s="10"/>
      <c r="T101" s="10"/>
    </row>
    <row r="102" spans="1:20" x14ac:dyDescent="0.25">
      <c r="B102" s="58" t="s">
        <v>312</v>
      </c>
      <c r="C102" s="37" t="s">
        <v>301</v>
      </c>
      <c r="D102" s="39">
        <v>45708</v>
      </c>
      <c r="E102" s="32" t="s">
        <v>313</v>
      </c>
      <c r="F102" s="40" t="s">
        <v>314</v>
      </c>
      <c r="G102" s="41">
        <v>5000</v>
      </c>
      <c r="H102" s="41"/>
      <c r="I102" s="41">
        <v>5000</v>
      </c>
      <c r="J102" s="41">
        <f t="shared" si="14"/>
        <v>250</v>
      </c>
      <c r="K102" s="41">
        <f t="shared" si="15"/>
        <v>5250</v>
      </c>
      <c r="L102" s="42" t="s">
        <v>11</v>
      </c>
      <c r="M102" s="10"/>
      <c r="N102" s="10"/>
      <c r="O102" s="10"/>
      <c r="P102" s="10"/>
      <c r="Q102" s="10"/>
      <c r="R102" s="10"/>
      <c r="S102" s="10"/>
      <c r="T102" s="10"/>
    </row>
    <row r="103" spans="1:20" x14ac:dyDescent="0.25">
      <c r="B103" s="58" t="s">
        <v>46</v>
      </c>
      <c r="C103" s="37" t="s">
        <v>316</v>
      </c>
      <c r="D103" s="39">
        <v>45703</v>
      </c>
      <c r="E103" s="32"/>
      <c r="F103" s="40" t="s">
        <v>318</v>
      </c>
      <c r="G103" s="41">
        <v>154</v>
      </c>
      <c r="H103" s="41"/>
      <c r="I103" s="41">
        <v>154</v>
      </c>
      <c r="J103" s="41">
        <f t="shared" si="14"/>
        <v>7.7</v>
      </c>
      <c r="K103" s="41">
        <f t="shared" si="15"/>
        <v>161.69999999999999</v>
      </c>
      <c r="L103" s="42" t="s">
        <v>49</v>
      </c>
      <c r="M103" s="10"/>
      <c r="N103" s="10"/>
      <c r="O103" s="10"/>
      <c r="P103" s="10"/>
      <c r="Q103" s="10"/>
      <c r="R103" s="10"/>
      <c r="S103" s="10"/>
      <c r="T103" s="10"/>
    </row>
    <row r="104" spans="1:20" x14ac:dyDescent="0.25">
      <c r="B104" s="58" t="s">
        <v>34</v>
      </c>
      <c r="C104" s="37" t="s">
        <v>317</v>
      </c>
      <c r="D104" s="39">
        <v>45705</v>
      </c>
      <c r="E104" s="32" t="s">
        <v>36</v>
      </c>
      <c r="F104" s="40" t="s">
        <v>319</v>
      </c>
      <c r="G104" s="41">
        <v>1231.5</v>
      </c>
      <c r="H104" s="41"/>
      <c r="I104" s="41">
        <v>1231.5</v>
      </c>
      <c r="J104" s="41">
        <f t="shared" si="14"/>
        <v>61.575000000000003</v>
      </c>
      <c r="K104" s="41">
        <f t="shared" si="15"/>
        <v>1293.075</v>
      </c>
      <c r="L104" s="42" t="s">
        <v>11</v>
      </c>
      <c r="M104" s="10"/>
      <c r="N104" s="10"/>
      <c r="O104" s="10"/>
      <c r="P104" s="10"/>
      <c r="Q104" s="10"/>
      <c r="R104" s="10"/>
      <c r="S104" s="10"/>
      <c r="T104" s="10"/>
    </row>
    <row r="105" spans="1:20" x14ac:dyDescent="0.25">
      <c r="A105" t="s">
        <v>947</v>
      </c>
      <c r="B105" s="58" t="s">
        <v>369</v>
      </c>
      <c r="C105" s="37" t="s">
        <v>320</v>
      </c>
      <c r="D105" s="39">
        <v>45708</v>
      </c>
      <c r="E105" s="32" t="s">
        <v>370</v>
      </c>
      <c r="F105" s="40" t="s">
        <v>331</v>
      </c>
      <c r="G105" s="41">
        <v>1110</v>
      </c>
      <c r="H105" s="41"/>
      <c r="I105" s="41">
        <v>1110</v>
      </c>
      <c r="J105" s="41">
        <f t="shared" si="14"/>
        <v>55.5</v>
      </c>
      <c r="K105" s="41">
        <f t="shared" si="15"/>
        <v>1165.5</v>
      </c>
      <c r="L105" s="42" t="s">
        <v>11</v>
      </c>
      <c r="M105" s="10"/>
      <c r="N105" s="10"/>
      <c r="O105" s="10"/>
      <c r="P105" s="10"/>
      <c r="Q105" s="10"/>
      <c r="R105" s="10"/>
      <c r="S105" s="10"/>
      <c r="T105" s="10"/>
    </row>
    <row r="106" spans="1:20" x14ac:dyDescent="0.25">
      <c r="B106" s="58" t="s">
        <v>189</v>
      </c>
      <c r="C106" s="37" t="s">
        <v>321</v>
      </c>
      <c r="D106" s="39">
        <v>45705</v>
      </c>
      <c r="E106" s="32"/>
      <c r="F106" s="40" t="s">
        <v>332</v>
      </c>
      <c r="G106" s="41">
        <v>1335</v>
      </c>
      <c r="H106" s="41"/>
      <c r="I106" s="41">
        <v>1335</v>
      </c>
      <c r="J106" s="41">
        <f t="shared" si="14"/>
        <v>66.75</v>
      </c>
      <c r="K106" s="41">
        <f t="shared" si="15"/>
        <v>1401.75</v>
      </c>
      <c r="L106" s="42" t="s">
        <v>11</v>
      </c>
      <c r="M106" s="10"/>
      <c r="N106" s="10"/>
      <c r="O106" s="10"/>
      <c r="P106" s="10"/>
      <c r="Q106" s="10"/>
      <c r="R106" s="10"/>
      <c r="S106" s="10"/>
      <c r="T106" s="10"/>
    </row>
    <row r="107" spans="1:20" x14ac:dyDescent="0.25">
      <c r="B107" s="58" t="s">
        <v>333</v>
      </c>
      <c r="C107" s="37" t="s">
        <v>322</v>
      </c>
      <c r="D107" s="39">
        <v>45707</v>
      </c>
      <c r="E107" s="32"/>
      <c r="F107" s="40" t="s">
        <v>334</v>
      </c>
      <c r="G107" s="41">
        <v>560</v>
      </c>
      <c r="H107" s="41"/>
      <c r="I107" s="41">
        <v>560</v>
      </c>
      <c r="J107" s="41">
        <f t="shared" si="14"/>
        <v>28</v>
      </c>
      <c r="K107" s="41">
        <f t="shared" si="15"/>
        <v>588</v>
      </c>
      <c r="L107" s="42" t="s">
        <v>49</v>
      </c>
      <c r="M107" s="10"/>
      <c r="N107" s="10"/>
      <c r="O107" s="10"/>
      <c r="P107" s="10"/>
      <c r="Q107" s="10"/>
      <c r="R107" s="10"/>
      <c r="S107" s="10"/>
      <c r="T107" s="10"/>
    </row>
    <row r="108" spans="1:20" x14ac:dyDescent="0.25">
      <c r="B108" s="58" t="s">
        <v>335</v>
      </c>
      <c r="C108" s="37" t="s">
        <v>323</v>
      </c>
      <c r="D108" s="39">
        <v>45706</v>
      </c>
      <c r="E108" s="32" t="s">
        <v>336</v>
      </c>
      <c r="F108" s="40" t="s">
        <v>337</v>
      </c>
      <c r="G108" s="41">
        <v>1310</v>
      </c>
      <c r="H108" s="41"/>
      <c r="I108" s="41">
        <v>1310</v>
      </c>
      <c r="J108" s="41">
        <f t="shared" si="14"/>
        <v>65.5</v>
      </c>
      <c r="K108" s="41">
        <f t="shared" si="15"/>
        <v>1375.5</v>
      </c>
      <c r="L108" s="42" t="s">
        <v>49</v>
      </c>
      <c r="M108" s="10"/>
      <c r="N108" s="10"/>
      <c r="O108" s="10"/>
      <c r="P108" s="10"/>
      <c r="Q108" s="10"/>
      <c r="R108" s="10"/>
      <c r="S108" s="10"/>
      <c r="T108" s="10"/>
    </row>
    <row r="109" spans="1:20" x14ac:dyDescent="0.25">
      <c r="B109" s="58" t="s">
        <v>338</v>
      </c>
      <c r="C109" s="37" t="s">
        <v>324</v>
      </c>
      <c r="D109" s="39">
        <v>45707</v>
      </c>
      <c r="E109" s="32" t="s">
        <v>339</v>
      </c>
      <c r="F109" s="40" t="s">
        <v>340</v>
      </c>
      <c r="G109" s="41">
        <v>1995</v>
      </c>
      <c r="H109" s="41"/>
      <c r="I109" s="41">
        <v>1995</v>
      </c>
      <c r="J109" s="41">
        <f t="shared" si="14"/>
        <v>99.75</v>
      </c>
      <c r="K109" s="41">
        <f t="shared" si="15"/>
        <v>2094.75</v>
      </c>
      <c r="L109" s="42" t="s">
        <v>11</v>
      </c>
      <c r="M109" s="10"/>
      <c r="N109" s="10"/>
      <c r="O109" s="10"/>
      <c r="P109" s="10"/>
      <c r="Q109" s="10"/>
      <c r="R109" s="10"/>
      <c r="S109" s="10"/>
      <c r="T109" s="10"/>
    </row>
    <row r="110" spans="1:20" x14ac:dyDescent="0.25">
      <c r="B110" s="58" t="s">
        <v>148</v>
      </c>
      <c r="C110" s="37" t="s">
        <v>325</v>
      </c>
      <c r="D110" s="39">
        <v>45713</v>
      </c>
      <c r="E110" s="32" t="s">
        <v>150</v>
      </c>
      <c r="F110" s="40" t="s">
        <v>341</v>
      </c>
      <c r="G110" s="41">
        <v>2125</v>
      </c>
      <c r="H110" s="41"/>
      <c r="I110" s="41">
        <v>2125</v>
      </c>
      <c r="J110" s="41">
        <f t="shared" si="14"/>
        <v>106.25</v>
      </c>
      <c r="K110" s="41">
        <f t="shared" si="15"/>
        <v>2231.25</v>
      </c>
      <c r="L110" s="42" t="s">
        <v>11</v>
      </c>
      <c r="M110" s="10"/>
      <c r="N110" s="10"/>
      <c r="O110" s="10"/>
      <c r="P110" s="10"/>
      <c r="Q110" s="10"/>
      <c r="R110" s="10"/>
      <c r="S110" s="10"/>
      <c r="T110" s="10"/>
    </row>
    <row r="111" spans="1:20" x14ac:dyDescent="0.25">
      <c r="B111" s="58" t="s">
        <v>68</v>
      </c>
      <c r="C111" s="37" t="s">
        <v>326</v>
      </c>
      <c r="D111" s="39">
        <v>45706</v>
      </c>
      <c r="E111" s="32" t="s">
        <v>78</v>
      </c>
      <c r="F111" s="40" t="s">
        <v>342</v>
      </c>
      <c r="G111" s="41">
        <v>1554</v>
      </c>
      <c r="H111" s="41"/>
      <c r="I111" s="41">
        <v>1554</v>
      </c>
      <c r="J111" s="41">
        <f t="shared" si="14"/>
        <v>77.7</v>
      </c>
      <c r="K111" s="41">
        <f t="shared" si="15"/>
        <v>1631.7</v>
      </c>
      <c r="L111" s="42" t="s">
        <v>11</v>
      </c>
      <c r="M111" s="10"/>
      <c r="N111" s="10"/>
      <c r="O111" s="10"/>
      <c r="P111" s="10"/>
      <c r="Q111" s="10"/>
      <c r="R111" s="10"/>
      <c r="S111" s="10"/>
      <c r="T111" s="10"/>
    </row>
    <row r="112" spans="1:20" x14ac:dyDescent="0.25">
      <c r="B112" s="58" t="s">
        <v>12</v>
      </c>
      <c r="C112" s="37" t="s">
        <v>327</v>
      </c>
      <c r="D112" s="39">
        <v>45707</v>
      </c>
      <c r="E112" s="32" t="s">
        <v>13</v>
      </c>
      <c r="F112" s="40" t="s">
        <v>343</v>
      </c>
      <c r="G112" s="41">
        <v>3372.5</v>
      </c>
      <c r="H112" s="41"/>
      <c r="I112" s="41">
        <v>3372.5</v>
      </c>
      <c r="J112" s="41">
        <f t="shared" si="14"/>
        <v>168.625</v>
      </c>
      <c r="K112" s="41">
        <f t="shared" si="15"/>
        <v>3541.125</v>
      </c>
      <c r="L112" s="42" t="s">
        <v>11</v>
      </c>
      <c r="M112" s="10"/>
      <c r="N112" s="10"/>
      <c r="O112" s="10"/>
      <c r="P112" s="10"/>
      <c r="Q112" s="10"/>
      <c r="R112" s="10"/>
      <c r="S112" s="10"/>
      <c r="T112" s="10"/>
    </row>
    <row r="113" spans="2:20" x14ac:dyDescent="0.25">
      <c r="B113" s="58" t="s">
        <v>247</v>
      </c>
      <c r="C113" s="37" t="s">
        <v>328</v>
      </c>
      <c r="D113" s="39">
        <v>45707</v>
      </c>
      <c r="E113" s="32" t="s">
        <v>248</v>
      </c>
      <c r="F113" s="40" t="s">
        <v>344</v>
      </c>
      <c r="G113" s="41">
        <v>1865</v>
      </c>
      <c r="H113" s="41"/>
      <c r="I113" s="41">
        <v>1865</v>
      </c>
      <c r="J113" s="41">
        <f t="shared" si="14"/>
        <v>93.25</v>
      </c>
      <c r="K113" s="41">
        <f t="shared" si="15"/>
        <v>1958.25</v>
      </c>
      <c r="L113" s="42" t="s">
        <v>11</v>
      </c>
      <c r="M113" s="10"/>
      <c r="N113" s="10"/>
      <c r="O113" s="10"/>
      <c r="P113" s="10"/>
      <c r="Q113" s="10"/>
      <c r="R113" s="10"/>
      <c r="S113" s="10"/>
      <c r="T113" s="10"/>
    </row>
    <row r="114" spans="2:20" x14ac:dyDescent="0.25">
      <c r="B114" s="58" t="s">
        <v>262</v>
      </c>
      <c r="C114" s="37" t="s">
        <v>329</v>
      </c>
      <c r="D114" s="39">
        <v>45707</v>
      </c>
      <c r="E114" s="32"/>
      <c r="F114" s="40" t="s">
        <v>345</v>
      </c>
      <c r="G114" s="41">
        <v>2940</v>
      </c>
      <c r="H114" s="41"/>
      <c r="I114" s="41">
        <v>2940</v>
      </c>
      <c r="J114" s="41">
        <f t="shared" si="14"/>
        <v>147</v>
      </c>
      <c r="K114" s="41">
        <f t="shared" si="15"/>
        <v>3087</v>
      </c>
      <c r="L114" s="42" t="s">
        <v>11</v>
      </c>
      <c r="M114" s="10"/>
      <c r="N114" s="10"/>
      <c r="O114" s="10"/>
      <c r="P114" s="10"/>
      <c r="Q114" s="10"/>
      <c r="R114" s="10"/>
      <c r="S114" s="10"/>
      <c r="T114" s="10"/>
    </row>
    <row r="115" spans="2:20" x14ac:dyDescent="0.25">
      <c r="B115" s="58" t="s">
        <v>155</v>
      </c>
      <c r="C115" s="37" t="s">
        <v>330</v>
      </c>
      <c r="D115" s="39">
        <v>45707</v>
      </c>
      <c r="E115" s="32" t="s">
        <v>157</v>
      </c>
      <c r="F115" s="40" t="s">
        <v>346</v>
      </c>
      <c r="G115" s="41">
        <v>680</v>
      </c>
      <c r="H115" s="41"/>
      <c r="I115" s="41">
        <v>680</v>
      </c>
      <c r="J115" s="41">
        <f t="shared" si="14"/>
        <v>34</v>
      </c>
      <c r="K115" s="41">
        <f t="shared" si="15"/>
        <v>714</v>
      </c>
      <c r="L115" s="42" t="s">
        <v>11</v>
      </c>
      <c r="M115" s="10"/>
      <c r="N115" s="10"/>
      <c r="O115" s="10"/>
      <c r="P115" s="10"/>
      <c r="Q115" s="10"/>
      <c r="R115" s="10"/>
      <c r="S115" s="10"/>
      <c r="T115" s="10"/>
    </row>
    <row r="116" spans="2:20" x14ac:dyDescent="0.25">
      <c r="B116" s="58" t="s">
        <v>271</v>
      </c>
      <c r="C116" s="37" t="s">
        <v>347</v>
      </c>
      <c r="D116" s="39">
        <v>45708</v>
      </c>
      <c r="E116" s="32" t="s">
        <v>273</v>
      </c>
      <c r="F116" s="40" t="s">
        <v>348</v>
      </c>
      <c r="G116" s="41">
        <v>360</v>
      </c>
      <c r="H116" s="41"/>
      <c r="I116" s="41">
        <v>360</v>
      </c>
      <c r="J116" s="41">
        <f t="shared" si="14"/>
        <v>18</v>
      </c>
      <c r="K116" s="41">
        <f t="shared" si="15"/>
        <v>378</v>
      </c>
      <c r="L116" s="42" t="s">
        <v>11</v>
      </c>
      <c r="M116" s="10"/>
      <c r="N116" s="10"/>
      <c r="O116" s="10"/>
      <c r="P116" s="10"/>
      <c r="Q116" s="10"/>
      <c r="R116" s="10"/>
      <c r="S116" s="10"/>
      <c r="T116" s="10"/>
    </row>
    <row r="117" spans="2:20" x14ac:dyDescent="0.25">
      <c r="B117" s="58" t="s">
        <v>68</v>
      </c>
      <c r="C117" s="37" t="s">
        <v>349</v>
      </c>
      <c r="D117" s="39">
        <v>45709</v>
      </c>
      <c r="E117" s="32" t="s">
        <v>78</v>
      </c>
      <c r="F117" s="43" t="s">
        <v>350</v>
      </c>
      <c r="G117" s="44">
        <v>405</v>
      </c>
      <c r="H117" s="44"/>
      <c r="I117" s="44">
        <v>405</v>
      </c>
      <c r="J117" s="41">
        <f t="shared" si="14"/>
        <v>20.25</v>
      </c>
      <c r="K117" s="41">
        <f t="shared" si="15"/>
        <v>425.25</v>
      </c>
      <c r="L117" s="42" t="s">
        <v>11</v>
      </c>
      <c r="M117" s="10"/>
      <c r="N117" s="10"/>
      <c r="O117" s="10"/>
      <c r="P117" s="10"/>
      <c r="Q117" s="10"/>
      <c r="R117" s="10"/>
      <c r="S117" s="10"/>
      <c r="T117" s="10"/>
    </row>
    <row r="118" spans="2:20" x14ac:dyDescent="0.25">
      <c r="B118" s="58" t="s">
        <v>46</v>
      </c>
      <c r="C118" s="37" t="s">
        <v>351</v>
      </c>
      <c r="D118" s="39">
        <v>45709</v>
      </c>
      <c r="E118" s="32"/>
      <c r="F118" s="40" t="s">
        <v>352</v>
      </c>
      <c r="G118" s="41">
        <v>176</v>
      </c>
      <c r="H118" s="41"/>
      <c r="I118" s="41">
        <v>176</v>
      </c>
      <c r="J118" s="41">
        <f t="shared" si="14"/>
        <v>8.8000000000000007</v>
      </c>
      <c r="K118" s="41">
        <f t="shared" si="15"/>
        <v>184.8</v>
      </c>
      <c r="L118" s="42" t="s">
        <v>49</v>
      </c>
      <c r="M118" s="10"/>
      <c r="N118" s="10"/>
      <c r="O118" s="10"/>
      <c r="P118" s="10"/>
      <c r="Q118" s="10"/>
      <c r="R118" s="10"/>
      <c r="S118" s="10"/>
      <c r="T118" s="10"/>
    </row>
    <row r="119" spans="2:20" x14ac:dyDescent="0.25">
      <c r="B119" s="58" t="s">
        <v>354</v>
      </c>
      <c r="C119" s="37" t="s">
        <v>353</v>
      </c>
      <c r="D119" s="39">
        <v>45710</v>
      </c>
      <c r="E119" s="32" t="s">
        <v>356</v>
      </c>
      <c r="F119" s="40" t="s">
        <v>355</v>
      </c>
      <c r="G119" s="41">
        <v>1445</v>
      </c>
      <c r="H119" s="41"/>
      <c r="I119" s="41">
        <v>1445</v>
      </c>
      <c r="J119" s="41">
        <f t="shared" si="14"/>
        <v>72.25</v>
      </c>
      <c r="K119" s="41">
        <f t="shared" si="15"/>
        <v>1517.25</v>
      </c>
      <c r="L119" s="42" t="s">
        <v>11</v>
      </c>
      <c r="M119" s="10"/>
      <c r="N119" s="10"/>
      <c r="O119" s="10"/>
      <c r="P119" s="10"/>
      <c r="Q119" s="10"/>
      <c r="R119" s="10"/>
      <c r="S119" s="10"/>
      <c r="T119" s="10"/>
    </row>
    <row r="120" spans="2:20" x14ac:dyDescent="0.25">
      <c r="B120" s="58" t="s">
        <v>216</v>
      </c>
      <c r="C120" s="37" t="s">
        <v>357</v>
      </c>
      <c r="D120" s="39">
        <v>45709</v>
      </c>
      <c r="E120" s="32" t="s">
        <v>217</v>
      </c>
      <c r="F120" s="40" t="s">
        <v>362</v>
      </c>
      <c r="G120" s="41">
        <v>257.5</v>
      </c>
      <c r="H120" s="41"/>
      <c r="I120" s="41">
        <v>257.5</v>
      </c>
      <c r="J120" s="41">
        <f t="shared" si="14"/>
        <v>12.875</v>
      </c>
      <c r="K120" s="41">
        <f t="shared" si="15"/>
        <v>270.375</v>
      </c>
      <c r="L120" s="42" t="s">
        <v>11</v>
      </c>
      <c r="M120" s="10"/>
      <c r="N120" s="10"/>
      <c r="O120" s="10"/>
      <c r="P120" s="10"/>
      <c r="Q120" s="10"/>
      <c r="R120" s="10"/>
      <c r="S120" s="10"/>
      <c r="T120" s="10"/>
    </row>
    <row r="121" spans="2:20" x14ac:dyDescent="0.25">
      <c r="B121" s="58" t="s">
        <v>363</v>
      </c>
      <c r="C121" s="37" t="s">
        <v>358</v>
      </c>
      <c r="D121" s="39">
        <v>45698</v>
      </c>
      <c r="E121" s="32"/>
      <c r="F121" s="40" t="s">
        <v>364</v>
      </c>
      <c r="G121" s="41">
        <v>19010</v>
      </c>
      <c r="H121" s="41"/>
      <c r="I121" s="41">
        <v>19010</v>
      </c>
      <c r="J121" s="41">
        <f t="shared" si="14"/>
        <v>950.5</v>
      </c>
      <c r="K121" s="41">
        <f t="shared" si="15"/>
        <v>19960.5</v>
      </c>
      <c r="L121" s="42" t="s">
        <v>11</v>
      </c>
      <c r="M121" s="10"/>
      <c r="N121" s="10"/>
      <c r="O121" s="10"/>
      <c r="P121" s="10"/>
      <c r="Q121" s="10"/>
      <c r="R121" s="10"/>
      <c r="S121" s="10"/>
      <c r="T121" s="10"/>
    </row>
    <row r="122" spans="2:20" x14ac:dyDescent="0.25">
      <c r="B122" s="58" t="s">
        <v>96</v>
      </c>
      <c r="C122" s="37" t="s">
        <v>359</v>
      </c>
      <c r="D122" s="39">
        <v>45712</v>
      </c>
      <c r="E122" s="32" t="s">
        <v>97</v>
      </c>
      <c r="F122" s="40" t="s">
        <v>145</v>
      </c>
      <c r="G122" s="41">
        <v>285</v>
      </c>
      <c r="H122" s="41"/>
      <c r="I122" s="41">
        <v>285</v>
      </c>
      <c r="J122" s="41">
        <f t="shared" si="14"/>
        <v>14.25</v>
      </c>
      <c r="K122" s="41">
        <f t="shared" si="15"/>
        <v>299.25</v>
      </c>
      <c r="L122" s="42" t="s">
        <v>11</v>
      </c>
      <c r="M122" s="10"/>
      <c r="N122" s="10"/>
      <c r="O122" s="10"/>
      <c r="P122" s="10"/>
      <c r="Q122" s="10"/>
      <c r="R122" s="10"/>
      <c r="S122" s="10"/>
      <c r="T122" s="10"/>
    </row>
    <row r="123" spans="2:20" x14ac:dyDescent="0.25">
      <c r="B123" s="58" t="s">
        <v>365</v>
      </c>
      <c r="C123" s="37" t="s">
        <v>360</v>
      </c>
      <c r="D123" s="39">
        <v>45712</v>
      </c>
      <c r="E123" s="32"/>
      <c r="F123" s="40" t="s">
        <v>366</v>
      </c>
      <c r="G123" s="41">
        <v>210</v>
      </c>
      <c r="H123" s="41"/>
      <c r="I123" s="41">
        <v>210</v>
      </c>
      <c r="J123" s="41">
        <f t="shared" si="14"/>
        <v>10.5</v>
      </c>
      <c r="K123" s="41">
        <f t="shared" si="15"/>
        <v>220.5</v>
      </c>
      <c r="L123" s="42" t="s">
        <v>11</v>
      </c>
      <c r="M123" s="10"/>
      <c r="N123" s="10"/>
      <c r="O123" s="10"/>
      <c r="P123" s="10"/>
      <c r="Q123" s="10"/>
      <c r="R123" s="10"/>
      <c r="S123" s="10"/>
      <c r="T123" s="10"/>
    </row>
    <row r="124" spans="2:20" x14ac:dyDescent="0.25">
      <c r="B124" s="61" t="s">
        <v>367</v>
      </c>
      <c r="C124" s="50" t="s">
        <v>361</v>
      </c>
      <c r="D124" s="51">
        <v>45712</v>
      </c>
      <c r="E124" s="52"/>
      <c r="F124" s="53" t="s">
        <v>368</v>
      </c>
      <c r="G124" s="48"/>
      <c r="H124" s="48"/>
      <c r="I124" s="48"/>
      <c r="J124" s="48"/>
      <c r="K124" s="48"/>
      <c r="L124" s="49"/>
      <c r="M124" s="10"/>
      <c r="N124" s="10"/>
      <c r="O124" s="10"/>
      <c r="P124" s="10"/>
      <c r="Q124" s="10"/>
      <c r="R124" s="10"/>
      <c r="S124" s="10"/>
      <c r="T124" s="10"/>
    </row>
    <row r="125" spans="2:20" x14ac:dyDescent="0.25">
      <c r="B125" s="58" t="s">
        <v>12</v>
      </c>
      <c r="C125" s="37" t="s">
        <v>373</v>
      </c>
      <c r="D125" s="39">
        <v>45715</v>
      </c>
      <c r="E125" s="32" t="s">
        <v>13</v>
      </c>
      <c r="F125" s="40" t="s">
        <v>389</v>
      </c>
      <c r="G125" s="41">
        <v>8925</v>
      </c>
      <c r="H125" s="41"/>
      <c r="I125" s="41">
        <v>8925</v>
      </c>
      <c r="J125" s="41">
        <f t="shared" si="14"/>
        <v>446.25</v>
      </c>
      <c r="K125" s="41">
        <f t="shared" si="15"/>
        <v>9371.25</v>
      </c>
      <c r="L125" s="42" t="s">
        <v>11</v>
      </c>
      <c r="M125" s="10"/>
      <c r="N125" s="10"/>
      <c r="O125" s="10"/>
      <c r="P125" s="10"/>
      <c r="Q125" s="10"/>
      <c r="R125" s="10"/>
      <c r="S125" s="10"/>
      <c r="T125" s="10"/>
    </row>
    <row r="126" spans="2:20" x14ac:dyDescent="0.25">
      <c r="B126" s="58" t="s">
        <v>58</v>
      </c>
      <c r="C126" s="37" t="s">
        <v>374</v>
      </c>
      <c r="D126" s="39">
        <v>45715</v>
      </c>
      <c r="E126" s="32" t="s">
        <v>60</v>
      </c>
      <c r="F126" s="40" t="s">
        <v>390</v>
      </c>
      <c r="G126" s="41">
        <v>3887</v>
      </c>
      <c r="H126" s="41"/>
      <c r="I126" s="41">
        <v>3887</v>
      </c>
      <c r="J126" s="41">
        <f t="shared" si="14"/>
        <v>194.35000000000002</v>
      </c>
      <c r="K126" s="41">
        <f t="shared" si="15"/>
        <v>4081.35</v>
      </c>
      <c r="L126" s="42" t="s">
        <v>11</v>
      </c>
      <c r="M126" s="10"/>
      <c r="N126" s="10"/>
      <c r="O126" s="10"/>
      <c r="P126" s="10"/>
      <c r="Q126" s="10"/>
      <c r="R126" s="10"/>
      <c r="S126" s="10"/>
      <c r="T126" s="10"/>
    </row>
    <row r="127" spans="2:20" x14ac:dyDescent="0.25">
      <c r="B127" s="58" t="s">
        <v>58</v>
      </c>
      <c r="C127" s="37" t="s">
        <v>375</v>
      </c>
      <c r="D127" s="39">
        <v>45715</v>
      </c>
      <c r="E127" s="32" t="s">
        <v>60</v>
      </c>
      <c r="F127" s="40" t="s">
        <v>391</v>
      </c>
      <c r="G127" s="41">
        <v>3263</v>
      </c>
      <c r="H127" s="41"/>
      <c r="I127" s="41">
        <v>3263</v>
      </c>
      <c r="J127" s="41">
        <f t="shared" si="14"/>
        <v>163.15</v>
      </c>
      <c r="K127" s="41">
        <f t="shared" si="15"/>
        <v>3426.15</v>
      </c>
      <c r="L127" s="42" t="s">
        <v>11</v>
      </c>
      <c r="M127" s="10"/>
      <c r="N127" s="10"/>
      <c r="O127" s="10"/>
      <c r="P127" s="10"/>
      <c r="Q127" s="10"/>
      <c r="R127" s="10"/>
      <c r="S127" s="10"/>
      <c r="T127" s="10"/>
    </row>
    <row r="128" spans="2:20" x14ac:dyDescent="0.25">
      <c r="B128" s="58" t="s">
        <v>96</v>
      </c>
      <c r="C128" s="37" t="s">
        <v>376</v>
      </c>
      <c r="D128" s="39">
        <v>45716</v>
      </c>
      <c r="E128" s="32" t="s">
        <v>97</v>
      </c>
      <c r="F128" s="40" t="s">
        <v>98</v>
      </c>
      <c r="G128" s="41">
        <v>360</v>
      </c>
      <c r="H128" s="41"/>
      <c r="I128" s="41">
        <v>360</v>
      </c>
      <c r="J128" s="41">
        <f t="shared" si="14"/>
        <v>18</v>
      </c>
      <c r="K128" s="41">
        <f t="shared" si="15"/>
        <v>378</v>
      </c>
      <c r="L128" s="42" t="s">
        <v>11</v>
      </c>
      <c r="M128" s="10"/>
      <c r="N128" s="10"/>
      <c r="O128" s="10"/>
      <c r="P128" s="10"/>
      <c r="Q128" s="10"/>
      <c r="R128" s="10"/>
      <c r="S128" s="10"/>
      <c r="T128" s="10"/>
    </row>
    <row r="129" spans="2:21" x14ac:dyDescent="0.25">
      <c r="B129" s="58" t="s">
        <v>96</v>
      </c>
      <c r="C129" s="37" t="s">
        <v>377</v>
      </c>
      <c r="D129" s="39">
        <v>45716</v>
      </c>
      <c r="E129" s="32" t="s">
        <v>97</v>
      </c>
      <c r="F129" s="40" t="s">
        <v>145</v>
      </c>
      <c r="G129" s="41">
        <v>570</v>
      </c>
      <c r="H129" s="41"/>
      <c r="I129" s="41">
        <v>570</v>
      </c>
      <c r="J129" s="41">
        <f t="shared" si="14"/>
        <v>28.5</v>
      </c>
      <c r="K129" s="41">
        <f t="shared" si="15"/>
        <v>598.5</v>
      </c>
      <c r="L129" s="42" t="s">
        <v>11</v>
      </c>
      <c r="M129" s="10"/>
      <c r="N129" s="10"/>
      <c r="O129" s="10"/>
      <c r="P129" s="10"/>
      <c r="Q129" s="10"/>
      <c r="R129" s="10"/>
      <c r="S129" s="10"/>
      <c r="T129" s="10"/>
    </row>
    <row r="130" spans="2:21" x14ac:dyDescent="0.25">
      <c r="B130" s="58" t="s">
        <v>283</v>
      </c>
      <c r="C130" s="37" t="s">
        <v>378</v>
      </c>
      <c r="D130" s="39">
        <v>45716</v>
      </c>
      <c r="E130" s="32" t="s">
        <v>284</v>
      </c>
      <c r="F130" s="40" t="s">
        <v>392</v>
      </c>
      <c r="G130" s="41">
        <v>730</v>
      </c>
      <c r="H130" s="41"/>
      <c r="I130" s="41">
        <v>730</v>
      </c>
      <c r="J130" s="41">
        <f t="shared" si="14"/>
        <v>36.5</v>
      </c>
      <c r="K130" s="41">
        <f t="shared" si="15"/>
        <v>766.5</v>
      </c>
      <c r="L130" s="42" t="s">
        <v>11</v>
      </c>
      <c r="M130" s="10"/>
      <c r="N130" s="10"/>
      <c r="O130" s="10"/>
      <c r="P130" s="10"/>
      <c r="Q130" s="10"/>
      <c r="R130" s="10"/>
      <c r="S130" s="10"/>
      <c r="T130" s="10"/>
    </row>
    <row r="131" spans="2:21" x14ac:dyDescent="0.25">
      <c r="B131" s="58" t="s">
        <v>58</v>
      </c>
      <c r="C131" s="37" t="s">
        <v>379</v>
      </c>
      <c r="D131" s="39">
        <v>45738</v>
      </c>
      <c r="E131" s="32" t="s">
        <v>60</v>
      </c>
      <c r="F131" s="40" t="s">
        <v>393</v>
      </c>
      <c r="G131" s="41">
        <v>562.5</v>
      </c>
      <c r="H131" s="41"/>
      <c r="I131" s="41">
        <v>562.5</v>
      </c>
      <c r="J131" s="41">
        <f t="shared" si="14"/>
        <v>28.125</v>
      </c>
      <c r="K131" s="41">
        <f t="shared" si="15"/>
        <v>590.625</v>
      </c>
      <c r="L131" s="42" t="s">
        <v>11</v>
      </c>
      <c r="M131" s="10"/>
      <c r="N131" s="10"/>
      <c r="O131" s="10"/>
      <c r="P131" s="10"/>
      <c r="Q131" s="10"/>
      <c r="R131" s="10"/>
      <c r="S131" s="10"/>
      <c r="T131" s="10"/>
    </row>
    <row r="132" spans="2:21" x14ac:dyDescent="0.25">
      <c r="B132" s="58" t="s">
        <v>34</v>
      </c>
      <c r="C132" s="37" t="s">
        <v>380</v>
      </c>
      <c r="D132" s="39">
        <v>45716</v>
      </c>
      <c r="E132" s="32" t="s">
        <v>36</v>
      </c>
      <c r="F132" s="40" t="s">
        <v>394</v>
      </c>
      <c r="G132" s="41">
        <v>750</v>
      </c>
      <c r="H132" s="41"/>
      <c r="I132" s="41">
        <v>750</v>
      </c>
      <c r="J132" s="41">
        <f t="shared" si="14"/>
        <v>37.5</v>
      </c>
      <c r="K132" s="41">
        <f t="shared" si="15"/>
        <v>787.5</v>
      </c>
      <c r="L132" s="42" t="s">
        <v>11</v>
      </c>
      <c r="M132" s="10"/>
      <c r="N132" s="10"/>
      <c r="O132" s="10"/>
      <c r="P132" s="10"/>
      <c r="Q132" s="10"/>
      <c r="R132" s="10"/>
      <c r="S132" s="10"/>
      <c r="T132" s="10"/>
    </row>
    <row r="133" spans="2:21" x14ac:dyDescent="0.25">
      <c r="B133" s="58" t="s">
        <v>240</v>
      </c>
      <c r="C133" s="37" t="s">
        <v>381</v>
      </c>
      <c r="D133" s="39">
        <v>45716</v>
      </c>
      <c r="E133" s="32" t="s">
        <v>243</v>
      </c>
      <c r="F133" s="40" t="s">
        <v>401</v>
      </c>
      <c r="G133" s="41">
        <v>45</v>
      </c>
      <c r="H133" s="41"/>
      <c r="I133" s="41">
        <v>45</v>
      </c>
      <c r="J133" s="41">
        <f t="shared" si="14"/>
        <v>2.25</v>
      </c>
      <c r="K133" s="41">
        <f t="shared" si="15"/>
        <v>47.25</v>
      </c>
      <c r="L133" s="42" t="s">
        <v>11</v>
      </c>
      <c r="M133" s="10"/>
      <c r="N133" s="10"/>
      <c r="O133" s="10"/>
      <c r="P133" s="10"/>
      <c r="Q133" s="10"/>
      <c r="R133" s="10"/>
      <c r="S133" s="10"/>
      <c r="T133" s="10"/>
    </row>
    <row r="134" spans="2:21" ht="15.75" thickBot="1" x14ac:dyDescent="0.3">
      <c r="B134" s="58" t="s">
        <v>402</v>
      </c>
      <c r="C134" s="37" t="s">
        <v>382</v>
      </c>
      <c r="D134" s="39">
        <v>45716</v>
      </c>
      <c r="E134" s="32" t="s">
        <v>243</v>
      </c>
      <c r="F134" s="40" t="s">
        <v>401</v>
      </c>
      <c r="G134" s="41">
        <v>75</v>
      </c>
      <c r="H134" s="41"/>
      <c r="I134" s="41">
        <v>75</v>
      </c>
      <c r="J134" s="41">
        <f t="shared" si="14"/>
        <v>3.75</v>
      </c>
      <c r="K134" s="41">
        <f t="shared" si="15"/>
        <v>78.75</v>
      </c>
      <c r="L134" s="42" t="s">
        <v>11</v>
      </c>
      <c r="M134" s="10"/>
      <c r="N134" s="10"/>
      <c r="O134" s="10"/>
      <c r="P134" s="10"/>
      <c r="Q134" s="10"/>
      <c r="R134" s="10"/>
      <c r="S134" s="10"/>
      <c r="T134" s="10"/>
    </row>
    <row r="135" spans="2:21" ht="15.75" thickBot="1" x14ac:dyDescent="0.3">
      <c r="B135" s="58" t="s">
        <v>46</v>
      </c>
      <c r="C135" s="37" t="s">
        <v>383</v>
      </c>
      <c r="D135" s="39">
        <v>45716</v>
      </c>
      <c r="E135" s="32"/>
      <c r="F135" s="40" t="s">
        <v>395</v>
      </c>
      <c r="G135" s="41">
        <v>154</v>
      </c>
      <c r="H135" s="41"/>
      <c r="I135" s="41">
        <v>154</v>
      </c>
      <c r="J135" s="41">
        <f t="shared" si="14"/>
        <v>7.7</v>
      </c>
      <c r="K135" s="41">
        <f t="shared" si="15"/>
        <v>161.69999999999999</v>
      </c>
      <c r="L135" s="42" t="s">
        <v>49</v>
      </c>
      <c r="M135" s="10"/>
      <c r="N135" s="10"/>
      <c r="O135" s="10"/>
      <c r="P135" s="10"/>
      <c r="Q135" s="10"/>
      <c r="R135" s="10"/>
      <c r="S135" s="10"/>
      <c r="T135" s="15">
        <v>2025</v>
      </c>
      <c r="U135" s="10"/>
    </row>
    <row r="136" spans="2:21" x14ac:dyDescent="0.25">
      <c r="B136" s="58" t="s">
        <v>46</v>
      </c>
      <c r="C136" s="37" t="s">
        <v>384</v>
      </c>
      <c r="D136" s="39">
        <v>45716</v>
      </c>
      <c r="E136" s="32"/>
      <c r="F136" s="40" t="s">
        <v>396</v>
      </c>
      <c r="G136" s="41">
        <v>150</v>
      </c>
      <c r="H136" s="41"/>
      <c r="I136" s="41">
        <v>150</v>
      </c>
      <c r="J136" s="41">
        <f t="shared" si="14"/>
        <v>7.5</v>
      </c>
      <c r="K136" s="41">
        <f t="shared" si="15"/>
        <v>157.5</v>
      </c>
      <c r="L136" s="42" t="s">
        <v>49</v>
      </c>
      <c r="M136" s="10"/>
      <c r="N136" s="10"/>
      <c r="O136" s="10"/>
      <c r="P136" s="10"/>
      <c r="Q136" s="10"/>
      <c r="R136" s="10"/>
      <c r="S136" s="16" t="s">
        <v>16</v>
      </c>
      <c r="T136" s="17">
        <f>G3+G4+G5+G6+G7+G8+G9+G10+G11+G12+G13+G14+G15+G16+G17+G18+G19+G20+G21+G22+G23+G24+G25+G26+G27+G28+G29+G30+G31+G32+G33+G34+G35+G36+G37+G38+G39+G40+G41+G42+G43+G44+G45+G46+G47+G48+G49+G50+G51+G52+G53+G54+G55+G56+G57+G58+G59+G60+G61+G62+G63+G64+G65+G66+G67+G68+G70+G72+G73+G74+G75+G76+G78+G79</f>
        <v>202497.1</v>
      </c>
      <c r="U136" s="18"/>
    </row>
    <row r="137" spans="2:21" x14ac:dyDescent="0.25">
      <c r="B137" s="58" t="s">
        <v>397</v>
      </c>
      <c r="C137" s="46" t="s">
        <v>385</v>
      </c>
      <c r="D137" s="39">
        <v>45717</v>
      </c>
      <c r="E137" s="32"/>
      <c r="F137" s="40" t="s">
        <v>398</v>
      </c>
      <c r="G137" s="41">
        <v>875</v>
      </c>
      <c r="H137" s="41"/>
      <c r="I137" s="41">
        <v>875</v>
      </c>
      <c r="J137" s="41">
        <f t="shared" si="14"/>
        <v>43.75</v>
      </c>
      <c r="K137" s="41">
        <f t="shared" si="15"/>
        <v>918.75</v>
      </c>
      <c r="L137" s="42" t="s">
        <v>49</v>
      </c>
      <c r="M137" s="10"/>
      <c r="N137" s="10"/>
      <c r="O137" s="10"/>
      <c r="P137" s="10"/>
      <c r="Q137" s="10"/>
      <c r="R137" s="10"/>
      <c r="S137" s="19" t="s">
        <v>17</v>
      </c>
      <c r="T137" s="20">
        <f>G69+G71+G80+G81+G82+G83+G84+G85+G86+G87+G88+G89+G90+G91+G92+G93+G94+G77+G95+G96+G97+G98+G99+G100+G101+G102+G103+G104+G105+G106+G107+G108+G109+G110+G111+G112+G113+G114+G115+G116+G117+G118+G119+G120+G121+G122+G123+G124+G125+G126+G127+G128++G129++G130+G131+G132+G133+G134+G135+G136+G138+G139</f>
        <v>137226.75</v>
      </c>
      <c r="U137" s="21"/>
    </row>
    <row r="138" spans="2:21" ht="15.75" thickBot="1" x14ac:dyDescent="0.3">
      <c r="B138" s="58" t="s">
        <v>262</v>
      </c>
      <c r="C138" s="37" t="s">
        <v>386</v>
      </c>
      <c r="D138" s="39">
        <v>45716</v>
      </c>
      <c r="E138" s="32"/>
      <c r="F138" s="40" t="s">
        <v>403</v>
      </c>
      <c r="G138" s="41">
        <v>1237.5</v>
      </c>
      <c r="H138" s="41"/>
      <c r="I138" s="41">
        <v>1237.5</v>
      </c>
      <c r="J138" s="41">
        <f t="shared" si="14"/>
        <v>61.875</v>
      </c>
      <c r="K138" s="41">
        <f t="shared" si="15"/>
        <v>1299.375</v>
      </c>
      <c r="L138" s="42" t="s">
        <v>11</v>
      </c>
      <c r="M138" s="10"/>
      <c r="N138" s="10"/>
      <c r="O138" s="10"/>
      <c r="P138" s="10"/>
      <c r="Q138" s="10"/>
      <c r="R138" s="10"/>
      <c r="S138" s="22" t="s">
        <v>18</v>
      </c>
      <c r="T138" s="23">
        <f>G137+G140+G141+G142+G143+G144+G145+G146+G147+G148+G149+G150+G151+G152+G153+G154+G155+G156+G157+G158+G159+G160+G161+G162+G163+G164+G165+G166+G167+G168+G169+G170+G171+G172+G173+G174+G175+G176+G177+G178+G179+G180+G181+G182+G183+G184+G185+G186+G187+G188</f>
        <v>121010.93</v>
      </c>
      <c r="U138" s="24">
        <f>SUM(T136:T138)</f>
        <v>460734.77999999997</v>
      </c>
    </row>
    <row r="139" spans="2:21" x14ac:dyDescent="0.25">
      <c r="B139" s="58" t="s">
        <v>262</v>
      </c>
      <c r="C139" s="37" t="s">
        <v>387</v>
      </c>
      <c r="D139" s="39">
        <v>45716</v>
      </c>
      <c r="E139" s="32"/>
      <c r="F139" s="40" t="s">
        <v>399</v>
      </c>
      <c r="G139" s="41">
        <v>3465</v>
      </c>
      <c r="H139" s="41"/>
      <c r="I139" s="41">
        <v>3465</v>
      </c>
      <c r="J139" s="41">
        <f t="shared" si="14"/>
        <v>173.25</v>
      </c>
      <c r="K139" s="41">
        <f t="shared" si="15"/>
        <v>3638.25</v>
      </c>
      <c r="L139" s="42" t="s">
        <v>11</v>
      </c>
      <c r="M139" s="10"/>
      <c r="N139" s="10"/>
      <c r="O139" s="10"/>
      <c r="P139" s="10"/>
      <c r="Q139" s="10"/>
      <c r="R139" s="10"/>
      <c r="S139" s="16" t="s">
        <v>19</v>
      </c>
      <c r="T139" s="17">
        <f>G189+G190+G191+G192+G193+G194+G195+G196+G197+G198+G199+G200+G201+G202+G203+G204+G205+G206+G207+G208+G209+G210+G211+G212+G213+G214+G215+G216+G217+G218+G219+G220+G221+G222+G223+G224+G225+G226+G227+G228+G229+G230+G231+G232+G233+G234+G235+G236+G237+G238+G239+G240+G241+G242+G243+G244+G245+G246+G247+G248+G249+G250+G251+G252+G254+G255+G265</f>
        <v>143943.93</v>
      </c>
      <c r="U139" s="18"/>
    </row>
    <row r="140" spans="2:21" x14ac:dyDescent="0.25">
      <c r="B140" s="58" t="s">
        <v>111</v>
      </c>
      <c r="C140" s="37" t="s">
        <v>388</v>
      </c>
      <c r="D140" s="39">
        <v>45720</v>
      </c>
      <c r="E140" s="32" t="s">
        <v>113</v>
      </c>
      <c r="F140" s="40" t="s">
        <v>400</v>
      </c>
      <c r="G140" s="41">
        <v>365</v>
      </c>
      <c r="H140" s="41"/>
      <c r="I140" s="41">
        <v>365</v>
      </c>
      <c r="J140" s="41">
        <f t="shared" si="14"/>
        <v>18.25</v>
      </c>
      <c r="K140" s="41">
        <f t="shared" si="15"/>
        <v>383.25</v>
      </c>
      <c r="L140" s="42" t="s">
        <v>11</v>
      </c>
      <c r="M140" s="10"/>
      <c r="N140" s="10"/>
      <c r="O140" s="10"/>
      <c r="P140" s="10"/>
      <c r="Q140" s="10"/>
      <c r="R140" s="10"/>
      <c r="S140" s="19" t="s">
        <v>20</v>
      </c>
      <c r="T140" s="20">
        <f>G253+G256+G257+G258+G259+G260+G261+G262+G263+G264+G266+G267+G268+G269+G270+G271+G272+G273+G274+G275+G276+G277+G278+G279+G280+G281+G282+G283+G284+G285+G286+G287+G288+G289+G290+G291+G292+G293+G294+G295+G296+G297+G298+G299+G300+G301+G302+G303+G304+G305+G306+G307+G308+G309+G310+G311+G312+G313+G314+G315+G316+G317+G318+G319+G320</f>
        <v>94863.080000000016</v>
      </c>
      <c r="U140" s="21"/>
    </row>
    <row r="141" spans="2:21" ht="15.75" thickBot="1" x14ac:dyDescent="0.3">
      <c r="B141" s="58" t="s">
        <v>409</v>
      </c>
      <c r="C141" s="37" t="s">
        <v>404</v>
      </c>
      <c r="D141" s="39">
        <v>45720</v>
      </c>
      <c r="E141" s="32" t="s">
        <v>410</v>
      </c>
      <c r="F141" s="40" t="s">
        <v>95</v>
      </c>
      <c r="G141" s="41">
        <v>175</v>
      </c>
      <c r="H141" s="41"/>
      <c r="I141" s="41">
        <v>175</v>
      </c>
      <c r="J141" s="41">
        <f t="shared" si="14"/>
        <v>8.75</v>
      </c>
      <c r="K141" s="41">
        <f t="shared" si="15"/>
        <v>183.75</v>
      </c>
      <c r="L141" s="42" t="s">
        <v>49</v>
      </c>
      <c r="M141" s="10"/>
      <c r="N141" s="10"/>
      <c r="O141" s="10"/>
      <c r="P141" s="10" t="s">
        <v>14</v>
      </c>
      <c r="Q141" s="10"/>
      <c r="R141" s="10"/>
      <c r="S141" s="22" t="s">
        <v>21</v>
      </c>
      <c r="T141" s="23">
        <f>G321+G322+G323+G324+G325+G326+G327+G328+G329+G330+G331+G332+G333+G334+G335+G336+G337+G338+G339+G340+G341+G342+G343+G344+G345+G346+G347+G348+G349+G350+G351+G352+G353+G354+G355+G356+G357+G358+G359+G360+G361+G362+G363+G364+G365+G366+G367+G368+G369+G370+G371+G372+G373</f>
        <v>134594.55130952</v>
      </c>
      <c r="U141" s="24">
        <f>SUM(T139:T141)</f>
        <v>373401.56130952004</v>
      </c>
    </row>
    <row r="142" spans="2:21" x14ac:dyDescent="0.25">
      <c r="B142" s="58" t="s">
        <v>411</v>
      </c>
      <c r="C142" s="37" t="s">
        <v>405</v>
      </c>
      <c r="D142" s="39">
        <v>45722</v>
      </c>
      <c r="E142" s="32" t="s">
        <v>118</v>
      </c>
      <c r="F142" s="40" t="s">
        <v>412</v>
      </c>
      <c r="G142" s="41">
        <v>235</v>
      </c>
      <c r="H142" s="41"/>
      <c r="I142" s="41">
        <v>235</v>
      </c>
      <c r="J142" s="41">
        <f t="shared" si="14"/>
        <v>11.75</v>
      </c>
      <c r="K142" s="41">
        <f t="shared" si="15"/>
        <v>246.75</v>
      </c>
      <c r="L142" s="42" t="s">
        <v>11</v>
      </c>
      <c r="M142" s="10"/>
      <c r="N142" s="10"/>
      <c r="O142" s="10"/>
      <c r="P142" s="10" t="s">
        <v>14</v>
      </c>
      <c r="Q142" s="10"/>
      <c r="R142" s="10"/>
      <c r="S142" s="16" t="s">
        <v>22</v>
      </c>
      <c r="T142" s="17">
        <f>G374+G375+G376+G377+G378+G379+G380+G381+G382+G383+G384+G385+G386+G387+G388+G389+G390+G391+G392+G393+G394+G395+G396+G397+G398+G399+G400+G401+G402+G403+G404+G405+G406+G407+G408+G409+G410+G411+G412+G413+G414+G415+G416+G417+G418</f>
        <v>121279.35</v>
      </c>
      <c r="U142" s="18"/>
    </row>
    <row r="143" spans="2:21" x14ac:dyDescent="0.25">
      <c r="B143" s="58" t="s">
        <v>99</v>
      </c>
      <c r="C143" s="37" t="s">
        <v>406</v>
      </c>
      <c r="D143" s="39">
        <v>45722</v>
      </c>
      <c r="E143" s="32"/>
      <c r="F143" s="40" t="s">
        <v>102</v>
      </c>
      <c r="G143" s="41">
        <v>360</v>
      </c>
      <c r="H143" s="41"/>
      <c r="I143" s="41">
        <v>360</v>
      </c>
      <c r="J143" s="41">
        <f t="shared" si="14"/>
        <v>18</v>
      </c>
      <c r="K143" s="41">
        <f t="shared" si="15"/>
        <v>378</v>
      </c>
      <c r="L143" s="42" t="s">
        <v>11</v>
      </c>
      <c r="M143" s="10"/>
      <c r="N143" s="10"/>
      <c r="O143" s="10"/>
      <c r="P143" s="10" t="s">
        <v>14</v>
      </c>
      <c r="Q143" s="10"/>
      <c r="R143" s="10"/>
      <c r="S143" s="19" t="s">
        <v>23</v>
      </c>
      <c r="T143" s="20">
        <f>G419+G420+G421+G422+G423+G424+G425+G426+G427+G428+G429+G430+G431+G432+G433+G434+G435+G436+G437+G438+G439+G440+G441+G442+G443+G444+G445+G446+G447+G448+G449+G450+G451+G452+G453+G454+G455+G456+G457+G458+G459+G460+G461+G462+G463+G464+G465+G466+G467+G468+G469+G470+G471</f>
        <v>203158</v>
      </c>
      <c r="U143" s="21"/>
    </row>
    <row r="144" spans="2:21" ht="15.75" thickBot="1" x14ac:dyDescent="0.3">
      <c r="B144" s="58" t="s">
        <v>413</v>
      </c>
      <c r="C144" s="37" t="s">
        <v>407</v>
      </c>
      <c r="D144" s="39">
        <v>45778</v>
      </c>
      <c r="E144" s="32"/>
      <c r="F144" s="40" t="s">
        <v>414</v>
      </c>
      <c r="G144" s="41">
        <v>2400</v>
      </c>
      <c r="H144" s="41"/>
      <c r="I144" s="41">
        <v>3985</v>
      </c>
      <c r="J144" s="41">
        <f t="shared" si="14"/>
        <v>120</v>
      </c>
      <c r="K144" s="41">
        <f t="shared" si="15"/>
        <v>2520</v>
      </c>
      <c r="L144" s="42" t="s">
        <v>11</v>
      </c>
      <c r="M144" s="10"/>
      <c r="N144" s="10"/>
      <c r="O144" s="10"/>
      <c r="P144" s="10"/>
      <c r="Q144" s="10"/>
      <c r="R144" s="10"/>
      <c r="S144" s="22" t="s">
        <v>24</v>
      </c>
      <c r="T144" s="24">
        <f>G472+G473+G474+G475+G476+G477+G478+G479+G480+G481+G482+G483+G484+G485+G486+G487+G488+G489+G490+G491+G492+G493+G494+G495+G496+G497+G498+G499+G500+G501+G502+G503+G504+G505+G506+G507+G508+G509+G510+G511+G512+G513+G514+G515+G516+G517+G518+G519+G520+G521+G522+G523+G524+G525+G526+G527+G528+G529+G530+G531+G532+G533+G534+G535+G536+G537</f>
        <v>328877.66000000003</v>
      </c>
      <c r="U144" s="24">
        <f>SUM(T142:T144)</f>
        <v>653315.01</v>
      </c>
    </row>
    <row r="145" spans="2:21" x14ac:dyDescent="0.25">
      <c r="B145" s="58" t="s">
        <v>312</v>
      </c>
      <c r="C145" s="37" t="s">
        <v>408</v>
      </c>
      <c r="D145" s="39">
        <v>45722</v>
      </c>
      <c r="E145" s="32" t="s">
        <v>313</v>
      </c>
      <c r="F145" s="40" t="s">
        <v>415</v>
      </c>
      <c r="G145" s="41">
        <v>1500</v>
      </c>
      <c r="H145" s="41"/>
      <c r="I145" s="41">
        <v>1500</v>
      </c>
      <c r="J145" s="41">
        <f t="shared" si="14"/>
        <v>75</v>
      </c>
      <c r="K145" s="41">
        <f t="shared" si="15"/>
        <v>1575</v>
      </c>
      <c r="L145" s="42" t="s">
        <v>11</v>
      </c>
      <c r="M145" s="10"/>
      <c r="N145" s="10"/>
      <c r="O145" s="10"/>
      <c r="P145" s="10"/>
      <c r="Q145" s="10"/>
      <c r="R145" s="10"/>
      <c r="S145" s="16" t="s">
        <v>25</v>
      </c>
      <c r="T145" s="25">
        <f>G538+G539+G540+G541+G542+G543+G544+G545+G546+G547+G548+G549+G550+G551+G552+G553+G554+G555+G556+G557+G558+G559+G560+G561+G562+G563+G564+G565+G566+G567+G568+G569+G570+G571+G572+G573+G574+G575+G576+G577+G578+G579+G580+G581+G582+G583+G584+G585+G586+G587+G588+G589+G590+G591+G592+G593+G594+G595+G596+G597+G598+G599+G600+G601+G602+G603+G604+G605+G606+G607+G608+G609+G610+G611+G612+G613+G614+G615+G616+G617+G618+G619+G620+G621+G622+G623+G624+G625</f>
        <v>145602.33000000002</v>
      </c>
      <c r="U145" s="18"/>
    </row>
    <row r="146" spans="2:21" x14ac:dyDescent="0.25">
      <c r="B146" s="58" t="s">
        <v>46</v>
      </c>
      <c r="C146" s="37" t="s">
        <v>416</v>
      </c>
      <c r="D146" s="39">
        <v>45723</v>
      </c>
      <c r="E146" s="32"/>
      <c r="F146" s="40" t="s">
        <v>418</v>
      </c>
      <c r="G146" s="41">
        <v>441</v>
      </c>
      <c r="H146" s="41"/>
      <c r="I146" s="41">
        <v>441</v>
      </c>
      <c r="J146" s="41">
        <f t="shared" si="14"/>
        <v>22.05</v>
      </c>
      <c r="K146" s="41">
        <f t="shared" si="15"/>
        <v>463.05</v>
      </c>
      <c r="L146" s="42" t="s">
        <v>49</v>
      </c>
      <c r="M146" s="10"/>
      <c r="N146" s="10"/>
      <c r="O146" s="10"/>
      <c r="P146" s="10"/>
      <c r="Q146" s="10"/>
      <c r="R146" s="10"/>
      <c r="S146" s="19" t="s">
        <v>26</v>
      </c>
      <c r="T146" s="26">
        <f>G626+G627+G628+G629+G630+G631+G632+G633+G634+G635+G636+G637+G638+G639+G640+G641+G642+G643+G644+G645+G646+G647+G648+G649+G650+G651+G652+G653+G654+G655+G656+G657+G658+G659+G660+G661+G662+G663+G664+G665+G666+G667+G668+G669+G670+G671+G672+G673+G674+G675+G676+G677+G679+G680+G681+G682+G683+G684+G685+G686+G687+G688+G689+G690+G691+G692+G693+G694+G695</f>
        <v>105593.59</v>
      </c>
      <c r="U146" s="21"/>
    </row>
    <row r="147" spans="2:21" ht="15.75" thickBot="1" x14ac:dyDescent="0.3">
      <c r="B147" s="58" t="s">
        <v>12</v>
      </c>
      <c r="C147" s="37" t="s">
        <v>417</v>
      </c>
      <c r="D147" s="39">
        <v>45723</v>
      </c>
      <c r="E147" s="32" t="s">
        <v>13</v>
      </c>
      <c r="F147" s="40" t="s">
        <v>419</v>
      </c>
      <c r="G147" s="41">
        <v>2850</v>
      </c>
      <c r="H147" s="41"/>
      <c r="I147" s="41">
        <v>2850</v>
      </c>
      <c r="J147" s="41">
        <f t="shared" si="14"/>
        <v>142.5</v>
      </c>
      <c r="K147" s="41">
        <f t="shared" si="15"/>
        <v>2992.5</v>
      </c>
      <c r="L147" s="42" t="s">
        <v>11</v>
      </c>
      <c r="M147" s="10"/>
      <c r="N147" s="10"/>
      <c r="O147" s="10"/>
      <c r="P147" s="10"/>
      <c r="Q147" s="10"/>
      <c r="R147" s="10"/>
      <c r="S147" s="22" t="s">
        <v>27</v>
      </c>
      <c r="T147" s="27">
        <f>G696+G697+G698+G699+G700+G701+G702+G703+G704+G705+G706+G707+G708+G709+G710+G711+G712+G713+G714+G715+G716+G717+G718+G719+G720+G721+G722+G723+G724+G725+G726+G727+G728+G729+G730+G731+G732+G733+G734+G735+G736+G737+G738+G739+G740+G741+G742+G743+G744+G745+G746</f>
        <v>123620.25</v>
      </c>
      <c r="U147" s="28">
        <f>SUM(T145:T147)</f>
        <v>374816.17000000004</v>
      </c>
    </row>
    <row r="148" spans="2:21" ht="15.75" thickBot="1" x14ac:dyDescent="0.3">
      <c r="B148" s="58" t="s">
        <v>424</v>
      </c>
      <c r="C148" s="37" t="s">
        <v>420</v>
      </c>
      <c r="D148" s="39">
        <v>45726</v>
      </c>
      <c r="E148" s="32"/>
      <c r="F148" s="40" t="s">
        <v>425</v>
      </c>
      <c r="G148" s="41">
        <v>537</v>
      </c>
      <c r="H148" s="41"/>
      <c r="I148" s="41">
        <v>537</v>
      </c>
      <c r="J148" s="41">
        <f t="shared" si="14"/>
        <v>26.85</v>
      </c>
      <c r="K148" s="41">
        <f t="shared" si="15"/>
        <v>563.85</v>
      </c>
      <c r="L148" s="42" t="s">
        <v>49</v>
      </c>
      <c r="M148" s="10"/>
      <c r="N148" s="10"/>
      <c r="O148" s="10"/>
      <c r="P148" s="10"/>
      <c r="Q148" s="10"/>
      <c r="R148" s="10"/>
      <c r="S148" s="10"/>
      <c r="T148" s="10"/>
      <c r="U148" s="29">
        <f>SUM(U138:U147)</f>
        <v>1862267.5213095201</v>
      </c>
    </row>
    <row r="149" spans="2:21" x14ac:dyDescent="0.25">
      <c r="B149" s="58" t="s">
        <v>271</v>
      </c>
      <c r="C149" s="37" t="s">
        <v>421</v>
      </c>
      <c r="D149" s="39">
        <v>45726</v>
      </c>
      <c r="E149" s="32" t="s">
        <v>273</v>
      </c>
      <c r="F149" s="40" t="s">
        <v>426</v>
      </c>
      <c r="G149" s="41">
        <v>200</v>
      </c>
      <c r="H149" s="41"/>
      <c r="I149" s="41">
        <v>200</v>
      </c>
      <c r="J149" s="41">
        <f t="shared" si="14"/>
        <v>10</v>
      </c>
      <c r="K149" s="41">
        <f t="shared" si="15"/>
        <v>210</v>
      </c>
      <c r="L149" s="42" t="s">
        <v>11</v>
      </c>
      <c r="M149" s="10"/>
      <c r="N149" s="10"/>
      <c r="O149" s="10"/>
      <c r="P149" s="10"/>
      <c r="Q149" s="10"/>
      <c r="R149" s="10"/>
      <c r="S149" s="10"/>
      <c r="T149" s="10"/>
      <c r="U149" s="30">
        <f>+U148/12</f>
        <v>155188.96010912667</v>
      </c>
    </row>
    <row r="150" spans="2:21" x14ac:dyDescent="0.25">
      <c r="B150" s="58" t="s">
        <v>262</v>
      </c>
      <c r="C150" s="37" t="s">
        <v>422</v>
      </c>
      <c r="D150" s="39">
        <v>45726</v>
      </c>
      <c r="E150" s="32"/>
      <c r="F150" s="40" t="s">
        <v>427</v>
      </c>
      <c r="G150" s="41">
        <v>742.5</v>
      </c>
      <c r="H150" s="41"/>
      <c r="I150" s="41">
        <v>742.5</v>
      </c>
      <c r="J150" s="41">
        <f t="shared" si="14"/>
        <v>37.125</v>
      </c>
      <c r="K150" s="41">
        <f t="shared" si="15"/>
        <v>779.625</v>
      </c>
      <c r="L150" s="42" t="s">
        <v>11</v>
      </c>
      <c r="M150" s="10"/>
      <c r="N150" s="10"/>
      <c r="O150" s="10"/>
      <c r="P150" s="10"/>
      <c r="Q150" s="10"/>
      <c r="R150" s="10"/>
      <c r="S150" s="10"/>
      <c r="T150" s="10"/>
    </row>
    <row r="151" spans="2:21" x14ac:dyDescent="0.25">
      <c r="B151" s="58" t="s">
        <v>68</v>
      </c>
      <c r="C151" s="37" t="s">
        <v>423</v>
      </c>
      <c r="D151" s="39">
        <v>45726</v>
      </c>
      <c r="E151" s="32" t="s">
        <v>78</v>
      </c>
      <c r="F151" s="40" t="s">
        <v>428</v>
      </c>
      <c r="G151" s="41">
        <v>405</v>
      </c>
      <c r="H151" s="41"/>
      <c r="I151" s="41">
        <v>405</v>
      </c>
      <c r="J151" s="41">
        <f t="shared" si="14"/>
        <v>20.25</v>
      </c>
      <c r="K151" s="41">
        <f t="shared" si="15"/>
        <v>425.25</v>
      </c>
      <c r="L151" s="42" t="s">
        <v>11</v>
      </c>
      <c r="M151" s="10"/>
      <c r="N151" s="10"/>
      <c r="O151" s="10"/>
      <c r="P151" s="10"/>
      <c r="Q151" s="10"/>
      <c r="R151" s="10"/>
      <c r="S151" s="10"/>
      <c r="T151" s="10"/>
    </row>
    <row r="152" spans="2:21" x14ac:dyDescent="0.25">
      <c r="B152" s="58" t="s">
        <v>212</v>
      </c>
      <c r="C152" s="37" t="s">
        <v>429</v>
      </c>
      <c r="D152" s="39">
        <v>45727</v>
      </c>
      <c r="E152" s="32" t="s">
        <v>213</v>
      </c>
      <c r="F152" s="40" t="s">
        <v>257</v>
      </c>
      <c r="G152" s="41">
        <v>105</v>
      </c>
      <c r="H152" s="41"/>
      <c r="I152" s="41">
        <v>105</v>
      </c>
      <c r="J152" s="41">
        <f t="shared" si="14"/>
        <v>5.25</v>
      </c>
      <c r="K152" s="41">
        <f t="shared" si="15"/>
        <v>110.25</v>
      </c>
      <c r="L152" s="42" t="s">
        <v>11</v>
      </c>
      <c r="M152" s="10"/>
      <c r="N152" s="10"/>
      <c r="O152" s="10"/>
      <c r="P152" s="10"/>
      <c r="Q152" s="10"/>
      <c r="R152" s="10"/>
      <c r="S152" s="10"/>
      <c r="T152" s="10"/>
    </row>
    <row r="153" spans="2:21" x14ac:dyDescent="0.25">
      <c r="B153" s="58" t="s">
        <v>234</v>
      </c>
      <c r="C153" s="37" t="s">
        <v>430</v>
      </c>
      <c r="D153" s="39">
        <v>45743</v>
      </c>
      <c r="E153" s="32"/>
      <c r="F153" s="40" t="s">
        <v>235</v>
      </c>
      <c r="G153" s="41">
        <v>15700</v>
      </c>
      <c r="H153" s="41"/>
      <c r="I153" s="41">
        <v>15700</v>
      </c>
      <c r="J153" s="41">
        <f t="shared" si="14"/>
        <v>785</v>
      </c>
      <c r="K153" s="41">
        <f t="shared" si="15"/>
        <v>16485</v>
      </c>
      <c r="L153" s="42" t="s">
        <v>90</v>
      </c>
      <c r="M153" s="10"/>
      <c r="N153" s="10"/>
      <c r="O153" s="10"/>
      <c r="P153" s="10"/>
      <c r="Q153" s="10"/>
      <c r="R153" s="10"/>
      <c r="S153" s="10"/>
      <c r="T153" s="10"/>
    </row>
    <row r="154" spans="2:21" x14ac:dyDescent="0.25">
      <c r="B154" s="58" t="s">
        <v>68</v>
      </c>
      <c r="C154" s="37" t="s">
        <v>431</v>
      </c>
      <c r="D154" s="39">
        <v>45733</v>
      </c>
      <c r="E154" s="32" t="s">
        <v>78</v>
      </c>
      <c r="F154" s="40" t="s">
        <v>342</v>
      </c>
      <c r="G154" s="41">
        <v>563.5</v>
      </c>
      <c r="H154" s="41"/>
      <c r="I154" s="41">
        <v>563.5</v>
      </c>
      <c r="J154" s="41">
        <f t="shared" si="14"/>
        <v>28.175000000000001</v>
      </c>
      <c r="K154" s="41">
        <f t="shared" si="15"/>
        <v>591.67499999999995</v>
      </c>
      <c r="L154" s="42" t="s">
        <v>11</v>
      </c>
      <c r="M154" s="10"/>
      <c r="N154" s="10"/>
      <c r="O154" s="10"/>
      <c r="P154" s="10"/>
      <c r="Q154" s="10"/>
      <c r="R154" s="10"/>
      <c r="S154" s="10"/>
      <c r="T154" s="10"/>
    </row>
    <row r="155" spans="2:21" x14ac:dyDescent="0.25">
      <c r="B155" s="58" t="s">
        <v>413</v>
      </c>
      <c r="C155" s="37" t="s">
        <v>432</v>
      </c>
      <c r="D155" s="39">
        <v>45778</v>
      </c>
      <c r="E155" s="32"/>
      <c r="F155" s="40" t="s">
        <v>435</v>
      </c>
      <c r="G155" s="41">
        <v>1148.25</v>
      </c>
      <c r="H155" s="41"/>
      <c r="I155" s="41">
        <v>1148.25</v>
      </c>
      <c r="J155" s="41">
        <f t="shared" si="14"/>
        <v>57.412500000000001</v>
      </c>
      <c r="K155" s="41">
        <f t="shared" si="15"/>
        <v>1205.6624999999999</v>
      </c>
      <c r="L155" s="42" t="s">
        <v>11</v>
      </c>
      <c r="M155" s="10"/>
      <c r="N155" s="10"/>
      <c r="O155" s="10"/>
      <c r="P155" s="10"/>
      <c r="Q155" s="10"/>
      <c r="R155" s="10"/>
      <c r="S155" s="10"/>
      <c r="T155" s="10"/>
    </row>
    <row r="156" spans="2:21" x14ac:dyDescent="0.25">
      <c r="B156" s="58" t="s">
        <v>436</v>
      </c>
      <c r="C156" s="37" t="s">
        <v>433</v>
      </c>
      <c r="D156" s="39">
        <v>45730</v>
      </c>
      <c r="E156" s="32" t="s">
        <v>273</v>
      </c>
      <c r="F156" s="40" t="s">
        <v>438</v>
      </c>
      <c r="G156" s="41">
        <v>10440</v>
      </c>
      <c r="H156" s="41"/>
      <c r="I156" s="41">
        <v>10440</v>
      </c>
      <c r="J156" s="41">
        <f t="shared" si="14"/>
        <v>522</v>
      </c>
      <c r="K156" s="41">
        <f t="shared" si="15"/>
        <v>10962</v>
      </c>
      <c r="L156" s="42" t="s">
        <v>11</v>
      </c>
      <c r="M156" s="10"/>
      <c r="N156" s="10"/>
      <c r="O156" s="10"/>
      <c r="P156" s="10"/>
      <c r="Q156" s="10"/>
      <c r="R156" s="10"/>
      <c r="S156" s="10"/>
      <c r="T156" s="10"/>
    </row>
    <row r="157" spans="2:21" x14ac:dyDescent="0.25">
      <c r="B157" s="58" t="s">
        <v>437</v>
      </c>
      <c r="C157" s="37" t="s">
        <v>434</v>
      </c>
      <c r="D157" s="39">
        <v>45730</v>
      </c>
      <c r="E157" s="32" t="s">
        <v>273</v>
      </c>
      <c r="F157" s="40" t="s">
        <v>439</v>
      </c>
      <c r="G157" s="41">
        <v>18870</v>
      </c>
      <c r="H157" s="41"/>
      <c r="I157" s="41">
        <v>18870</v>
      </c>
      <c r="J157" s="41">
        <f t="shared" si="14"/>
        <v>943.5</v>
      </c>
      <c r="K157" s="41">
        <f t="shared" si="15"/>
        <v>19813.5</v>
      </c>
      <c r="L157" s="42" t="s">
        <v>11</v>
      </c>
      <c r="M157" s="10"/>
      <c r="N157" s="10"/>
      <c r="O157" s="10"/>
      <c r="P157" s="10"/>
      <c r="Q157" s="10"/>
      <c r="R157" s="10"/>
      <c r="S157" s="10"/>
      <c r="T157" s="10"/>
    </row>
    <row r="158" spans="2:21" x14ac:dyDescent="0.25">
      <c r="B158" s="58" t="s">
        <v>46</v>
      </c>
      <c r="C158" s="37" t="s">
        <v>440</v>
      </c>
      <c r="D158" s="39">
        <v>45731</v>
      </c>
      <c r="E158" s="32"/>
      <c r="F158" s="40" t="s">
        <v>453</v>
      </c>
      <c r="G158" s="41">
        <v>662.5</v>
      </c>
      <c r="H158" s="41"/>
      <c r="I158" s="41">
        <v>662.5</v>
      </c>
      <c r="J158" s="41">
        <f t="shared" si="14"/>
        <v>33.125</v>
      </c>
      <c r="K158" s="41">
        <f t="shared" si="15"/>
        <v>695.625</v>
      </c>
      <c r="L158" s="42" t="s">
        <v>49</v>
      </c>
      <c r="M158" s="10"/>
      <c r="N158" s="10"/>
      <c r="O158" s="10"/>
      <c r="P158" s="10"/>
      <c r="Q158" s="10"/>
      <c r="R158" s="10"/>
      <c r="S158" s="10"/>
      <c r="T158" s="10"/>
    </row>
    <row r="159" spans="2:21" x14ac:dyDescent="0.25">
      <c r="B159" s="58" t="s">
        <v>111</v>
      </c>
      <c r="C159" s="37" t="s">
        <v>441</v>
      </c>
      <c r="D159" s="39">
        <v>45735</v>
      </c>
      <c r="E159" s="32" t="s">
        <v>113</v>
      </c>
      <c r="F159" s="40" t="s">
        <v>469</v>
      </c>
      <c r="G159" s="41">
        <v>365</v>
      </c>
      <c r="H159" s="41"/>
      <c r="I159" s="41">
        <v>365</v>
      </c>
      <c r="J159" s="41">
        <f t="shared" si="14"/>
        <v>18.25</v>
      </c>
      <c r="K159" s="41">
        <f t="shared" si="15"/>
        <v>383.25</v>
      </c>
      <c r="L159" s="42" t="s">
        <v>454</v>
      </c>
      <c r="M159" s="10"/>
      <c r="N159" s="10"/>
      <c r="O159" s="10"/>
      <c r="P159" s="10"/>
      <c r="Q159" s="10"/>
      <c r="R159" s="10"/>
      <c r="S159" s="10"/>
      <c r="T159" s="10"/>
    </row>
    <row r="160" spans="2:21" x14ac:dyDescent="0.25">
      <c r="B160" s="58" t="s">
        <v>99</v>
      </c>
      <c r="C160" s="37" t="s">
        <v>442</v>
      </c>
      <c r="D160" s="39">
        <v>45735</v>
      </c>
      <c r="E160" s="32" t="s">
        <v>101</v>
      </c>
      <c r="F160" s="40" t="s">
        <v>102</v>
      </c>
      <c r="G160" s="41">
        <v>180</v>
      </c>
      <c r="H160" s="41"/>
      <c r="I160" s="41">
        <v>180</v>
      </c>
      <c r="J160" s="41">
        <f t="shared" si="14"/>
        <v>9</v>
      </c>
      <c r="K160" s="41">
        <f t="shared" si="15"/>
        <v>189</v>
      </c>
      <c r="L160" s="42" t="s">
        <v>11</v>
      </c>
      <c r="M160" s="10"/>
      <c r="N160" s="10"/>
      <c r="O160" s="10"/>
      <c r="P160" s="10"/>
      <c r="Q160" s="10"/>
      <c r="R160" s="10"/>
      <c r="S160" s="10"/>
      <c r="T160" s="10"/>
    </row>
    <row r="161" spans="2:20" x14ac:dyDescent="0.25">
      <c r="B161" s="58" t="s">
        <v>455</v>
      </c>
      <c r="C161" s="47" t="s">
        <v>443</v>
      </c>
      <c r="D161" s="39">
        <v>45734</v>
      </c>
      <c r="E161" s="32"/>
      <c r="F161" s="40" t="s">
        <v>456</v>
      </c>
      <c r="G161" s="41">
        <v>150</v>
      </c>
      <c r="H161" s="41"/>
      <c r="I161" s="41">
        <v>150</v>
      </c>
      <c r="J161" s="41">
        <f t="shared" si="14"/>
        <v>7.5</v>
      </c>
      <c r="K161" s="41">
        <f t="shared" si="15"/>
        <v>157.5</v>
      </c>
      <c r="L161" s="42" t="s">
        <v>1142</v>
      </c>
      <c r="M161" s="10"/>
      <c r="N161" s="10"/>
      <c r="O161" s="10"/>
      <c r="P161" s="10"/>
      <c r="Q161" s="10"/>
      <c r="R161" s="10"/>
      <c r="S161" s="10"/>
      <c r="T161" s="10"/>
    </row>
    <row r="162" spans="2:20" x14ac:dyDescent="0.25">
      <c r="B162" s="58" t="s">
        <v>312</v>
      </c>
      <c r="C162" s="37" t="s">
        <v>444</v>
      </c>
      <c r="D162" s="39">
        <v>45734</v>
      </c>
      <c r="E162" s="32" t="s">
        <v>313</v>
      </c>
      <c r="F162" s="40" t="s">
        <v>457</v>
      </c>
      <c r="G162" s="41">
        <v>3665.4</v>
      </c>
      <c r="H162" s="41"/>
      <c r="I162" s="41">
        <v>3665.4</v>
      </c>
      <c r="J162" s="41">
        <f t="shared" si="14"/>
        <v>183.27</v>
      </c>
      <c r="K162" s="41">
        <f t="shared" si="15"/>
        <v>3848.67</v>
      </c>
      <c r="L162" s="42" t="s">
        <v>11</v>
      </c>
      <c r="M162" s="10"/>
      <c r="N162" s="10"/>
      <c r="O162" s="10"/>
      <c r="P162" s="10"/>
      <c r="Q162" s="10"/>
      <c r="R162" s="10"/>
      <c r="S162" s="10"/>
      <c r="T162" s="10"/>
    </row>
    <row r="163" spans="2:20" x14ac:dyDescent="0.25">
      <c r="B163" s="58" t="s">
        <v>472</v>
      </c>
      <c r="C163" s="37" t="s">
        <v>445</v>
      </c>
      <c r="D163" s="38">
        <v>45742</v>
      </c>
      <c r="E163" s="32" t="s">
        <v>473</v>
      </c>
      <c r="F163" s="40" t="s">
        <v>474</v>
      </c>
      <c r="G163" s="41">
        <v>952.38</v>
      </c>
      <c r="H163" s="41"/>
      <c r="I163" s="41">
        <v>952.38</v>
      </c>
      <c r="J163" s="41">
        <f t="shared" ref="J163:J187" si="16">G163*5%</f>
        <v>47.619</v>
      </c>
      <c r="K163" s="41">
        <f t="shared" ref="K163:K187" si="17">G163+J163</f>
        <v>999.99900000000002</v>
      </c>
      <c r="L163" s="42" t="s">
        <v>11</v>
      </c>
      <c r="M163" s="10"/>
      <c r="N163" s="10"/>
      <c r="O163" s="10"/>
      <c r="P163" s="10"/>
      <c r="Q163" s="10"/>
      <c r="R163" s="10"/>
      <c r="S163" s="10"/>
      <c r="T163" s="10"/>
    </row>
    <row r="164" spans="2:20" x14ac:dyDescent="0.25">
      <c r="B164" s="58" t="s">
        <v>458</v>
      </c>
      <c r="C164" s="37" t="s">
        <v>446</v>
      </c>
      <c r="D164" s="38">
        <v>45734</v>
      </c>
      <c r="E164" s="32"/>
      <c r="F164" s="40" t="s">
        <v>459</v>
      </c>
      <c r="G164" s="41">
        <v>5909</v>
      </c>
      <c r="H164" s="41"/>
      <c r="I164" s="41">
        <v>5909</v>
      </c>
      <c r="J164" s="41">
        <f t="shared" si="16"/>
        <v>295.45</v>
      </c>
      <c r="K164" s="41">
        <f t="shared" si="17"/>
        <v>6204.45</v>
      </c>
      <c r="L164" s="42" t="s">
        <v>49</v>
      </c>
      <c r="M164" s="10"/>
      <c r="N164" s="10"/>
      <c r="O164" s="10"/>
      <c r="P164" s="10"/>
      <c r="Q164" s="10"/>
      <c r="R164" s="10"/>
      <c r="S164" s="10"/>
      <c r="T164" s="10"/>
    </row>
    <row r="165" spans="2:20" x14ac:dyDescent="0.25">
      <c r="B165" s="58" t="s">
        <v>460</v>
      </c>
      <c r="C165" s="37" t="s">
        <v>447</v>
      </c>
      <c r="D165" s="38">
        <v>45735</v>
      </c>
      <c r="E165" s="32"/>
      <c r="F165" s="40" t="s">
        <v>461</v>
      </c>
      <c r="G165" s="41">
        <v>290</v>
      </c>
      <c r="H165" s="41"/>
      <c r="I165" s="41">
        <v>290</v>
      </c>
      <c r="J165" s="41">
        <f t="shared" si="16"/>
        <v>14.5</v>
      </c>
      <c r="K165" s="41">
        <f t="shared" si="17"/>
        <v>304.5</v>
      </c>
      <c r="L165" s="42" t="s">
        <v>11</v>
      </c>
      <c r="M165" s="10"/>
      <c r="N165" s="10"/>
      <c r="O165" s="10"/>
      <c r="P165" s="10"/>
      <c r="Q165" s="10"/>
      <c r="R165" s="10"/>
      <c r="S165" s="10"/>
      <c r="T165" s="10"/>
    </row>
    <row r="166" spans="2:20" x14ac:dyDescent="0.25">
      <c r="B166" s="58" t="s">
        <v>34</v>
      </c>
      <c r="C166" s="37" t="s">
        <v>448</v>
      </c>
      <c r="D166" s="38">
        <v>45735</v>
      </c>
      <c r="E166" s="32" t="s">
        <v>36</v>
      </c>
      <c r="F166" s="40" t="s">
        <v>462</v>
      </c>
      <c r="G166" s="41">
        <v>1350</v>
      </c>
      <c r="H166" s="41"/>
      <c r="I166" s="41">
        <v>1350</v>
      </c>
      <c r="J166" s="41">
        <f t="shared" si="16"/>
        <v>67.5</v>
      </c>
      <c r="K166" s="41">
        <f t="shared" si="17"/>
        <v>1417.5</v>
      </c>
      <c r="L166" s="42" t="s">
        <v>11</v>
      </c>
      <c r="M166" s="10"/>
      <c r="N166" s="10"/>
      <c r="O166" s="10"/>
      <c r="P166" s="10"/>
      <c r="Q166" s="10"/>
      <c r="R166" s="10"/>
      <c r="S166" s="10"/>
      <c r="T166" s="10"/>
    </row>
    <row r="167" spans="2:20" x14ac:dyDescent="0.25">
      <c r="B167" s="58" t="s">
        <v>463</v>
      </c>
      <c r="C167" s="37" t="s">
        <v>449</v>
      </c>
      <c r="D167" s="38">
        <v>45736</v>
      </c>
      <c r="E167" s="32" t="s">
        <v>464</v>
      </c>
      <c r="F167" s="40" t="s">
        <v>465</v>
      </c>
      <c r="G167" s="41">
        <v>190</v>
      </c>
      <c r="H167" s="41"/>
      <c r="I167" s="41">
        <v>190</v>
      </c>
      <c r="J167" s="41">
        <f t="shared" si="16"/>
        <v>9.5</v>
      </c>
      <c r="K167" s="41">
        <f t="shared" si="17"/>
        <v>199.5</v>
      </c>
      <c r="L167" s="42" t="s">
        <v>11</v>
      </c>
      <c r="M167" s="10"/>
      <c r="N167" s="10"/>
      <c r="O167" s="10"/>
      <c r="P167" s="10"/>
      <c r="Q167" s="10"/>
      <c r="R167" s="10"/>
      <c r="S167" s="10"/>
      <c r="T167" s="10"/>
    </row>
    <row r="168" spans="2:20" x14ac:dyDescent="0.25">
      <c r="B168" s="58" t="s">
        <v>99</v>
      </c>
      <c r="C168" s="37" t="s">
        <v>450</v>
      </c>
      <c r="D168" s="38">
        <v>45738</v>
      </c>
      <c r="E168" s="32" t="s">
        <v>101</v>
      </c>
      <c r="F168" s="40" t="s">
        <v>466</v>
      </c>
      <c r="G168" s="41">
        <v>4322.5</v>
      </c>
      <c r="H168" s="41"/>
      <c r="I168" s="41">
        <v>4322.5</v>
      </c>
      <c r="J168" s="41">
        <f t="shared" si="16"/>
        <v>216.125</v>
      </c>
      <c r="K168" s="41">
        <f t="shared" si="17"/>
        <v>4538.625</v>
      </c>
      <c r="L168" s="42" t="s">
        <v>11</v>
      </c>
      <c r="M168" s="10"/>
      <c r="N168" s="10"/>
      <c r="O168" s="10"/>
      <c r="P168" s="10"/>
      <c r="Q168" s="10"/>
      <c r="R168" s="10"/>
      <c r="S168" s="10"/>
      <c r="T168" s="10"/>
    </row>
    <row r="169" spans="2:20" x14ac:dyDescent="0.25">
      <c r="B169" s="58" t="s">
        <v>481</v>
      </c>
      <c r="C169" s="37" t="s">
        <v>451</v>
      </c>
      <c r="D169" s="38">
        <v>45736</v>
      </c>
      <c r="E169" s="32" t="s">
        <v>482</v>
      </c>
      <c r="F169" s="40" t="s">
        <v>467</v>
      </c>
      <c r="G169" s="41">
        <v>3640</v>
      </c>
      <c r="H169" s="41"/>
      <c r="I169" s="41">
        <v>3640</v>
      </c>
      <c r="J169" s="41">
        <f t="shared" si="16"/>
        <v>182</v>
      </c>
      <c r="K169" s="41">
        <f t="shared" si="17"/>
        <v>3822</v>
      </c>
      <c r="L169" s="42" t="s">
        <v>11</v>
      </c>
      <c r="M169" s="10"/>
      <c r="N169" s="10"/>
      <c r="O169" s="10"/>
      <c r="P169" s="10"/>
      <c r="Q169" s="10"/>
      <c r="R169" s="10"/>
      <c r="S169" s="10"/>
      <c r="T169" s="10"/>
    </row>
    <row r="170" spans="2:20" x14ac:dyDescent="0.25">
      <c r="B170" s="58" t="s">
        <v>463</v>
      </c>
      <c r="C170" s="37" t="s">
        <v>452</v>
      </c>
      <c r="D170" s="38">
        <v>45740</v>
      </c>
      <c r="E170" s="32" t="s">
        <v>464</v>
      </c>
      <c r="F170" s="40" t="s">
        <v>468</v>
      </c>
      <c r="G170" s="41">
        <v>9716.5</v>
      </c>
      <c r="H170" s="41"/>
      <c r="I170" s="41">
        <v>9716.5</v>
      </c>
      <c r="J170" s="41">
        <f t="shared" si="16"/>
        <v>485.82500000000005</v>
      </c>
      <c r="K170" s="41">
        <f t="shared" si="17"/>
        <v>10202.325000000001</v>
      </c>
      <c r="L170" s="42" t="s">
        <v>11</v>
      </c>
      <c r="M170" s="10"/>
      <c r="N170" s="10"/>
      <c r="O170" s="10"/>
      <c r="P170" s="10"/>
      <c r="Q170" s="10"/>
      <c r="R170" s="10"/>
      <c r="S170" s="10"/>
      <c r="T170" s="10"/>
    </row>
    <row r="171" spans="2:20" x14ac:dyDescent="0.25">
      <c r="B171" s="58" t="s">
        <v>46</v>
      </c>
      <c r="C171" s="37" t="s">
        <v>470</v>
      </c>
      <c r="D171" s="38">
        <v>45738</v>
      </c>
      <c r="E171" s="32"/>
      <c r="F171" s="40" t="s">
        <v>471</v>
      </c>
      <c r="G171" s="41">
        <v>260</v>
      </c>
      <c r="H171" s="41"/>
      <c r="I171" s="41">
        <v>260</v>
      </c>
      <c r="J171" s="41">
        <f t="shared" si="16"/>
        <v>13</v>
      </c>
      <c r="K171" s="41">
        <f t="shared" si="17"/>
        <v>273</v>
      </c>
      <c r="L171" s="42" t="s">
        <v>49</v>
      </c>
      <c r="M171" s="10"/>
      <c r="N171" s="10"/>
      <c r="O171" s="10"/>
      <c r="P171" s="10"/>
      <c r="Q171" s="10"/>
      <c r="R171" s="10"/>
      <c r="S171" s="10"/>
      <c r="T171" s="10"/>
    </row>
    <row r="172" spans="2:20" x14ac:dyDescent="0.25">
      <c r="B172" s="58" t="s">
        <v>475</v>
      </c>
      <c r="C172" s="37" t="s">
        <v>476</v>
      </c>
      <c r="D172" s="38">
        <v>45738</v>
      </c>
      <c r="E172" s="32" t="s">
        <v>477</v>
      </c>
      <c r="F172" s="40" t="s">
        <v>478</v>
      </c>
      <c r="G172" s="41">
        <v>190</v>
      </c>
      <c r="H172" s="41"/>
      <c r="I172" s="41">
        <v>190</v>
      </c>
      <c r="J172" s="41">
        <f t="shared" si="16"/>
        <v>9.5</v>
      </c>
      <c r="K172" s="41">
        <f t="shared" si="17"/>
        <v>199.5</v>
      </c>
      <c r="L172" s="42" t="s">
        <v>49</v>
      </c>
      <c r="M172" s="10"/>
      <c r="N172" s="10"/>
      <c r="O172" s="10"/>
      <c r="P172" s="10"/>
      <c r="Q172" s="10"/>
      <c r="R172" s="10"/>
      <c r="S172" s="10"/>
      <c r="T172" s="10"/>
    </row>
    <row r="173" spans="2:20" x14ac:dyDescent="0.25">
      <c r="B173" s="58" t="s">
        <v>87</v>
      </c>
      <c r="C173" s="37" t="s">
        <v>479</v>
      </c>
      <c r="D173" s="38">
        <v>45742</v>
      </c>
      <c r="E173" s="32" t="s">
        <v>88</v>
      </c>
      <c r="F173" s="40" t="s">
        <v>480</v>
      </c>
      <c r="G173" s="41">
        <v>3300</v>
      </c>
      <c r="H173" s="41"/>
      <c r="I173" s="41">
        <v>3300</v>
      </c>
      <c r="J173" s="41">
        <f t="shared" si="16"/>
        <v>165</v>
      </c>
      <c r="K173" s="41">
        <f t="shared" si="17"/>
        <v>3465</v>
      </c>
      <c r="L173" s="42" t="s">
        <v>90</v>
      </c>
      <c r="M173" s="10"/>
      <c r="N173" s="10"/>
      <c r="O173" s="10"/>
      <c r="P173" s="10"/>
      <c r="Q173" s="10"/>
      <c r="R173" s="10"/>
      <c r="S173" s="10"/>
      <c r="T173" s="10"/>
    </row>
    <row r="174" spans="2:20" x14ac:dyDescent="0.25">
      <c r="B174" s="58" t="s">
        <v>271</v>
      </c>
      <c r="C174" s="37" t="s">
        <v>484</v>
      </c>
      <c r="D174" s="38">
        <v>45744</v>
      </c>
      <c r="E174" s="32" t="s">
        <v>273</v>
      </c>
      <c r="F174" s="40" t="s">
        <v>483</v>
      </c>
      <c r="G174" s="41">
        <v>6457.5</v>
      </c>
      <c r="H174" s="41"/>
      <c r="I174" s="41">
        <v>6457.5</v>
      </c>
      <c r="J174" s="41">
        <f t="shared" si="16"/>
        <v>322.875</v>
      </c>
      <c r="K174" s="41">
        <f t="shared" si="17"/>
        <v>6780.375</v>
      </c>
      <c r="L174" s="42" t="s">
        <v>11</v>
      </c>
      <c r="M174" s="10"/>
      <c r="N174" s="10"/>
      <c r="O174" s="10"/>
      <c r="P174" s="10"/>
      <c r="Q174" s="10"/>
      <c r="R174" s="10"/>
      <c r="S174" s="10"/>
      <c r="T174" s="10"/>
    </row>
    <row r="175" spans="2:20" x14ac:dyDescent="0.25">
      <c r="B175" s="58" t="s">
        <v>490</v>
      </c>
      <c r="C175" s="37" t="s">
        <v>485</v>
      </c>
      <c r="D175" s="38">
        <v>45747</v>
      </c>
      <c r="E175" s="32" t="s">
        <v>491</v>
      </c>
      <c r="F175" s="40" t="s">
        <v>492</v>
      </c>
      <c r="G175" s="41">
        <v>3260</v>
      </c>
      <c r="H175" s="41"/>
      <c r="I175" s="41">
        <v>3260</v>
      </c>
      <c r="J175" s="41">
        <f t="shared" si="16"/>
        <v>163</v>
      </c>
      <c r="K175" s="41">
        <f t="shared" si="17"/>
        <v>3423</v>
      </c>
      <c r="L175" s="42" t="s">
        <v>11</v>
      </c>
      <c r="M175" s="10"/>
      <c r="N175" s="10"/>
      <c r="O175" s="10"/>
      <c r="P175" s="10"/>
      <c r="Q175" s="10"/>
      <c r="R175" s="10"/>
      <c r="S175" s="10"/>
      <c r="T175" s="10"/>
    </row>
    <row r="176" spans="2:20" x14ac:dyDescent="0.25">
      <c r="B176" s="58" t="s">
        <v>155</v>
      </c>
      <c r="C176" s="37" t="s">
        <v>486</v>
      </c>
      <c r="D176" s="38">
        <v>45744</v>
      </c>
      <c r="E176" s="32" t="s">
        <v>157</v>
      </c>
      <c r="F176" s="40" t="s">
        <v>467</v>
      </c>
      <c r="G176" s="41">
        <v>7825</v>
      </c>
      <c r="H176" s="41"/>
      <c r="I176" s="41">
        <v>7825</v>
      </c>
      <c r="J176" s="41">
        <f t="shared" si="16"/>
        <v>391.25</v>
      </c>
      <c r="K176" s="41">
        <f t="shared" si="17"/>
        <v>8216.25</v>
      </c>
      <c r="L176" s="42" t="s">
        <v>11</v>
      </c>
      <c r="M176" s="10"/>
      <c r="N176" s="10"/>
      <c r="O176" s="10"/>
      <c r="P176" s="10"/>
      <c r="Q176" s="10"/>
      <c r="R176" s="10"/>
      <c r="S176" s="10"/>
      <c r="T176" s="10"/>
    </row>
    <row r="177" spans="2:20" x14ac:dyDescent="0.25">
      <c r="B177" s="58" t="s">
        <v>271</v>
      </c>
      <c r="C177" s="37" t="s">
        <v>487</v>
      </c>
      <c r="D177" s="38">
        <v>45744</v>
      </c>
      <c r="E177" s="32" t="s">
        <v>273</v>
      </c>
      <c r="F177" s="40" t="s">
        <v>98</v>
      </c>
      <c r="G177" s="41">
        <v>5216.3999999999996</v>
      </c>
      <c r="H177" s="41"/>
      <c r="I177" s="41">
        <v>5216.3999999999996</v>
      </c>
      <c r="J177" s="41">
        <f t="shared" si="16"/>
        <v>260.82</v>
      </c>
      <c r="K177" s="41">
        <f t="shared" si="17"/>
        <v>5477.2199999999993</v>
      </c>
      <c r="L177" s="42" t="s">
        <v>11</v>
      </c>
      <c r="M177" s="10"/>
      <c r="N177" s="10"/>
      <c r="O177" s="10"/>
      <c r="P177" s="10"/>
      <c r="Q177" s="10"/>
      <c r="R177" s="10"/>
      <c r="S177" s="10"/>
      <c r="T177" s="10"/>
    </row>
    <row r="178" spans="2:20" x14ac:dyDescent="0.25">
      <c r="B178" s="58" t="s">
        <v>68</v>
      </c>
      <c r="C178" s="37" t="s">
        <v>488</v>
      </c>
      <c r="D178" s="38">
        <v>45744</v>
      </c>
      <c r="E178" s="32" t="s">
        <v>78</v>
      </c>
      <c r="F178" s="40" t="s">
        <v>493</v>
      </c>
      <c r="G178" s="41">
        <v>405</v>
      </c>
      <c r="H178" s="41"/>
      <c r="I178" s="41">
        <v>405</v>
      </c>
      <c r="J178" s="41">
        <f t="shared" si="16"/>
        <v>20.25</v>
      </c>
      <c r="K178" s="41">
        <f t="shared" si="17"/>
        <v>425.25</v>
      </c>
      <c r="L178" s="42" t="s">
        <v>11</v>
      </c>
      <c r="M178" s="10"/>
      <c r="N178" s="10"/>
      <c r="O178" s="10"/>
      <c r="P178" s="10"/>
      <c r="Q178" s="10"/>
      <c r="R178" s="10"/>
      <c r="S178" s="10"/>
      <c r="T178" s="10"/>
    </row>
    <row r="179" spans="2:20" x14ac:dyDescent="0.25">
      <c r="B179" s="58" t="s">
        <v>494</v>
      </c>
      <c r="C179" s="37" t="s">
        <v>489</v>
      </c>
      <c r="D179" s="38">
        <v>45745</v>
      </c>
      <c r="E179" s="32" t="s">
        <v>496</v>
      </c>
      <c r="F179" s="40" t="s">
        <v>495</v>
      </c>
      <c r="G179" s="41">
        <v>875</v>
      </c>
      <c r="H179" s="41"/>
      <c r="I179" s="41">
        <v>875</v>
      </c>
      <c r="J179" s="41">
        <f t="shared" si="16"/>
        <v>43.75</v>
      </c>
      <c r="K179" s="41">
        <f t="shared" si="17"/>
        <v>918.75</v>
      </c>
      <c r="L179" s="42" t="s">
        <v>49</v>
      </c>
      <c r="M179" s="10"/>
      <c r="N179" s="10"/>
      <c r="O179" s="10"/>
      <c r="P179" s="10"/>
      <c r="Q179" s="10"/>
      <c r="R179" s="10"/>
      <c r="S179" s="10"/>
      <c r="T179" s="10"/>
    </row>
    <row r="180" spans="2:20" x14ac:dyDescent="0.25">
      <c r="B180" s="58" t="s">
        <v>46</v>
      </c>
      <c r="C180" s="37" t="s">
        <v>497</v>
      </c>
      <c r="D180" s="38">
        <v>45745</v>
      </c>
      <c r="E180" s="32"/>
      <c r="F180" s="40" t="s">
        <v>498</v>
      </c>
      <c r="G180" s="41">
        <v>816.5</v>
      </c>
      <c r="H180" s="41"/>
      <c r="I180" s="41">
        <v>816.5</v>
      </c>
      <c r="J180" s="41">
        <f t="shared" si="16"/>
        <v>40.825000000000003</v>
      </c>
      <c r="K180" s="41">
        <f t="shared" si="17"/>
        <v>857.32500000000005</v>
      </c>
      <c r="L180" s="42" t="s">
        <v>49</v>
      </c>
      <c r="M180" s="10"/>
      <c r="N180" s="10"/>
      <c r="O180" s="10"/>
      <c r="P180" s="10"/>
      <c r="Q180" s="10"/>
      <c r="R180" s="10"/>
      <c r="S180" s="10"/>
      <c r="T180" s="10"/>
    </row>
    <row r="181" spans="2:20" x14ac:dyDescent="0.25">
      <c r="B181" s="58" t="s">
        <v>310</v>
      </c>
      <c r="C181" s="37" t="s">
        <v>499</v>
      </c>
      <c r="D181" s="38">
        <v>45745</v>
      </c>
      <c r="E181" s="32" t="s">
        <v>157</v>
      </c>
      <c r="F181" s="40" t="s">
        <v>507</v>
      </c>
      <c r="G181" s="41">
        <v>250</v>
      </c>
      <c r="H181" s="41"/>
      <c r="I181" s="41">
        <v>250</v>
      </c>
      <c r="J181" s="41">
        <f t="shared" si="16"/>
        <v>12.5</v>
      </c>
      <c r="K181" s="41">
        <f t="shared" si="17"/>
        <v>262.5</v>
      </c>
      <c r="L181" s="42" t="s">
        <v>11</v>
      </c>
      <c r="M181" s="10"/>
      <c r="N181" s="10"/>
      <c r="O181" s="10"/>
      <c r="P181" s="10"/>
      <c r="Q181" s="10"/>
      <c r="R181" s="10"/>
      <c r="S181" s="10"/>
      <c r="T181" s="10"/>
    </row>
    <row r="182" spans="2:20" x14ac:dyDescent="0.25">
      <c r="B182" s="58" t="s">
        <v>509</v>
      </c>
      <c r="C182" s="37" t="s">
        <v>500</v>
      </c>
      <c r="D182" s="38">
        <v>45745</v>
      </c>
      <c r="E182" s="32" t="s">
        <v>510</v>
      </c>
      <c r="F182" s="40" t="s">
        <v>508</v>
      </c>
      <c r="G182" s="41">
        <v>1095</v>
      </c>
      <c r="H182" s="41"/>
      <c r="I182" s="41">
        <v>1095</v>
      </c>
      <c r="J182" s="41">
        <f t="shared" si="16"/>
        <v>54.75</v>
      </c>
      <c r="K182" s="41">
        <f t="shared" si="17"/>
        <v>1149.75</v>
      </c>
      <c r="L182" s="42" t="s">
        <v>49</v>
      </c>
      <c r="M182" s="10"/>
      <c r="N182" s="10"/>
      <c r="O182" s="10"/>
      <c r="P182" s="10"/>
      <c r="Q182" s="10"/>
      <c r="R182" s="10"/>
      <c r="S182" s="10"/>
      <c r="T182" s="10"/>
    </row>
    <row r="183" spans="2:20" x14ac:dyDescent="0.25">
      <c r="B183" s="58" t="s">
        <v>515</v>
      </c>
      <c r="C183" s="37" t="s">
        <v>501</v>
      </c>
      <c r="D183" s="38">
        <v>45745</v>
      </c>
      <c r="E183" s="32" t="s">
        <v>514</v>
      </c>
      <c r="F183" s="40" t="s">
        <v>511</v>
      </c>
      <c r="G183" s="41">
        <v>375</v>
      </c>
      <c r="H183" s="41"/>
      <c r="I183" s="41">
        <v>375</v>
      </c>
      <c r="J183" s="41">
        <f t="shared" si="16"/>
        <v>18.75</v>
      </c>
      <c r="K183" s="41">
        <f t="shared" si="17"/>
        <v>393.75</v>
      </c>
      <c r="L183" s="42" t="s">
        <v>49</v>
      </c>
      <c r="M183" s="10"/>
      <c r="N183" s="10"/>
      <c r="O183" s="10"/>
      <c r="P183" s="10"/>
      <c r="Q183" s="10"/>
      <c r="R183" s="10"/>
      <c r="S183" s="10"/>
      <c r="T183" s="10"/>
    </row>
    <row r="184" spans="2:20" x14ac:dyDescent="0.25">
      <c r="B184" s="58" t="s">
        <v>240</v>
      </c>
      <c r="C184" s="37" t="s">
        <v>502</v>
      </c>
      <c r="D184" s="38">
        <v>45745</v>
      </c>
      <c r="E184" s="32" t="s">
        <v>243</v>
      </c>
      <c r="F184" s="40" t="s">
        <v>512</v>
      </c>
      <c r="G184" s="41">
        <v>120</v>
      </c>
      <c r="H184" s="41"/>
      <c r="I184" s="41">
        <v>120</v>
      </c>
      <c r="J184" s="41">
        <f t="shared" si="16"/>
        <v>6</v>
      </c>
      <c r="K184" s="41">
        <f t="shared" si="17"/>
        <v>126</v>
      </c>
      <c r="L184" s="42" t="s">
        <v>11</v>
      </c>
      <c r="M184" s="10"/>
      <c r="N184" s="10"/>
      <c r="O184" s="10"/>
      <c r="P184" s="10"/>
      <c r="Q184" s="10"/>
      <c r="R184" s="10"/>
      <c r="S184" s="10"/>
      <c r="T184" s="10"/>
    </row>
    <row r="185" spans="2:20" x14ac:dyDescent="0.25">
      <c r="B185" s="58" t="s">
        <v>242</v>
      </c>
      <c r="C185" s="37" t="s">
        <v>503</v>
      </c>
      <c r="D185" s="38">
        <v>45745</v>
      </c>
      <c r="E185" s="32" t="s">
        <v>243</v>
      </c>
      <c r="F185" s="40" t="s">
        <v>512</v>
      </c>
      <c r="G185" s="41">
        <v>255</v>
      </c>
      <c r="H185" s="41"/>
      <c r="I185" s="41">
        <v>255</v>
      </c>
      <c r="J185" s="41">
        <f t="shared" si="16"/>
        <v>12.75</v>
      </c>
      <c r="K185" s="41">
        <f t="shared" si="17"/>
        <v>267.75</v>
      </c>
      <c r="L185" s="42" t="s">
        <v>11</v>
      </c>
      <c r="M185" s="10"/>
      <c r="N185" s="10"/>
      <c r="O185" s="10"/>
      <c r="P185" s="10"/>
      <c r="Q185" s="10"/>
      <c r="R185" s="10"/>
      <c r="S185" s="10"/>
      <c r="T185" s="10"/>
    </row>
    <row r="186" spans="2:20" x14ac:dyDescent="0.25">
      <c r="B186" s="61" t="s">
        <v>609</v>
      </c>
      <c r="C186" s="50" t="s">
        <v>504</v>
      </c>
      <c r="D186" s="54">
        <v>45745</v>
      </c>
      <c r="E186" s="52"/>
      <c r="F186" s="53" t="s">
        <v>610</v>
      </c>
      <c r="G186" s="55"/>
      <c r="H186" s="55"/>
      <c r="I186" s="55"/>
      <c r="J186" s="55"/>
      <c r="K186" s="55"/>
      <c r="L186" s="56"/>
      <c r="M186" s="10"/>
      <c r="N186" s="10"/>
      <c r="O186" s="10"/>
      <c r="P186" s="10"/>
      <c r="Q186" s="10"/>
      <c r="R186" s="10"/>
      <c r="S186" s="10"/>
      <c r="T186" s="10"/>
    </row>
    <row r="187" spans="2:20" x14ac:dyDescent="0.25">
      <c r="B187" s="58" t="s">
        <v>247</v>
      </c>
      <c r="C187" s="37" t="s">
        <v>505</v>
      </c>
      <c r="D187" s="38">
        <v>45770</v>
      </c>
      <c r="E187" s="32" t="s">
        <v>248</v>
      </c>
      <c r="F187" s="57" t="s">
        <v>611</v>
      </c>
      <c r="G187" s="41">
        <v>810</v>
      </c>
      <c r="H187" s="41"/>
      <c r="I187" s="41">
        <v>405</v>
      </c>
      <c r="J187" s="41">
        <f t="shared" si="16"/>
        <v>40.5</v>
      </c>
      <c r="K187" s="41">
        <f t="shared" si="17"/>
        <v>850.5</v>
      </c>
      <c r="L187" s="42" t="s">
        <v>11</v>
      </c>
      <c r="M187" s="10"/>
      <c r="N187" s="10"/>
      <c r="O187" s="10"/>
      <c r="P187" s="10"/>
      <c r="Q187" s="10"/>
      <c r="R187" s="10"/>
      <c r="S187" s="10"/>
      <c r="T187" s="10"/>
    </row>
    <row r="188" spans="2:20" x14ac:dyDescent="0.25">
      <c r="B188" s="58" t="s">
        <v>463</v>
      </c>
      <c r="C188" s="37" t="s">
        <v>506</v>
      </c>
      <c r="D188" s="38">
        <v>45745</v>
      </c>
      <c r="E188" s="32" t="s">
        <v>464</v>
      </c>
      <c r="F188" s="40" t="s">
        <v>513</v>
      </c>
      <c r="G188" s="41">
        <v>195</v>
      </c>
      <c r="H188" s="41"/>
      <c r="I188" s="41">
        <v>195</v>
      </c>
      <c r="J188" s="41">
        <f t="shared" ref="J188:J251" si="18">G188*5%</f>
        <v>9.75</v>
      </c>
      <c r="K188" s="41">
        <f t="shared" ref="K188:K251" si="19">G188+J188</f>
        <v>204.75</v>
      </c>
      <c r="L188" s="42" t="s">
        <v>11</v>
      </c>
      <c r="M188" s="10"/>
      <c r="N188" s="10"/>
      <c r="O188" s="10"/>
      <c r="P188" s="10"/>
      <c r="Q188" s="10"/>
      <c r="R188" s="10"/>
      <c r="S188" s="10"/>
      <c r="T188" s="10"/>
    </row>
    <row r="189" spans="2:20" x14ac:dyDescent="0.25">
      <c r="B189" s="58" t="s">
        <v>283</v>
      </c>
      <c r="C189" s="37" t="s">
        <v>516</v>
      </c>
      <c r="D189" s="38">
        <v>45750</v>
      </c>
      <c r="E189" s="32" t="s">
        <v>284</v>
      </c>
      <c r="F189" s="40" t="s">
        <v>311</v>
      </c>
      <c r="G189" s="41">
        <v>517</v>
      </c>
      <c r="H189" s="41"/>
      <c r="I189" s="41">
        <v>517</v>
      </c>
      <c r="J189" s="41">
        <f t="shared" si="18"/>
        <v>25.85</v>
      </c>
      <c r="K189" s="41">
        <f t="shared" si="19"/>
        <v>542.85</v>
      </c>
      <c r="L189" s="42" t="s">
        <v>11</v>
      </c>
      <c r="M189" s="10"/>
      <c r="N189" s="10"/>
      <c r="O189" s="10"/>
      <c r="P189" s="10"/>
      <c r="Q189" s="10"/>
      <c r="R189" s="10"/>
      <c r="S189" s="10"/>
      <c r="T189" s="10"/>
    </row>
    <row r="190" spans="2:20" x14ac:dyDescent="0.25">
      <c r="B190" s="58" t="s">
        <v>518</v>
      </c>
      <c r="C190" s="37" t="s">
        <v>517</v>
      </c>
      <c r="D190" s="38">
        <v>45752</v>
      </c>
      <c r="E190" s="32" t="s">
        <v>519</v>
      </c>
      <c r="F190" s="40" t="s">
        <v>520</v>
      </c>
      <c r="G190" s="41">
        <v>494.8</v>
      </c>
      <c r="H190" s="41"/>
      <c r="I190" s="41">
        <v>494.8</v>
      </c>
      <c r="J190" s="41">
        <f t="shared" si="18"/>
        <v>24.740000000000002</v>
      </c>
      <c r="K190" s="41">
        <f t="shared" si="19"/>
        <v>519.54</v>
      </c>
      <c r="L190" s="42" t="s">
        <v>11</v>
      </c>
      <c r="M190" s="10"/>
      <c r="N190" s="10"/>
      <c r="O190" s="10"/>
      <c r="P190" s="10"/>
      <c r="Q190" s="10"/>
      <c r="R190" s="10"/>
      <c r="S190" s="10"/>
      <c r="T190" s="10"/>
    </row>
    <row r="191" spans="2:20" x14ac:dyDescent="0.25">
      <c r="B191" s="58" t="s">
        <v>12</v>
      </c>
      <c r="C191" s="37" t="s">
        <v>521</v>
      </c>
      <c r="D191" s="38">
        <v>45755</v>
      </c>
      <c r="E191" s="32" t="s">
        <v>13</v>
      </c>
      <c r="F191" s="40" t="s">
        <v>523</v>
      </c>
      <c r="G191" s="41">
        <v>325</v>
      </c>
      <c r="H191" s="41"/>
      <c r="I191" s="41">
        <v>325</v>
      </c>
      <c r="J191" s="41">
        <f t="shared" si="18"/>
        <v>16.25</v>
      </c>
      <c r="K191" s="41">
        <f t="shared" si="19"/>
        <v>341.25</v>
      </c>
      <c r="L191" s="42" t="s">
        <v>11</v>
      </c>
      <c r="M191" s="10"/>
      <c r="N191" s="10"/>
      <c r="O191" s="10"/>
      <c r="P191" s="10"/>
      <c r="Q191" s="10"/>
      <c r="R191" s="10"/>
      <c r="S191" s="10"/>
      <c r="T191" s="10"/>
    </row>
    <row r="192" spans="2:20" x14ac:dyDescent="0.25">
      <c r="B192" s="58" t="s">
        <v>524</v>
      </c>
      <c r="C192" s="37" t="s">
        <v>522</v>
      </c>
      <c r="D192" s="38">
        <v>45755</v>
      </c>
      <c r="E192" s="32" t="s">
        <v>525</v>
      </c>
      <c r="F192" s="40" t="s">
        <v>526</v>
      </c>
      <c r="G192" s="41">
        <v>1004.85</v>
      </c>
      <c r="H192" s="41"/>
      <c r="I192" s="41">
        <v>1004.85</v>
      </c>
      <c r="J192" s="41">
        <f t="shared" si="18"/>
        <v>50.242500000000007</v>
      </c>
      <c r="K192" s="41">
        <f t="shared" si="19"/>
        <v>1055.0925</v>
      </c>
      <c r="L192" s="42" t="s">
        <v>49</v>
      </c>
      <c r="M192" s="10"/>
      <c r="N192" s="10"/>
      <c r="O192" s="10"/>
      <c r="P192" s="10"/>
      <c r="Q192" s="10"/>
      <c r="R192" s="10"/>
      <c r="S192" s="10"/>
      <c r="T192" s="10"/>
    </row>
    <row r="193" spans="2:20" x14ac:dyDescent="0.25">
      <c r="B193" s="58" t="s">
        <v>34</v>
      </c>
      <c r="C193" s="37" t="s">
        <v>527</v>
      </c>
      <c r="D193" s="38">
        <v>45755</v>
      </c>
      <c r="E193" s="32" t="s">
        <v>36</v>
      </c>
      <c r="F193" s="40" t="s">
        <v>534</v>
      </c>
      <c r="G193" s="41">
        <v>365</v>
      </c>
      <c r="H193" s="41"/>
      <c r="I193" s="41">
        <v>365</v>
      </c>
      <c r="J193" s="41">
        <f t="shared" si="18"/>
        <v>18.25</v>
      </c>
      <c r="K193" s="41">
        <f t="shared" si="19"/>
        <v>383.25</v>
      </c>
      <c r="L193" s="42" t="s">
        <v>11</v>
      </c>
      <c r="M193" s="10"/>
      <c r="N193" s="10"/>
      <c r="O193" s="10"/>
      <c r="P193" s="10"/>
      <c r="Q193" s="10"/>
      <c r="R193" s="10"/>
      <c r="S193" s="10"/>
      <c r="T193" s="10"/>
    </row>
    <row r="194" spans="2:20" x14ac:dyDescent="0.25">
      <c r="B194" s="58" t="s">
        <v>12</v>
      </c>
      <c r="C194" s="37" t="s">
        <v>528</v>
      </c>
      <c r="D194" s="38">
        <v>45755</v>
      </c>
      <c r="E194" s="32" t="s">
        <v>13</v>
      </c>
      <c r="F194" s="40" t="s">
        <v>535</v>
      </c>
      <c r="G194" s="41">
        <v>325</v>
      </c>
      <c r="H194" s="41"/>
      <c r="I194" s="41">
        <v>325</v>
      </c>
      <c r="J194" s="41">
        <f t="shared" si="18"/>
        <v>16.25</v>
      </c>
      <c r="K194" s="41">
        <f t="shared" si="19"/>
        <v>341.25</v>
      </c>
      <c r="L194" s="42" t="s">
        <v>11</v>
      </c>
      <c r="M194" s="10"/>
      <c r="N194" s="10"/>
      <c r="O194" s="10"/>
      <c r="P194" s="10"/>
      <c r="Q194" s="10"/>
      <c r="R194" s="10"/>
      <c r="S194" s="10"/>
      <c r="T194" s="10"/>
    </row>
    <row r="195" spans="2:20" x14ac:dyDescent="0.25">
      <c r="B195" s="58" t="s">
        <v>494</v>
      </c>
      <c r="C195" s="37" t="s">
        <v>529</v>
      </c>
      <c r="D195" s="38">
        <v>45757</v>
      </c>
      <c r="E195" s="32" t="s">
        <v>496</v>
      </c>
      <c r="F195" s="40" t="s">
        <v>536</v>
      </c>
      <c r="G195" s="41">
        <v>1675</v>
      </c>
      <c r="H195" s="41"/>
      <c r="I195" s="41">
        <v>1675</v>
      </c>
      <c r="J195" s="41">
        <f t="shared" si="18"/>
        <v>83.75</v>
      </c>
      <c r="K195" s="41">
        <f t="shared" si="19"/>
        <v>1758.75</v>
      </c>
      <c r="L195" s="42" t="s">
        <v>49</v>
      </c>
      <c r="M195" s="10"/>
      <c r="N195" s="10"/>
      <c r="O195" s="10"/>
      <c r="P195" s="10"/>
      <c r="Q195" s="10"/>
      <c r="R195" s="10"/>
      <c r="S195" s="10"/>
      <c r="T195" s="10"/>
    </row>
    <row r="196" spans="2:20" x14ac:dyDescent="0.25">
      <c r="B196" s="58" t="s">
        <v>68</v>
      </c>
      <c r="C196" s="37" t="s">
        <v>530</v>
      </c>
      <c r="D196" s="38">
        <v>45756</v>
      </c>
      <c r="E196" s="32" t="s">
        <v>78</v>
      </c>
      <c r="F196" s="40" t="s">
        <v>537</v>
      </c>
      <c r="G196" s="41">
        <v>1960.5</v>
      </c>
      <c r="H196" s="41"/>
      <c r="I196" s="41">
        <v>1960.5</v>
      </c>
      <c r="J196" s="41">
        <f t="shared" si="18"/>
        <v>98.025000000000006</v>
      </c>
      <c r="K196" s="41">
        <f t="shared" si="19"/>
        <v>2058.5250000000001</v>
      </c>
      <c r="L196" s="42" t="s">
        <v>11</v>
      </c>
      <c r="M196" s="10"/>
      <c r="N196" s="10"/>
      <c r="O196" s="10"/>
      <c r="P196" s="10"/>
      <c r="Q196" s="10"/>
      <c r="R196" s="10"/>
      <c r="S196" s="10"/>
      <c r="T196" s="10"/>
    </row>
    <row r="197" spans="2:20" x14ac:dyDescent="0.25">
      <c r="B197" s="58" t="s">
        <v>538</v>
      </c>
      <c r="C197" s="37" t="s">
        <v>531</v>
      </c>
      <c r="D197" s="38">
        <v>45757</v>
      </c>
      <c r="E197" s="32" t="s">
        <v>539</v>
      </c>
      <c r="F197" s="40" t="s">
        <v>540</v>
      </c>
      <c r="G197" s="41">
        <v>4950</v>
      </c>
      <c r="H197" s="41"/>
      <c r="I197" s="41">
        <v>4950</v>
      </c>
      <c r="J197" s="41">
        <f t="shared" si="18"/>
        <v>247.5</v>
      </c>
      <c r="K197" s="41">
        <f t="shared" si="19"/>
        <v>5197.5</v>
      </c>
      <c r="L197" s="42" t="s">
        <v>11</v>
      </c>
      <c r="M197" s="10"/>
      <c r="N197" s="10"/>
      <c r="O197" s="10"/>
      <c r="P197" s="10"/>
      <c r="Q197" s="10"/>
      <c r="R197" s="10"/>
      <c r="S197" s="10"/>
      <c r="T197" s="10"/>
    </row>
    <row r="198" spans="2:20" x14ac:dyDescent="0.25">
      <c r="B198" s="58" t="s">
        <v>286</v>
      </c>
      <c r="C198" s="37" t="s">
        <v>532</v>
      </c>
      <c r="D198" s="38">
        <v>45756</v>
      </c>
      <c r="E198" s="32"/>
      <c r="F198" s="40" t="s">
        <v>520</v>
      </c>
      <c r="G198" s="41">
        <v>875</v>
      </c>
      <c r="H198" s="41"/>
      <c r="I198" s="41">
        <v>875</v>
      </c>
      <c r="J198" s="41">
        <f t="shared" si="18"/>
        <v>43.75</v>
      </c>
      <c r="K198" s="41">
        <f t="shared" si="19"/>
        <v>918.75</v>
      </c>
      <c r="L198" s="42" t="s">
        <v>11</v>
      </c>
      <c r="M198" s="10"/>
      <c r="N198" s="10"/>
      <c r="O198" s="10"/>
      <c r="P198" s="10"/>
      <c r="Q198" s="10"/>
      <c r="R198" s="10"/>
      <c r="S198" s="10"/>
      <c r="T198" s="10"/>
    </row>
    <row r="199" spans="2:20" x14ac:dyDescent="0.25">
      <c r="B199" s="58" t="s">
        <v>509</v>
      </c>
      <c r="C199" s="37" t="s">
        <v>533</v>
      </c>
      <c r="D199" s="38">
        <v>45757</v>
      </c>
      <c r="E199" s="32" t="s">
        <v>510</v>
      </c>
      <c r="F199" s="40" t="s">
        <v>541</v>
      </c>
      <c r="G199" s="41">
        <v>4750</v>
      </c>
      <c r="H199" s="41"/>
      <c r="I199" s="41">
        <v>4750</v>
      </c>
      <c r="J199" s="41">
        <f t="shared" si="18"/>
        <v>237.5</v>
      </c>
      <c r="K199" s="41">
        <f t="shared" si="19"/>
        <v>4987.5</v>
      </c>
      <c r="L199" s="42" t="s">
        <v>49</v>
      </c>
      <c r="M199" s="10"/>
      <c r="N199" s="10"/>
      <c r="O199" s="10"/>
      <c r="P199" s="10"/>
      <c r="Q199" s="10"/>
      <c r="R199" s="10"/>
      <c r="S199" s="10"/>
      <c r="T199" s="10"/>
    </row>
    <row r="200" spans="2:20" x14ac:dyDescent="0.25">
      <c r="B200" s="58" t="s">
        <v>544</v>
      </c>
      <c r="C200" s="37" t="s">
        <v>542</v>
      </c>
      <c r="D200" s="38">
        <v>45756</v>
      </c>
      <c r="E200" s="32"/>
      <c r="F200" s="40" t="s">
        <v>545</v>
      </c>
      <c r="G200" s="41">
        <v>110</v>
      </c>
      <c r="H200" s="41"/>
      <c r="I200" s="41">
        <v>110</v>
      </c>
      <c r="J200" s="41">
        <f t="shared" si="18"/>
        <v>5.5</v>
      </c>
      <c r="K200" s="41">
        <f t="shared" si="19"/>
        <v>115.5</v>
      </c>
      <c r="L200" s="42" t="s">
        <v>49</v>
      </c>
      <c r="M200" s="10"/>
      <c r="N200" s="10"/>
      <c r="O200" s="10"/>
      <c r="P200" s="10"/>
      <c r="Q200" s="10"/>
      <c r="R200" s="10"/>
      <c r="S200" s="10"/>
      <c r="T200" s="10"/>
    </row>
    <row r="201" spans="2:20" x14ac:dyDescent="0.25">
      <c r="B201" s="58" t="s">
        <v>546</v>
      </c>
      <c r="C201" s="37" t="s">
        <v>543</v>
      </c>
      <c r="D201" s="38">
        <v>45756</v>
      </c>
      <c r="E201" s="32"/>
      <c r="F201" s="40" t="s">
        <v>547</v>
      </c>
      <c r="G201" s="41">
        <v>210</v>
      </c>
      <c r="H201" s="41"/>
      <c r="I201" s="41">
        <v>210</v>
      </c>
      <c r="J201" s="41">
        <f t="shared" si="18"/>
        <v>10.5</v>
      </c>
      <c r="K201" s="41">
        <f t="shared" si="19"/>
        <v>220.5</v>
      </c>
      <c r="L201" s="42" t="s">
        <v>49</v>
      </c>
      <c r="M201" s="10"/>
      <c r="N201" s="10"/>
      <c r="O201" s="10"/>
      <c r="P201" s="10"/>
      <c r="Q201" s="10"/>
      <c r="R201" s="10"/>
      <c r="S201" s="10"/>
      <c r="T201" s="10"/>
    </row>
    <row r="202" spans="2:20" x14ac:dyDescent="0.25">
      <c r="B202" s="58" t="s">
        <v>293</v>
      </c>
      <c r="C202" s="37" t="s">
        <v>548</v>
      </c>
      <c r="D202" s="38">
        <v>45759</v>
      </c>
      <c r="E202" s="32" t="s">
        <v>294</v>
      </c>
      <c r="F202" s="40" t="s">
        <v>549</v>
      </c>
      <c r="G202" s="41">
        <v>320</v>
      </c>
      <c r="H202" s="41"/>
      <c r="I202" s="41">
        <v>320</v>
      </c>
      <c r="J202" s="41">
        <f t="shared" si="18"/>
        <v>16</v>
      </c>
      <c r="K202" s="41">
        <f t="shared" si="19"/>
        <v>336</v>
      </c>
      <c r="L202" s="42" t="s">
        <v>49</v>
      </c>
      <c r="M202" s="10"/>
      <c r="N202" s="10"/>
      <c r="O202" s="10"/>
      <c r="P202" s="10"/>
      <c r="Q202" s="10"/>
      <c r="R202" s="10"/>
      <c r="S202" s="10"/>
      <c r="T202" s="10"/>
    </row>
    <row r="203" spans="2:20" x14ac:dyDescent="0.25">
      <c r="B203" s="58" t="s">
        <v>550</v>
      </c>
      <c r="C203" s="37" t="s">
        <v>551</v>
      </c>
      <c r="D203" s="38">
        <v>45756</v>
      </c>
      <c r="E203" s="32" t="s">
        <v>577</v>
      </c>
      <c r="F203" s="40" t="s">
        <v>552</v>
      </c>
      <c r="G203" s="41">
        <v>4613.3999999999996</v>
      </c>
      <c r="H203" s="41"/>
      <c r="I203" s="41">
        <v>4403.7</v>
      </c>
      <c r="J203" s="41">
        <f t="shared" si="18"/>
        <v>230.67</v>
      </c>
      <c r="K203" s="41">
        <f t="shared" si="19"/>
        <v>4844.07</v>
      </c>
      <c r="L203" s="42" t="s">
        <v>11</v>
      </c>
      <c r="M203" s="10"/>
      <c r="N203" s="10"/>
      <c r="O203" s="10"/>
      <c r="P203" s="10"/>
      <c r="Q203" s="10"/>
      <c r="R203" s="10"/>
      <c r="S203" s="10"/>
      <c r="T203" s="10"/>
    </row>
    <row r="204" spans="2:20" x14ac:dyDescent="0.25">
      <c r="B204" s="58" t="s">
        <v>68</v>
      </c>
      <c r="C204" s="37" t="s">
        <v>553</v>
      </c>
      <c r="D204" s="38">
        <v>45757</v>
      </c>
      <c r="E204" s="32" t="s">
        <v>78</v>
      </c>
      <c r="F204" s="40" t="s">
        <v>554</v>
      </c>
      <c r="G204" s="41">
        <v>3655</v>
      </c>
      <c r="H204" s="41"/>
      <c r="I204" s="41">
        <v>3655</v>
      </c>
      <c r="J204" s="41">
        <f t="shared" si="18"/>
        <v>182.75</v>
      </c>
      <c r="K204" s="41">
        <f t="shared" si="19"/>
        <v>3837.75</v>
      </c>
      <c r="L204" s="42" t="s">
        <v>11</v>
      </c>
      <c r="M204" s="10"/>
      <c r="N204" s="10"/>
      <c r="O204" s="10"/>
      <c r="P204" s="10"/>
      <c r="Q204" s="10"/>
      <c r="R204" s="10"/>
      <c r="S204" s="10"/>
      <c r="T204" s="10"/>
    </row>
    <row r="205" spans="2:20" x14ac:dyDescent="0.25">
      <c r="B205" s="58" t="s">
        <v>555</v>
      </c>
      <c r="C205" s="37" t="s">
        <v>556</v>
      </c>
      <c r="D205" s="38">
        <v>45757</v>
      </c>
      <c r="E205" s="32"/>
      <c r="F205" s="40" t="s">
        <v>557</v>
      </c>
      <c r="G205" s="41">
        <v>125</v>
      </c>
      <c r="H205" s="41"/>
      <c r="I205" s="41">
        <v>125</v>
      </c>
      <c r="J205" s="41">
        <f t="shared" si="18"/>
        <v>6.25</v>
      </c>
      <c r="K205" s="41">
        <f t="shared" si="19"/>
        <v>131.25</v>
      </c>
      <c r="L205" s="42" t="s">
        <v>49</v>
      </c>
      <c r="M205" s="10"/>
      <c r="N205" s="10"/>
      <c r="O205" s="10"/>
      <c r="P205" s="10"/>
      <c r="Q205" s="10"/>
      <c r="R205" s="10"/>
      <c r="S205" s="10"/>
      <c r="T205" s="10"/>
    </row>
    <row r="206" spans="2:20" x14ac:dyDescent="0.25">
      <c r="B206" s="58" t="s">
        <v>606</v>
      </c>
      <c r="C206" s="37" t="s">
        <v>558</v>
      </c>
      <c r="D206" s="38">
        <v>45758</v>
      </c>
      <c r="E206" s="32"/>
      <c r="F206" s="40" t="s">
        <v>559</v>
      </c>
      <c r="G206" s="41">
        <v>890</v>
      </c>
      <c r="H206" s="41"/>
      <c r="I206" s="41">
        <v>850</v>
      </c>
      <c r="J206" s="41">
        <f t="shared" si="18"/>
        <v>44.5</v>
      </c>
      <c r="K206" s="41">
        <f t="shared" si="19"/>
        <v>934.5</v>
      </c>
      <c r="L206" s="42" t="s">
        <v>11</v>
      </c>
      <c r="M206" s="10"/>
      <c r="N206" s="10"/>
      <c r="O206" s="10"/>
      <c r="P206" s="10"/>
      <c r="Q206" s="10"/>
      <c r="R206" s="10"/>
      <c r="S206" s="10"/>
      <c r="T206" s="10"/>
    </row>
    <row r="207" spans="2:20" x14ac:dyDescent="0.25">
      <c r="B207" s="58" t="s">
        <v>490</v>
      </c>
      <c r="C207" s="37" t="s">
        <v>560</v>
      </c>
      <c r="D207" s="38">
        <v>45761</v>
      </c>
      <c r="E207" s="32" t="s">
        <v>491</v>
      </c>
      <c r="F207" s="40" t="s">
        <v>561</v>
      </c>
      <c r="G207" s="41">
        <v>600</v>
      </c>
      <c r="H207" s="41"/>
      <c r="I207" s="41">
        <v>600</v>
      </c>
      <c r="J207" s="41">
        <f t="shared" si="18"/>
        <v>30</v>
      </c>
      <c r="K207" s="41">
        <f t="shared" si="19"/>
        <v>630</v>
      </c>
      <c r="L207" s="42" t="s">
        <v>11</v>
      </c>
      <c r="M207" s="10"/>
      <c r="N207" s="10"/>
      <c r="O207" s="10"/>
      <c r="P207" s="10"/>
      <c r="Q207" s="10"/>
      <c r="R207" s="10"/>
      <c r="S207" s="10"/>
      <c r="T207" s="10"/>
    </row>
    <row r="208" spans="2:20" x14ac:dyDescent="0.25">
      <c r="B208" s="58" t="s">
        <v>46</v>
      </c>
      <c r="C208" s="37" t="s">
        <v>563</v>
      </c>
      <c r="D208" s="38">
        <v>45758</v>
      </c>
      <c r="E208" s="32"/>
      <c r="F208" s="40" t="s">
        <v>562</v>
      </c>
      <c r="G208" s="41">
        <v>1824</v>
      </c>
      <c r="H208" s="41"/>
      <c r="I208" s="41">
        <v>1824</v>
      </c>
      <c r="J208" s="41">
        <f>G208*5%</f>
        <v>91.2</v>
      </c>
      <c r="K208" s="41">
        <f>G208+J208</f>
        <v>1915.2</v>
      </c>
      <c r="L208" s="42" t="s">
        <v>49</v>
      </c>
      <c r="M208" s="10"/>
      <c r="N208" s="10"/>
      <c r="O208" s="10"/>
      <c r="P208" s="10"/>
      <c r="Q208" s="10"/>
      <c r="R208" s="10"/>
      <c r="S208" s="10"/>
      <c r="T208" s="10"/>
    </row>
    <row r="209" spans="2:20" x14ac:dyDescent="0.25">
      <c r="B209" s="58" t="s">
        <v>564</v>
      </c>
      <c r="C209" s="37" t="s">
        <v>565</v>
      </c>
      <c r="D209" s="38">
        <v>45761</v>
      </c>
      <c r="E209" s="32" t="s">
        <v>566</v>
      </c>
      <c r="F209" s="40" t="s">
        <v>461</v>
      </c>
      <c r="G209" s="41">
        <v>185</v>
      </c>
      <c r="H209" s="41"/>
      <c r="I209" s="41">
        <v>185</v>
      </c>
      <c r="J209" s="41">
        <f t="shared" si="18"/>
        <v>9.25</v>
      </c>
      <c r="K209" s="41">
        <f t="shared" si="19"/>
        <v>194.25</v>
      </c>
      <c r="L209" s="42" t="s">
        <v>11</v>
      </c>
      <c r="M209" s="10"/>
      <c r="N209" s="10"/>
      <c r="O209" s="10"/>
      <c r="P209" s="10"/>
      <c r="Q209" s="10"/>
      <c r="R209" s="10"/>
      <c r="S209" s="10"/>
      <c r="T209" s="10"/>
    </row>
    <row r="210" spans="2:20" x14ac:dyDescent="0.25">
      <c r="B210" s="58" t="s">
        <v>68</v>
      </c>
      <c r="C210" s="37" t="s">
        <v>567</v>
      </c>
      <c r="D210" s="38">
        <v>45762</v>
      </c>
      <c r="E210" s="32" t="s">
        <v>78</v>
      </c>
      <c r="F210" s="40" t="s">
        <v>574</v>
      </c>
      <c r="G210" s="41">
        <v>470</v>
      </c>
      <c r="H210" s="41"/>
      <c r="I210" s="41">
        <v>470</v>
      </c>
      <c r="J210" s="41">
        <f t="shared" si="18"/>
        <v>23.5</v>
      </c>
      <c r="K210" s="41">
        <f t="shared" si="19"/>
        <v>493.5</v>
      </c>
      <c r="L210" s="42" t="s">
        <v>11</v>
      </c>
      <c r="M210" s="10"/>
      <c r="N210" s="10"/>
      <c r="O210" s="10"/>
      <c r="P210" s="10"/>
      <c r="Q210" s="10"/>
      <c r="R210" s="10"/>
      <c r="S210" s="10"/>
      <c r="T210" s="10"/>
    </row>
    <row r="211" spans="2:20" x14ac:dyDescent="0.25">
      <c r="B211" s="58" t="s">
        <v>58</v>
      </c>
      <c r="C211" s="37" t="s">
        <v>568</v>
      </c>
      <c r="D211" s="38">
        <v>45762</v>
      </c>
      <c r="E211" s="32" t="s">
        <v>60</v>
      </c>
      <c r="F211" s="40" t="s">
        <v>575</v>
      </c>
      <c r="G211" s="41">
        <v>1875</v>
      </c>
      <c r="H211" s="41"/>
      <c r="I211" s="41">
        <v>1875</v>
      </c>
      <c r="J211" s="41">
        <f t="shared" si="18"/>
        <v>93.75</v>
      </c>
      <c r="K211" s="41">
        <f t="shared" si="19"/>
        <v>1968.75</v>
      </c>
      <c r="L211" s="42" t="s">
        <v>11</v>
      </c>
      <c r="M211" s="10"/>
      <c r="N211" s="10"/>
      <c r="O211" s="10"/>
      <c r="P211" s="10"/>
      <c r="Q211" s="10"/>
      <c r="R211" s="10"/>
      <c r="S211" s="10"/>
      <c r="T211" s="10"/>
    </row>
    <row r="212" spans="2:20" x14ac:dyDescent="0.25">
      <c r="B212" s="58" t="s">
        <v>538</v>
      </c>
      <c r="C212" s="37" t="s">
        <v>569</v>
      </c>
      <c r="D212" s="38">
        <v>45762</v>
      </c>
      <c r="E212" s="32" t="s">
        <v>539</v>
      </c>
      <c r="F212" s="40" t="s">
        <v>576</v>
      </c>
      <c r="G212" s="41">
        <v>190</v>
      </c>
      <c r="H212" s="41"/>
      <c r="I212" s="41">
        <v>190</v>
      </c>
      <c r="J212" s="41">
        <f t="shared" si="18"/>
        <v>9.5</v>
      </c>
      <c r="K212" s="41">
        <f t="shared" si="19"/>
        <v>199.5</v>
      </c>
      <c r="L212" s="42" t="s">
        <v>11</v>
      </c>
      <c r="M212" s="10"/>
      <c r="N212" s="10"/>
      <c r="O212" s="10"/>
      <c r="P212" s="10"/>
      <c r="Q212" s="10"/>
      <c r="R212" s="10"/>
      <c r="S212" s="10"/>
      <c r="T212" s="10"/>
    </row>
    <row r="213" spans="2:20" x14ac:dyDescent="0.25">
      <c r="B213" s="58" t="s">
        <v>550</v>
      </c>
      <c r="C213" s="37" t="s">
        <v>570</v>
      </c>
      <c r="D213" s="38">
        <v>45763</v>
      </c>
      <c r="E213" s="32" t="s">
        <v>577</v>
      </c>
      <c r="F213" s="40" t="s">
        <v>552</v>
      </c>
      <c r="G213" s="41">
        <v>209.7</v>
      </c>
      <c r="H213" s="41"/>
      <c r="I213" s="41">
        <v>209.7</v>
      </c>
      <c r="J213" s="41">
        <f t="shared" si="18"/>
        <v>10.484999999999999</v>
      </c>
      <c r="K213" s="41">
        <f t="shared" si="19"/>
        <v>220.185</v>
      </c>
      <c r="L213" s="42" t="s">
        <v>11</v>
      </c>
      <c r="M213" s="10"/>
      <c r="N213" s="10"/>
      <c r="O213" s="10"/>
      <c r="P213" s="10"/>
      <c r="Q213" s="10"/>
      <c r="R213" s="10"/>
      <c r="S213" s="10"/>
      <c r="T213" s="10"/>
    </row>
    <row r="214" spans="2:20" x14ac:dyDescent="0.25">
      <c r="B214" s="58" t="s">
        <v>312</v>
      </c>
      <c r="C214" s="37" t="s">
        <v>571</v>
      </c>
      <c r="D214" s="38">
        <v>45762</v>
      </c>
      <c r="E214" s="32" t="s">
        <v>313</v>
      </c>
      <c r="F214" s="40" t="s">
        <v>578</v>
      </c>
      <c r="G214" s="41">
        <v>8775</v>
      </c>
      <c r="H214" s="41"/>
      <c r="I214" s="41">
        <v>8775</v>
      </c>
      <c r="J214" s="41">
        <f t="shared" si="18"/>
        <v>438.75</v>
      </c>
      <c r="K214" s="41">
        <f t="shared" si="19"/>
        <v>9213.75</v>
      </c>
      <c r="L214" s="42" t="s">
        <v>11</v>
      </c>
      <c r="M214" s="10"/>
      <c r="N214" s="10"/>
      <c r="O214" s="10"/>
      <c r="P214" s="10"/>
      <c r="Q214" s="10"/>
      <c r="R214" s="10"/>
      <c r="S214" s="10"/>
      <c r="T214" s="10"/>
    </row>
    <row r="215" spans="2:20" x14ac:dyDescent="0.25">
      <c r="B215" s="58" t="s">
        <v>579</v>
      </c>
      <c r="C215" s="37" t="s">
        <v>572</v>
      </c>
      <c r="D215" s="38">
        <v>45763</v>
      </c>
      <c r="E215" s="32" t="s">
        <v>52</v>
      </c>
      <c r="F215" s="40" t="s">
        <v>580</v>
      </c>
      <c r="G215" s="41">
        <v>125</v>
      </c>
      <c r="H215" s="41"/>
      <c r="I215" s="41">
        <v>125</v>
      </c>
      <c r="J215" s="41">
        <f t="shared" si="18"/>
        <v>6.25</v>
      </c>
      <c r="K215" s="41">
        <f t="shared" si="19"/>
        <v>131.25</v>
      </c>
      <c r="L215" s="42" t="s">
        <v>11</v>
      </c>
      <c r="M215" s="10"/>
      <c r="N215" s="10"/>
      <c r="O215" s="10"/>
      <c r="P215" s="10"/>
      <c r="Q215" s="10"/>
      <c r="R215" s="10"/>
      <c r="S215" s="10"/>
      <c r="T215" s="10"/>
    </row>
    <row r="216" spans="2:20" x14ac:dyDescent="0.25">
      <c r="B216" s="58" t="s">
        <v>604</v>
      </c>
      <c r="C216" s="37" t="s">
        <v>573</v>
      </c>
      <c r="D216" s="38">
        <v>45775</v>
      </c>
      <c r="E216" s="32" t="s">
        <v>313</v>
      </c>
      <c r="F216" s="40" t="s">
        <v>581</v>
      </c>
      <c r="G216" s="41">
        <v>4788.8999999999996</v>
      </c>
      <c r="H216" s="41"/>
      <c r="I216" s="41">
        <v>4788.8999999999996</v>
      </c>
      <c r="J216" s="41">
        <f t="shared" si="18"/>
        <v>239.44499999999999</v>
      </c>
      <c r="K216" s="41">
        <f t="shared" si="19"/>
        <v>5028.3449999999993</v>
      </c>
      <c r="L216" s="42" t="s">
        <v>11</v>
      </c>
      <c r="M216" s="10"/>
      <c r="N216" s="10"/>
      <c r="O216" s="10"/>
      <c r="P216" s="10"/>
      <c r="Q216" s="10"/>
      <c r="R216" s="10"/>
      <c r="S216" s="10"/>
      <c r="T216" s="10"/>
    </row>
    <row r="217" spans="2:20" x14ac:dyDescent="0.25">
      <c r="B217" s="58" t="s">
        <v>590</v>
      </c>
      <c r="C217" s="37" t="s">
        <v>582</v>
      </c>
      <c r="D217" s="38">
        <v>45766</v>
      </c>
      <c r="E217" s="32"/>
      <c r="F217" s="40" t="s">
        <v>591</v>
      </c>
      <c r="G217" s="41">
        <v>185</v>
      </c>
      <c r="H217" s="41"/>
      <c r="I217" s="41">
        <v>185</v>
      </c>
      <c r="J217" s="41">
        <f t="shared" si="18"/>
        <v>9.25</v>
      </c>
      <c r="K217" s="41">
        <f t="shared" si="19"/>
        <v>194.25</v>
      </c>
      <c r="L217" s="42" t="s">
        <v>11</v>
      </c>
      <c r="M217" s="10"/>
      <c r="N217" s="10"/>
      <c r="O217" s="10"/>
      <c r="P217" s="10"/>
      <c r="Q217" s="10"/>
      <c r="R217" s="10"/>
      <c r="S217" s="10"/>
      <c r="T217" s="10"/>
    </row>
    <row r="218" spans="2:20" x14ac:dyDescent="0.25">
      <c r="B218" s="58" t="s">
        <v>544</v>
      </c>
      <c r="C218" s="37" t="s">
        <v>583</v>
      </c>
      <c r="D218" s="38">
        <v>45764</v>
      </c>
      <c r="E218" s="32"/>
      <c r="F218" s="40" t="s">
        <v>545</v>
      </c>
      <c r="G218" s="41">
        <v>35</v>
      </c>
      <c r="H218" s="41"/>
      <c r="I218" s="41">
        <v>35</v>
      </c>
      <c r="J218" s="41">
        <f t="shared" si="18"/>
        <v>1.75</v>
      </c>
      <c r="K218" s="41">
        <f t="shared" si="19"/>
        <v>36.75</v>
      </c>
      <c r="L218" s="42" t="s">
        <v>49</v>
      </c>
      <c r="M218" s="10"/>
      <c r="N218" s="10"/>
      <c r="O218" s="10"/>
      <c r="P218" s="10"/>
      <c r="Q218" s="10"/>
      <c r="R218" s="10"/>
      <c r="S218" s="10"/>
      <c r="T218" s="10"/>
    </row>
    <row r="219" spans="2:20" x14ac:dyDescent="0.25">
      <c r="B219" s="58" t="s">
        <v>105</v>
      </c>
      <c r="C219" s="37" t="s">
        <v>584</v>
      </c>
      <c r="D219" s="38">
        <v>45766</v>
      </c>
      <c r="E219" s="32" t="s">
        <v>108</v>
      </c>
      <c r="F219" s="40" t="s">
        <v>592</v>
      </c>
      <c r="G219" s="41">
        <v>4030</v>
      </c>
      <c r="H219" s="41"/>
      <c r="I219" s="41">
        <v>4030</v>
      </c>
      <c r="J219" s="41">
        <f t="shared" si="18"/>
        <v>201.5</v>
      </c>
      <c r="K219" s="41">
        <f t="shared" si="19"/>
        <v>4231.5</v>
      </c>
      <c r="L219" s="42" t="s">
        <v>11</v>
      </c>
      <c r="M219" s="10"/>
      <c r="N219" s="10"/>
      <c r="O219" s="10"/>
      <c r="P219" s="10"/>
      <c r="Q219" s="10"/>
      <c r="R219" s="10"/>
      <c r="S219" s="10"/>
      <c r="T219" s="10"/>
    </row>
    <row r="220" spans="2:20" x14ac:dyDescent="0.25">
      <c r="B220" s="58" t="s">
        <v>524</v>
      </c>
      <c r="C220" s="37" t="s">
        <v>585</v>
      </c>
      <c r="D220" s="38">
        <v>45768</v>
      </c>
      <c r="E220" s="32" t="s">
        <v>525</v>
      </c>
      <c r="F220" s="40" t="s">
        <v>593</v>
      </c>
      <c r="G220" s="41">
        <v>2530</v>
      </c>
      <c r="H220" s="41"/>
      <c r="I220" s="41">
        <v>2530</v>
      </c>
      <c r="J220" s="41">
        <f t="shared" si="18"/>
        <v>126.5</v>
      </c>
      <c r="K220" s="41">
        <f t="shared" si="19"/>
        <v>2656.5</v>
      </c>
      <c r="L220" s="42" t="s">
        <v>49</v>
      </c>
      <c r="M220" s="10"/>
      <c r="N220" s="10"/>
      <c r="O220" s="10"/>
      <c r="P220" s="10"/>
      <c r="Q220" s="10"/>
      <c r="R220" s="10"/>
      <c r="S220" s="10"/>
      <c r="T220" s="10"/>
    </row>
    <row r="221" spans="2:20" x14ac:dyDescent="0.25">
      <c r="B221" s="58" t="s">
        <v>338</v>
      </c>
      <c r="C221" s="37" t="s">
        <v>586</v>
      </c>
      <c r="D221" s="38">
        <v>45766</v>
      </c>
      <c r="E221" s="32" t="s">
        <v>339</v>
      </c>
      <c r="F221" s="40" t="s">
        <v>340</v>
      </c>
      <c r="G221" s="41">
        <v>4200</v>
      </c>
      <c r="H221" s="41"/>
      <c r="I221" s="41">
        <v>4200</v>
      </c>
      <c r="J221" s="41">
        <f t="shared" si="18"/>
        <v>210</v>
      </c>
      <c r="K221" s="41">
        <f t="shared" si="19"/>
        <v>4410</v>
      </c>
      <c r="L221" s="42" t="s">
        <v>11</v>
      </c>
      <c r="M221" s="10"/>
      <c r="N221" s="10"/>
      <c r="O221" s="10"/>
      <c r="P221" s="10"/>
      <c r="Q221" s="10"/>
      <c r="R221" s="10"/>
      <c r="S221" s="10"/>
      <c r="T221" s="10"/>
    </row>
    <row r="222" spans="2:20" x14ac:dyDescent="0.25">
      <c r="B222" s="58" t="s">
        <v>46</v>
      </c>
      <c r="C222" s="37" t="s">
        <v>587</v>
      </c>
      <c r="D222" s="38">
        <v>45766</v>
      </c>
      <c r="E222" s="32"/>
      <c r="F222" s="40" t="s">
        <v>594</v>
      </c>
      <c r="G222" s="41">
        <v>330</v>
      </c>
      <c r="H222" s="41"/>
      <c r="I222" s="41">
        <v>330</v>
      </c>
      <c r="J222" s="41">
        <f t="shared" si="18"/>
        <v>16.5</v>
      </c>
      <c r="K222" s="41">
        <f t="shared" si="19"/>
        <v>346.5</v>
      </c>
      <c r="L222" s="42" t="s">
        <v>49</v>
      </c>
      <c r="M222" s="10"/>
      <c r="N222" s="10"/>
      <c r="O222" s="10"/>
      <c r="P222" s="10"/>
      <c r="Q222" s="10"/>
      <c r="R222" s="10"/>
      <c r="S222" s="10"/>
      <c r="T222" s="10"/>
    </row>
    <row r="223" spans="2:20" x14ac:dyDescent="0.25">
      <c r="B223" s="58" t="s">
        <v>12</v>
      </c>
      <c r="C223" s="37" t="s">
        <v>588</v>
      </c>
      <c r="D223" s="38">
        <v>45768</v>
      </c>
      <c r="E223" s="32" t="s">
        <v>13</v>
      </c>
      <c r="F223" s="40" t="s">
        <v>595</v>
      </c>
      <c r="G223" s="41">
        <v>6800</v>
      </c>
      <c r="H223" s="41"/>
      <c r="I223" s="41">
        <v>6800</v>
      </c>
      <c r="J223" s="41">
        <f t="shared" si="18"/>
        <v>340</v>
      </c>
      <c r="K223" s="41">
        <f t="shared" si="19"/>
        <v>7140</v>
      </c>
      <c r="L223" s="42" t="s">
        <v>11</v>
      </c>
      <c r="M223" s="10"/>
      <c r="N223" s="10"/>
      <c r="O223" s="10"/>
      <c r="P223" s="10"/>
      <c r="Q223" s="10"/>
      <c r="R223" s="10"/>
      <c r="S223" s="10"/>
      <c r="T223" s="10"/>
    </row>
    <row r="224" spans="2:20" x14ac:dyDescent="0.25">
      <c r="B224" s="58" t="s">
        <v>596</v>
      </c>
      <c r="C224" s="37" t="s">
        <v>589</v>
      </c>
      <c r="D224" s="38">
        <v>45766</v>
      </c>
      <c r="E224" s="32"/>
      <c r="F224" s="40" t="s">
        <v>597</v>
      </c>
      <c r="G224" s="41">
        <v>200</v>
      </c>
      <c r="H224" s="41"/>
      <c r="I224" s="41">
        <v>200</v>
      </c>
      <c r="J224" s="41">
        <f t="shared" si="18"/>
        <v>10</v>
      </c>
      <c r="K224" s="41">
        <f t="shared" si="19"/>
        <v>210</v>
      </c>
      <c r="L224" s="42" t="s">
        <v>11</v>
      </c>
      <c r="M224" s="10"/>
      <c r="N224" s="10"/>
      <c r="O224" s="10"/>
      <c r="P224" s="10"/>
      <c r="Q224" s="10"/>
      <c r="R224" s="10"/>
      <c r="S224" s="10"/>
      <c r="T224" s="10"/>
    </row>
    <row r="225" spans="2:20" x14ac:dyDescent="0.25">
      <c r="B225" s="58" t="s">
        <v>600</v>
      </c>
      <c r="C225" s="37" t="s">
        <v>598</v>
      </c>
      <c r="D225" s="38">
        <v>45768</v>
      </c>
      <c r="E225" s="32"/>
      <c r="F225" s="40" t="s">
        <v>599</v>
      </c>
      <c r="G225" s="41">
        <v>2200</v>
      </c>
      <c r="H225" s="41"/>
      <c r="I225" s="41">
        <v>2200</v>
      </c>
      <c r="J225" s="41">
        <f t="shared" si="18"/>
        <v>110</v>
      </c>
      <c r="K225" s="41">
        <f t="shared" si="19"/>
        <v>2310</v>
      </c>
      <c r="L225" s="42" t="s">
        <v>11</v>
      </c>
      <c r="M225" s="10"/>
      <c r="N225" s="10"/>
      <c r="O225" s="10"/>
      <c r="P225" s="10"/>
      <c r="Q225" s="10"/>
      <c r="R225" s="10"/>
      <c r="S225" s="10"/>
      <c r="T225" s="10"/>
    </row>
    <row r="226" spans="2:20" x14ac:dyDescent="0.25">
      <c r="B226" s="58" t="s">
        <v>601</v>
      </c>
      <c r="C226" s="37" t="s">
        <v>602</v>
      </c>
      <c r="D226" s="38">
        <v>45768</v>
      </c>
      <c r="E226" s="32" t="s">
        <v>603</v>
      </c>
      <c r="F226" s="40" t="s">
        <v>605</v>
      </c>
      <c r="G226" s="41">
        <v>476.19</v>
      </c>
      <c r="H226" s="41"/>
      <c r="I226" s="41">
        <v>476.19</v>
      </c>
      <c r="J226" s="41">
        <f t="shared" si="18"/>
        <v>23.8095</v>
      </c>
      <c r="K226" s="41">
        <f t="shared" si="19"/>
        <v>499.99950000000001</v>
      </c>
      <c r="L226" s="42" t="s">
        <v>49</v>
      </c>
      <c r="M226" s="10"/>
      <c r="N226" s="10"/>
      <c r="O226" s="10"/>
      <c r="P226" s="10"/>
      <c r="Q226" s="10"/>
      <c r="R226" s="10"/>
      <c r="S226" s="10"/>
      <c r="T226" s="10"/>
    </row>
    <row r="227" spans="2:20" x14ac:dyDescent="0.25">
      <c r="B227" s="58" t="s">
        <v>608</v>
      </c>
      <c r="C227" s="37" t="s">
        <v>607</v>
      </c>
      <c r="D227" s="38">
        <v>45768</v>
      </c>
      <c r="E227" s="32"/>
      <c r="F227" s="40" t="s">
        <v>145</v>
      </c>
      <c r="G227" s="41">
        <v>125</v>
      </c>
      <c r="H227" s="41"/>
      <c r="I227" s="41">
        <v>125</v>
      </c>
      <c r="J227" s="41">
        <f t="shared" si="18"/>
        <v>6.25</v>
      </c>
      <c r="K227" s="41">
        <f t="shared" si="19"/>
        <v>131.25</v>
      </c>
      <c r="L227" s="42" t="s">
        <v>11</v>
      </c>
      <c r="M227" s="10"/>
      <c r="N227" s="10"/>
      <c r="O227" s="10"/>
      <c r="P227" s="10"/>
      <c r="Q227" s="10"/>
      <c r="R227" s="10"/>
      <c r="S227" s="10"/>
      <c r="T227" s="10"/>
    </row>
    <row r="228" spans="2:20" x14ac:dyDescent="0.25">
      <c r="B228" s="58" t="s">
        <v>612</v>
      </c>
      <c r="C228" s="37" t="s">
        <v>613</v>
      </c>
      <c r="D228" s="38">
        <v>45770</v>
      </c>
      <c r="E228" s="32" t="s">
        <v>632</v>
      </c>
      <c r="F228" s="40" t="s">
        <v>631</v>
      </c>
      <c r="G228" s="41">
        <v>1000</v>
      </c>
      <c r="H228" s="41"/>
      <c r="I228" s="41">
        <v>1000</v>
      </c>
      <c r="J228" s="41">
        <f t="shared" si="18"/>
        <v>50</v>
      </c>
      <c r="K228" s="41">
        <f t="shared" si="19"/>
        <v>1050</v>
      </c>
      <c r="L228" s="42" t="s">
        <v>57</v>
      </c>
      <c r="M228" s="10"/>
      <c r="N228" s="10"/>
      <c r="O228" s="10"/>
      <c r="P228" s="10"/>
      <c r="Q228" s="10"/>
      <c r="R228" s="10"/>
      <c r="S228" s="10"/>
      <c r="T228" s="10"/>
    </row>
    <row r="229" spans="2:20" x14ac:dyDescent="0.25">
      <c r="B229" s="58" t="s">
        <v>411</v>
      </c>
      <c r="C229" s="37" t="s">
        <v>614</v>
      </c>
      <c r="D229" s="38">
        <v>45770</v>
      </c>
      <c r="E229" s="32" t="s">
        <v>118</v>
      </c>
      <c r="F229" s="40" t="s">
        <v>257</v>
      </c>
      <c r="G229" s="41">
        <v>470</v>
      </c>
      <c r="H229" s="41"/>
      <c r="I229" s="41">
        <v>470</v>
      </c>
      <c r="J229" s="41">
        <f t="shared" si="18"/>
        <v>23.5</v>
      </c>
      <c r="K229" s="41">
        <f t="shared" si="19"/>
        <v>493.5</v>
      </c>
      <c r="L229" s="42" t="s">
        <v>11</v>
      </c>
      <c r="M229" s="10"/>
      <c r="N229" s="10"/>
      <c r="O229" s="10"/>
      <c r="P229" s="10"/>
      <c r="Q229" s="10"/>
      <c r="R229" s="10"/>
      <c r="S229" s="10"/>
      <c r="T229" s="10"/>
    </row>
    <row r="230" spans="2:20" x14ac:dyDescent="0.25">
      <c r="B230" s="58" t="s">
        <v>369</v>
      </c>
      <c r="C230" s="37" t="s">
        <v>615</v>
      </c>
      <c r="D230" s="38">
        <v>45772</v>
      </c>
      <c r="E230" s="32" t="s">
        <v>97</v>
      </c>
      <c r="F230" s="40" t="s">
        <v>634</v>
      </c>
      <c r="G230" s="41">
        <v>3000</v>
      </c>
      <c r="H230" s="41"/>
      <c r="I230" s="41">
        <v>3000</v>
      </c>
      <c r="J230" s="41">
        <f t="shared" si="18"/>
        <v>150</v>
      </c>
      <c r="K230" s="41">
        <f t="shared" si="19"/>
        <v>3150</v>
      </c>
      <c r="L230" s="42" t="s">
        <v>11</v>
      </c>
      <c r="M230" s="10"/>
      <c r="N230" s="10"/>
      <c r="O230" s="10"/>
      <c r="P230" s="10"/>
      <c r="Q230" s="10"/>
      <c r="R230" s="10"/>
      <c r="S230" s="10"/>
      <c r="T230" s="10"/>
    </row>
    <row r="231" spans="2:20" x14ac:dyDescent="0.25">
      <c r="B231" s="58" t="s">
        <v>12</v>
      </c>
      <c r="C231" s="37" t="s">
        <v>616</v>
      </c>
      <c r="D231" s="38">
        <v>45775</v>
      </c>
      <c r="E231" s="32" t="s">
        <v>13</v>
      </c>
      <c r="F231" s="40" t="s">
        <v>635</v>
      </c>
      <c r="G231" s="41">
        <v>7137</v>
      </c>
      <c r="H231" s="41"/>
      <c r="I231" s="41">
        <v>7137</v>
      </c>
      <c r="J231" s="41">
        <f t="shared" si="18"/>
        <v>356.85</v>
      </c>
      <c r="K231" s="41">
        <f t="shared" si="19"/>
        <v>7493.85</v>
      </c>
      <c r="L231" s="42" t="s">
        <v>11</v>
      </c>
      <c r="M231" s="10"/>
      <c r="N231" s="10"/>
      <c r="O231" s="10"/>
      <c r="P231" s="10"/>
      <c r="Q231" s="10"/>
      <c r="R231" s="10"/>
      <c r="S231" s="10"/>
      <c r="T231" s="10"/>
    </row>
    <row r="232" spans="2:20" x14ac:dyDescent="0.25">
      <c r="B232" s="58" t="s">
        <v>312</v>
      </c>
      <c r="C232" s="37" t="s">
        <v>617</v>
      </c>
      <c r="D232" s="38">
        <v>45771</v>
      </c>
      <c r="E232" s="32" t="s">
        <v>313</v>
      </c>
      <c r="F232" s="40" t="s">
        <v>633</v>
      </c>
      <c r="G232" s="41">
        <v>375</v>
      </c>
      <c r="H232" s="41"/>
      <c r="I232" s="41">
        <v>375</v>
      </c>
      <c r="J232" s="41">
        <f t="shared" ref="J232" si="20">G232*5%</f>
        <v>18.75</v>
      </c>
      <c r="K232" s="41">
        <f t="shared" ref="K232" si="21">G232+J232</f>
        <v>393.75</v>
      </c>
      <c r="L232" s="42" t="s">
        <v>11</v>
      </c>
      <c r="M232" s="10"/>
      <c r="N232" s="10"/>
      <c r="O232" s="10"/>
      <c r="P232" s="10"/>
      <c r="Q232" s="10"/>
      <c r="R232" s="10"/>
      <c r="S232" s="10"/>
      <c r="T232" s="10"/>
    </row>
    <row r="233" spans="2:20" x14ac:dyDescent="0.25">
      <c r="B233" s="58" t="s">
        <v>46</v>
      </c>
      <c r="C233" s="37" t="s">
        <v>618</v>
      </c>
      <c r="D233" s="38">
        <v>45772</v>
      </c>
      <c r="E233" s="32"/>
      <c r="F233" s="40" t="s">
        <v>636</v>
      </c>
      <c r="G233" s="41">
        <v>603</v>
      </c>
      <c r="H233" s="41"/>
      <c r="I233" s="41">
        <v>603</v>
      </c>
      <c r="J233" s="41">
        <f t="shared" si="18"/>
        <v>30.150000000000002</v>
      </c>
      <c r="K233" s="41">
        <f t="shared" si="19"/>
        <v>633.15</v>
      </c>
      <c r="L233" s="42" t="s">
        <v>49</v>
      </c>
      <c r="M233" s="10"/>
      <c r="N233" s="10"/>
      <c r="O233" s="10"/>
      <c r="P233" s="10"/>
      <c r="Q233" s="10"/>
      <c r="R233" s="10"/>
      <c r="S233" s="10"/>
      <c r="T233" s="10"/>
    </row>
    <row r="234" spans="2:20" x14ac:dyDescent="0.25">
      <c r="B234" s="58" t="s">
        <v>58</v>
      </c>
      <c r="C234" s="37" t="s">
        <v>619</v>
      </c>
      <c r="D234" s="38">
        <v>45773</v>
      </c>
      <c r="E234" s="32" t="s">
        <v>60</v>
      </c>
      <c r="F234" s="40" t="s">
        <v>637</v>
      </c>
      <c r="G234" s="41">
        <v>4539</v>
      </c>
      <c r="H234" s="41"/>
      <c r="I234" s="41">
        <v>4539</v>
      </c>
      <c r="J234" s="41">
        <f t="shared" si="18"/>
        <v>226.95000000000002</v>
      </c>
      <c r="K234" s="41">
        <f t="shared" si="19"/>
        <v>4765.95</v>
      </c>
      <c r="L234" s="42" t="s">
        <v>11</v>
      </c>
      <c r="M234" s="10"/>
      <c r="N234" s="10"/>
      <c r="O234" s="10"/>
      <c r="P234" s="10"/>
      <c r="Q234" s="10"/>
      <c r="R234" s="10"/>
      <c r="S234" s="10"/>
      <c r="T234" s="10"/>
    </row>
    <row r="235" spans="2:20" x14ac:dyDescent="0.25">
      <c r="B235" s="58" t="s">
        <v>638</v>
      </c>
      <c r="C235" s="37" t="s">
        <v>620</v>
      </c>
      <c r="D235" s="38">
        <v>45773</v>
      </c>
      <c r="E235" s="32"/>
      <c r="F235" s="40" t="s">
        <v>639</v>
      </c>
      <c r="G235" s="41">
        <v>190.48</v>
      </c>
      <c r="H235" s="41"/>
      <c r="I235" s="41">
        <v>190.48</v>
      </c>
      <c r="J235" s="41">
        <f t="shared" si="18"/>
        <v>9.5239999999999991</v>
      </c>
      <c r="K235" s="41">
        <f t="shared" si="19"/>
        <v>200.00399999999999</v>
      </c>
      <c r="L235" s="42" t="s">
        <v>11</v>
      </c>
      <c r="M235" s="10"/>
      <c r="N235" s="10"/>
      <c r="O235" s="10"/>
      <c r="P235" s="10"/>
      <c r="Q235" s="10"/>
      <c r="R235" s="10"/>
      <c r="S235" s="10"/>
      <c r="T235" s="10"/>
    </row>
    <row r="236" spans="2:20" x14ac:dyDescent="0.25">
      <c r="B236" s="58" t="s">
        <v>42</v>
      </c>
      <c r="C236" s="37" t="s">
        <v>621</v>
      </c>
      <c r="D236" s="38">
        <v>45775</v>
      </c>
      <c r="E236" s="32" t="s">
        <v>44</v>
      </c>
      <c r="F236" s="40" t="s">
        <v>639</v>
      </c>
      <c r="G236" s="41">
        <v>851.25</v>
      </c>
      <c r="H236" s="41"/>
      <c r="I236" s="41">
        <v>851.25</v>
      </c>
      <c r="J236" s="41">
        <f t="shared" si="18"/>
        <v>42.5625</v>
      </c>
      <c r="K236" s="41">
        <f t="shared" si="19"/>
        <v>893.8125</v>
      </c>
      <c r="L236" s="42" t="s">
        <v>49</v>
      </c>
      <c r="M236" s="10"/>
      <c r="N236" s="10"/>
      <c r="O236" s="10"/>
      <c r="P236" s="10"/>
      <c r="Q236" s="10"/>
      <c r="R236" s="10"/>
      <c r="S236" s="10"/>
      <c r="T236" s="10"/>
    </row>
    <row r="237" spans="2:20" x14ac:dyDescent="0.25">
      <c r="B237" s="58" t="s">
        <v>105</v>
      </c>
      <c r="C237" s="37" t="s">
        <v>622</v>
      </c>
      <c r="D237" s="38">
        <v>45776</v>
      </c>
      <c r="E237" s="32" t="s">
        <v>108</v>
      </c>
      <c r="F237" s="40" t="s">
        <v>640</v>
      </c>
      <c r="G237" s="41">
        <v>3602.5</v>
      </c>
      <c r="H237" s="41"/>
      <c r="I237" s="41">
        <v>3602.5</v>
      </c>
      <c r="J237" s="41">
        <f t="shared" si="18"/>
        <v>180.125</v>
      </c>
      <c r="K237" s="41">
        <f t="shared" si="19"/>
        <v>3782.625</v>
      </c>
      <c r="L237" s="42" t="s">
        <v>11</v>
      </c>
      <c r="M237" s="10"/>
      <c r="N237" s="10"/>
      <c r="O237" s="10"/>
      <c r="P237" s="10"/>
      <c r="Q237" s="10"/>
      <c r="R237" s="10"/>
      <c r="S237" s="10"/>
      <c r="T237" s="10"/>
    </row>
    <row r="238" spans="2:20" x14ac:dyDescent="0.25">
      <c r="B238" s="58" t="s">
        <v>601</v>
      </c>
      <c r="C238" s="37" t="s">
        <v>623</v>
      </c>
      <c r="D238" s="38">
        <v>45772</v>
      </c>
      <c r="E238" s="32" t="s">
        <v>603</v>
      </c>
      <c r="F238" s="40" t="s">
        <v>641</v>
      </c>
      <c r="G238" s="41">
        <v>775</v>
      </c>
      <c r="H238" s="41"/>
      <c r="I238" s="41">
        <v>775</v>
      </c>
      <c r="J238" s="41">
        <f t="shared" si="18"/>
        <v>38.75</v>
      </c>
      <c r="K238" s="41">
        <f t="shared" si="19"/>
        <v>813.75</v>
      </c>
      <c r="L238" s="42" t="s">
        <v>49</v>
      </c>
      <c r="M238" s="10"/>
      <c r="N238" s="10"/>
      <c r="O238" s="10"/>
      <c r="P238" s="10"/>
      <c r="Q238" s="10"/>
      <c r="R238" s="10"/>
      <c r="S238" s="10"/>
      <c r="T238" s="10"/>
    </row>
    <row r="239" spans="2:20" x14ac:dyDescent="0.25">
      <c r="B239" s="58" t="s">
        <v>144</v>
      </c>
      <c r="C239" s="37" t="s">
        <v>624</v>
      </c>
      <c r="D239" s="38">
        <v>45776</v>
      </c>
      <c r="E239" s="32"/>
      <c r="F239" s="40" t="s">
        <v>549</v>
      </c>
      <c r="G239" s="41">
        <v>285</v>
      </c>
      <c r="H239" s="41"/>
      <c r="I239" s="41">
        <v>285</v>
      </c>
      <c r="J239" s="41">
        <f t="shared" si="18"/>
        <v>14.25</v>
      </c>
      <c r="K239" s="41">
        <f t="shared" si="19"/>
        <v>299.25</v>
      </c>
      <c r="L239" s="42" t="s">
        <v>11</v>
      </c>
      <c r="M239" s="10"/>
      <c r="N239" s="10"/>
      <c r="O239" s="10"/>
      <c r="P239" s="10"/>
      <c r="Q239" s="10"/>
      <c r="R239" s="10"/>
      <c r="S239" s="10"/>
      <c r="T239" s="10"/>
    </row>
    <row r="240" spans="2:20" x14ac:dyDescent="0.25">
      <c r="B240" s="58" t="s">
        <v>642</v>
      </c>
      <c r="C240" s="37" t="s">
        <v>625</v>
      </c>
      <c r="D240" s="38">
        <v>45804</v>
      </c>
      <c r="E240" s="32" t="s">
        <v>643</v>
      </c>
      <c r="F240" s="40" t="s">
        <v>644</v>
      </c>
      <c r="G240" s="41">
        <v>142.86000000000001</v>
      </c>
      <c r="H240" s="41"/>
      <c r="I240" s="41">
        <v>1658.5</v>
      </c>
      <c r="J240" s="41">
        <f t="shared" si="18"/>
        <v>7.1430000000000007</v>
      </c>
      <c r="K240" s="41">
        <f t="shared" si="19"/>
        <v>150.00300000000001</v>
      </c>
      <c r="L240" s="42" t="s">
        <v>11</v>
      </c>
      <c r="M240" s="10"/>
      <c r="N240" s="10"/>
      <c r="O240" s="10"/>
      <c r="P240" s="10"/>
      <c r="Q240" s="10"/>
      <c r="R240" s="10"/>
      <c r="S240" s="10"/>
      <c r="T240" s="10"/>
    </row>
    <row r="241" spans="2:20" x14ac:dyDescent="0.25">
      <c r="B241" s="58" t="s">
        <v>645</v>
      </c>
      <c r="C241" s="37" t="s">
        <v>626</v>
      </c>
      <c r="D241" s="38">
        <v>45782</v>
      </c>
      <c r="E241" s="32"/>
      <c r="F241" s="40" t="s">
        <v>646</v>
      </c>
      <c r="G241" s="41">
        <v>2070</v>
      </c>
      <c r="H241" s="41"/>
      <c r="I241" s="41">
        <v>2070</v>
      </c>
      <c r="J241" s="41">
        <f t="shared" si="18"/>
        <v>103.5</v>
      </c>
      <c r="K241" s="41">
        <f t="shared" si="19"/>
        <v>2173.5</v>
      </c>
      <c r="L241" s="42" t="s">
        <v>49</v>
      </c>
      <c r="M241" s="10"/>
      <c r="N241" s="10"/>
      <c r="O241" s="10"/>
      <c r="P241" s="10"/>
      <c r="Q241" s="10"/>
      <c r="R241" s="10"/>
      <c r="S241" s="10"/>
      <c r="T241" s="10"/>
    </row>
    <row r="242" spans="2:20" x14ac:dyDescent="0.25">
      <c r="B242" s="58" t="s">
        <v>647</v>
      </c>
      <c r="C242" s="37" t="s">
        <v>627</v>
      </c>
      <c r="D242" s="38">
        <v>45782</v>
      </c>
      <c r="E242" s="32" t="s">
        <v>648</v>
      </c>
      <c r="F242" s="40" t="s">
        <v>649</v>
      </c>
      <c r="G242" s="41">
        <v>8400</v>
      </c>
      <c r="H242" s="41"/>
      <c r="I242" s="41">
        <v>8400</v>
      </c>
      <c r="J242" s="41">
        <f t="shared" si="18"/>
        <v>420</v>
      </c>
      <c r="K242" s="41">
        <f t="shared" si="19"/>
        <v>8820</v>
      </c>
      <c r="L242" s="42" t="s">
        <v>11</v>
      </c>
      <c r="M242" s="10"/>
      <c r="N242" s="10"/>
      <c r="O242" s="10"/>
      <c r="P242" s="10"/>
      <c r="Q242" s="10"/>
      <c r="R242" s="10"/>
      <c r="S242" s="10"/>
      <c r="T242" s="10"/>
    </row>
    <row r="243" spans="2:20" x14ac:dyDescent="0.25">
      <c r="B243" s="58" t="s">
        <v>96</v>
      </c>
      <c r="C243" s="37" t="s">
        <v>628</v>
      </c>
      <c r="D243" s="38">
        <v>45777</v>
      </c>
      <c r="E243" s="32" t="s">
        <v>97</v>
      </c>
      <c r="F243" s="40" t="s">
        <v>98</v>
      </c>
      <c r="G243" s="41">
        <v>780</v>
      </c>
      <c r="H243" s="41"/>
      <c r="I243" s="41">
        <v>780</v>
      </c>
      <c r="J243" s="41">
        <f t="shared" si="18"/>
        <v>39</v>
      </c>
      <c r="K243" s="41">
        <f t="shared" si="19"/>
        <v>819</v>
      </c>
      <c r="L243" s="42" t="s">
        <v>11</v>
      </c>
      <c r="M243" s="10"/>
      <c r="N243" s="10"/>
      <c r="O243" s="10"/>
      <c r="P243" s="10"/>
      <c r="Q243" s="10"/>
      <c r="R243" s="10"/>
      <c r="S243" s="10"/>
      <c r="T243" s="10"/>
    </row>
    <row r="244" spans="2:20" x14ac:dyDescent="0.25">
      <c r="B244" s="58" t="s">
        <v>307</v>
      </c>
      <c r="C244" s="37" t="s">
        <v>629</v>
      </c>
      <c r="D244" s="38">
        <v>45777</v>
      </c>
      <c r="E244" s="32" t="s">
        <v>308</v>
      </c>
      <c r="F244" s="40" t="s">
        <v>650</v>
      </c>
      <c r="G244" s="41">
        <v>360</v>
      </c>
      <c r="H244" s="41"/>
      <c r="I244" s="41">
        <v>360</v>
      </c>
      <c r="J244" s="41">
        <f t="shared" si="18"/>
        <v>18</v>
      </c>
      <c r="K244" s="41">
        <f t="shared" si="19"/>
        <v>378</v>
      </c>
      <c r="L244" s="42" t="s">
        <v>49</v>
      </c>
      <c r="M244" s="10"/>
      <c r="N244" s="10"/>
      <c r="O244" s="10"/>
      <c r="P244" s="10"/>
      <c r="Q244" s="10"/>
      <c r="R244" s="10"/>
      <c r="S244" s="10"/>
      <c r="T244" s="10"/>
    </row>
    <row r="245" spans="2:20" x14ac:dyDescent="0.25">
      <c r="B245" s="58" t="s">
        <v>42</v>
      </c>
      <c r="C245" s="37" t="s">
        <v>630</v>
      </c>
      <c r="D245" s="38">
        <v>45777</v>
      </c>
      <c r="E245" s="32" t="s">
        <v>44</v>
      </c>
      <c r="F245" s="40" t="s">
        <v>651</v>
      </c>
      <c r="G245" s="41">
        <v>3790</v>
      </c>
      <c r="H245" s="41"/>
      <c r="I245" s="41">
        <v>3790</v>
      </c>
      <c r="J245" s="41">
        <f t="shared" si="18"/>
        <v>189.5</v>
      </c>
      <c r="K245" s="41">
        <f t="shared" si="19"/>
        <v>3979.5</v>
      </c>
      <c r="L245" s="42" t="s">
        <v>49</v>
      </c>
      <c r="M245" s="10"/>
      <c r="N245" s="10"/>
      <c r="O245" s="10"/>
      <c r="P245" s="10"/>
      <c r="Q245" s="10"/>
      <c r="R245" s="10"/>
      <c r="S245" s="10"/>
      <c r="T245" s="10"/>
    </row>
    <row r="246" spans="2:20" x14ac:dyDescent="0.25">
      <c r="B246" s="58" t="s">
        <v>652</v>
      </c>
      <c r="C246" s="37" t="s">
        <v>653</v>
      </c>
      <c r="D246" s="38">
        <v>45777</v>
      </c>
      <c r="E246" s="32"/>
      <c r="F246" s="40" t="s">
        <v>662</v>
      </c>
      <c r="G246" s="41">
        <v>18750</v>
      </c>
      <c r="H246" s="41"/>
      <c r="I246" s="41">
        <v>18750</v>
      </c>
      <c r="J246" s="41">
        <f t="shared" si="18"/>
        <v>937.5</v>
      </c>
      <c r="K246" s="41">
        <f t="shared" si="19"/>
        <v>19687.5</v>
      </c>
      <c r="L246" s="42" t="s">
        <v>11</v>
      </c>
      <c r="M246" s="10"/>
      <c r="N246" s="10"/>
      <c r="O246" s="10"/>
      <c r="P246" s="10"/>
      <c r="Q246" s="10"/>
      <c r="R246" s="10"/>
      <c r="S246" s="10"/>
      <c r="T246" s="10"/>
    </row>
    <row r="247" spans="2:20" x14ac:dyDescent="0.25">
      <c r="B247" s="58" t="s">
        <v>463</v>
      </c>
      <c r="C247" s="37" t="s">
        <v>654</v>
      </c>
      <c r="D247" s="38">
        <v>45777</v>
      </c>
      <c r="E247" s="32" t="s">
        <v>464</v>
      </c>
      <c r="F247" s="40" t="s">
        <v>663</v>
      </c>
      <c r="G247" s="41">
        <v>2135</v>
      </c>
      <c r="H247" s="41"/>
      <c r="I247" s="41">
        <v>2135</v>
      </c>
      <c r="J247" s="41">
        <f t="shared" si="18"/>
        <v>106.75</v>
      </c>
      <c r="K247" s="41">
        <f t="shared" si="19"/>
        <v>2241.75</v>
      </c>
      <c r="L247" s="42" t="s">
        <v>11</v>
      </c>
      <c r="M247" s="10"/>
      <c r="N247" s="10"/>
      <c r="O247" s="10"/>
      <c r="P247" s="10"/>
      <c r="Q247" s="10"/>
      <c r="R247" s="10"/>
      <c r="S247" s="10"/>
      <c r="T247" s="10"/>
    </row>
    <row r="248" spans="2:20" x14ac:dyDescent="0.25">
      <c r="B248" s="58" t="s">
        <v>12</v>
      </c>
      <c r="C248" s="37" t="s">
        <v>655</v>
      </c>
      <c r="D248" s="38">
        <v>45777</v>
      </c>
      <c r="E248" s="32" t="s">
        <v>13</v>
      </c>
      <c r="F248" s="40" t="s">
        <v>664</v>
      </c>
      <c r="G248" s="41">
        <v>390</v>
      </c>
      <c r="H248" s="41"/>
      <c r="I248" s="41">
        <v>390</v>
      </c>
      <c r="J248" s="41">
        <f t="shared" si="18"/>
        <v>19.5</v>
      </c>
      <c r="K248" s="41">
        <f t="shared" si="19"/>
        <v>409.5</v>
      </c>
      <c r="L248" s="42" t="s">
        <v>11</v>
      </c>
      <c r="M248" s="10"/>
      <c r="N248" s="10"/>
      <c r="O248" s="10"/>
      <c r="P248" s="10"/>
      <c r="Q248" s="10"/>
      <c r="R248" s="10"/>
      <c r="S248" s="10"/>
      <c r="T248" s="10"/>
    </row>
    <row r="249" spans="2:20" x14ac:dyDescent="0.25">
      <c r="B249" s="58" t="s">
        <v>12</v>
      </c>
      <c r="C249" s="37" t="s">
        <v>656</v>
      </c>
      <c r="D249" s="38">
        <v>45777</v>
      </c>
      <c r="E249" s="32" t="s">
        <v>13</v>
      </c>
      <c r="F249" s="40" t="s">
        <v>665</v>
      </c>
      <c r="G249" s="41">
        <v>13288.5</v>
      </c>
      <c r="H249" s="41"/>
      <c r="I249" s="41">
        <v>13288.5</v>
      </c>
      <c r="J249" s="41">
        <f t="shared" si="18"/>
        <v>664.42500000000007</v>
      </c>
      <c r="K249" s="41">
        <f t="shared" si="19"/>
        <v>13952.924999999999</v>
      </c>
      <c r="L249" s="42" t="s">
        <v>11</v>
      </c>
      <c r="M249" s="10"/>
      <c r="N249" s="10"/>
      <c r="O249" s="10"/>
      <c r="P249" s="10"/>
      <c r="Q249" s="10"/>
      <c r="R249" s="10"/>
      <c r="S249" s="10"/>
      <c r="T249" s="10"/>
    </row>
    <row r="250" spans="2:20" x14ac:dyDescent="0.25">
      <c r="B250" s="58" t="s">
        <v>68</v>
      </c>
      <c r="C250" s="37" t="s">
        <v>657</v>
      </c>
      <c r="D250" s="38">
        <v>45777</v>
      </c>
      <c r="E250" s="32" t="s">
        <v>78</v>
      </c>
      <c r="F250" s="40" t="s">
        <v>667</v>
      </c>
      <c r="G250" s="41">
        <v>375</v>
      </c>
      <c r="H250" s="41"/>
      <c r="I250" s="41">
        <v>375</v>
      </c>
      <c r="J250" s="41">
        <f t="shared" si="18"/>
        <v>18.75</v>
      </c>
      <c r="K250" s="41">
        <f t="shared" si="19"/>
        <v>393.75</v>
      </c>
      <c r="L250" s="42" t="s">
        <v>11</v>
      </c>
      <c r="M250" s="10"/>
      <c r="N250" s="10"/>
      <c r="O250" s="10"/>
      <c r="P250" s="10"/>
      <c r="Q250" s="10"/>
      <c r="R250" s="10"/>
      <c r="S250" s="10"/>
      <c r="T250" s="10"/>
    </row>
    <row r="251" spans="2:20" x14ac:dyDescent="0.25">
      <c r="B251" s="58" t="s">
        <v>666</v>
      </c>
      <c r="C251" s="37" t="s">
        <v>658</v>
      </c>
      <c r="D251" s="38">
        <v>45784</v>
      </c>
      <c r="E251" s="32" t="s">
        <v>669</v>
      </c>
      <c r="F251" s="40" t="s">
        <v>668</v>
      </c>
      <c r="G251" s="41">
        <v>1965</v>
      </c>
      <c r="H251" s="41"/>
      <c r="I251" s="41">
        <v>1965</v>
      </c>
      <c r="J251" s="41">
        <f t="shared" si="18"/>
        <v>98.25</v>
      </c>
      <c r="K251" s="41">
        <f t="shared" si="19"/>
        <v>2063.25</v>
      </c>
      <c r="L251" s="42" t="s">
        <v>11</v>
      </c>
      <c r="M251" s="10"/>
      <c r="N251" s="10"/>
      <c r="O251" s="10"/>
      <c r="P251" s="10"/>
      <c r="Q251" s="10"/>
      <c r="R251" s="10"/>
      <c r="S251" s="10"/>
      <c r="T251" s="10"/>
    </row>
    <row r="252" spans="2:20" x14ac:dyDescent="0.25">
      <c r="B252" s="71" t="s">
        <v>670</v>
      </c>
      <c r="C252" s="68" t="s">
        <v>659</v>
      </c>
      <c r="D252" s="69">
        <v>45777</v>
      </c>
      <c r="E252" s="70"/>
      <c r="F252" s="71" t="s">
        <v>1482</v>
      </c>
      <c r="G252" s="72"/>
      <c r="H252" s="72"/>
      <c r="I252" s="72"/>
      <c r="J252" s="72"/>
      <c r="K252" s="72"/>
      <c r="L252" s="73"/>
      <c r="M252" s="10"/>
      <c r="N252" s="10"/>
      <c r="O252" s="10"/>
      <c r="P252" s="10"/>
      <c r="Q252" s="10"/>
      <c r="R252" s="10"/>
      <c r="S252" s="10"/>
      <c r="T252" s="10"/>
    </row>
    <row r="253" spans="2:20" x14ac:dyDescent="0.25">
      <c r="B253" s="58" t="s">
        <v>99</v>
      </c>
      <c r="C253" s="46" t="s">
        <v>660</v>
      </c>
      <c r="D253" s="38">
        <v>45779</v>
      </c>
      <c r="E253" s="32"/>
      <c r="F253" s="40" t="s">
        <v>102</v>
      </c>
      <c r="G253" s="41">
        <v>180</v>
      </c>
      <c r="H253" s="41"/>
      <c r="I253" s="41">
        <v>180</v>
      </c>
      <c r="J253" s="41">
        <f t="shared" ref="J253:J315" si="22">G253*5%</f>
        <v>9</v>
      </c>
      <c r="K253" s="41">
        <f t="shared" ref="K253:K315" si="23">G253+J253</f>
        <v>189</v>
      </c>
      <c r="L253" s="42" t="s">
        <v>11</v>
      </c>
      <c r="M253" s="10"/>
      <c r="N253" s="10"/>
      <c r="O253" s="10"/>
      <c r="P253" s="10"/>
      <c r="Q253" s="10"/>
      <c r="R253" s="10"/>
      <c r="S253" s="10"/>
      <c r="T253" s="10"/>
    </row>
    <row r="254" spans="2:20" x14ac:dyDescent="0.25">
      <c r="B254" s="58" t="s">
        <v>242</v>
      </c>
      <c r="C254" s="37" t="s">
        <v>661</v>
      </c>
      <c r="D254" s="38">
        <v>45777</v>
      </c>
      <c r="E254" s="32" t="s">
        <v>243</v>
      </c>
      <c r="F254" s="40" t="s">
        <v>671</v>
      </c>
      <c r="G254" s="41">
        <v>75</v>
      </c>
      <c r="H254" s="41"/>
      <c r="I254" s="41">
        <v>75</v>
      </c>
      <c r="J254" s="41">
        <f t="shared" si="22"/>
        <v>3.75</v>
      </c>
      <c r="K254" s="41">
        <f t="shared" si="23"/>
        <v>78.75</v>
      </c>
      <c r="L254" s="42" t="s">
        <v>11</v>
      </c>
      <c r="M254" s="10"/>
      <c r="N254" s="10"/>
      <c r="O254" s="10"/>
      <c r="P254" s="10"/>
      <c r="Q254" s="10"/>
      <c r="R254" s="10"/>
      <c r="S254" s="10"/>
      <c r="T254" s="10"/>
    </row>
    <row r="255" spans="2:20" x14ac:dyDescent="0.25">
      <c r="B255" s="58" t="s">
        <v>240</v>
      </c>
      <c r="C255" s="37" t="s">
        <v>672</v>
      </c>
      <c r="D255" s="38">
        <v>45777</v>
      </c>
      <c r="E255" s="32" t="s">
        <v>243</v>
      </c>
      <c r="F255" s="40" t="s">
        <v>671</v>
      </c>
      <c r="G255" s="41">
        <v>75</v>
      </c>
      <c r="H255" s="41"/>
      <c r="I255" s="41">
        <v>75</v>
      </c>
      <c r="J255" s="41">
        <f t="shared" si="22"/>
        <v>3.75</v>
      </c>
      <c r="K255" s="41">
        <f t="shared" si="23"/>
        <v>78.75</v>
      </c>
      <c r="L255" s="42" t="s">
        <v>11</v>
      </c>
      <c r="M255" s="10"/>
      <c r="N255" s="10"/>
      <c r="O255" s="10"/>
      <c r="P255" s="10"/>
      <c r="Q255" s="10"/>
      <c r="R255" s="10"/>
      <c r="S255" s="10"/>
      <c r="T255" s="10"/>
    </row>
    <row r="256" spans="2:20" x14ac:dyDescent="0.25">
      <c r="B256" s="58" t="s">
        <v>46</v>
      </c>
      <c r="C256" s="46" t="s">
        <v>673</v>
      </c>
      <c r="D256" s="38">
        <v>45779</v>
      </c>
      <c r="E256" s="32"/>
      <c r="F256" s="40" t="s">
        <v>675</v>
      </c>
      <c r="G256" s="41">
        <v>400</v>
      </c>
      <c r="H256" s="41"/>
      <c r="I256" s="41">
        <v>400</v>
      </c>
      <c r="J256" s="41">
        <f t="shared" si="22"/>
        <v>20</v>
      </c>
      <c r="K256" s="41">
        <f t="shared" si="23"/>
        <v>420</v>
      </c>
      <c r="L256" s="42" t="s">
        <v>11</v>
      </c>
      <c r="M256" s="10"/>
      <c r="N256" s="10"/>
      <c r="O256" s="10"/>
      <c r="P256" s="10"/>
      <c r="Q256" s="10"/>
      <c r="R256" s="10"/>
      <c r="S256" s="10"/>
      <c r="T256" s="10"/>
    </row>
    <row r="257" spans="2:20" x14ac:dyDescent="0.25">
      <c r="B257" s="58" t="s">
        <v>216</v>
      </c>
      <c r="C257" s="37" t="s">
        <v>674</v>
      </c>
      <c r="D257" s="38">
        <v>45780</v>
      </c>
      <c r="E257" s="32" t="s">
        <v>217</v>
      </c>
      <c r="F257" s="40" t="s">
        <v>676</v>
      </c>
      <c r="G257" s="41">
        <v>315</v>
      </c>
      <c r="H257" s="41"/>
      <c r="I257" s="41">
        <v>315</v>
      </c>
      <c r="J257" s="41">
        <f t="shared" si="22"/>
        <v>15.75</v>
      </c>
      <c r="K257" s="41">
        <f t="shared" si="23"/>
        <v>330.75</v>
      </c>
      <c r="L257" s="42" t="s">
        <v>11</v>
      </c>
      <c r="M257" s="10"/>
      <c r="N257" s="10"/>
      <c r="O257" s="10"/>
      <c r="P257" s="10"/>
      <c r="Q257" s="10"/>
      <c r="R257" s="10"/>
      <c r="S257" s="10"/>
      <c r="T257" s="10"/>
    </row>
    <row r="258" spans="2:20" x14ac:dyDescent="0.25">
      <c r="B258" s="58" t="s">
        <v>690</v>
      </c>
      <c r="C258" s="37" t="s">
        <v>677</v>
      </c>
      <c r="D258" s="38">
        <v>45782</v>
      </c>
      <c r="E258" s="32"/>
      <c r="F258" s="40" t="s">
        <v>691</v>
      </c>
      <c r="G258" s="41">
        <v>8957.75</v>
      </c>
      <c r="H258" s="41"/>
      <c r="I258" s="41">
        <v>8957.75</v>
      </c>
      <c r="J258" s="41">
        <f t="shared" si="22"/>
        <v>447.88750000000005</v>
      </c>
      <c r="K258" s="41">
        <f t="shared" si="23"/>
        <v>9405.6375000000007</v>
      </c>
      <c r="L258" s="42" t="s">
        <v>49</v>
      </c>
      <c r="M258" s="10"/>
      <c r="N258" s="10"/>
      <c r="O258" s="10"/>
      <c r="P258" s="10"/>
      <c r="Q258" s="10"/>
      <c r="R258" s="10"/>
      <c r="S258" s="10"/>
      <c r="T258" s="10"/>
    </row>
    <row r="259" spans="2:20" x14ac:dyDescent="0.25">
      <c r="B259" s="58" t="s">
        <v>692</v>
      </c>
      <c r="C259" s="37" t="s">
        <v>678</v>
      </c>
      <c r="D259" s="38">
        <v>45789</v>
      </c>
      <c r="E259" s="32" t="s">
        <v>694</v>
      </c>
      <c r="F259" s="40" t="s">
        <v>693</v>
      </c>
      <c r="G259" s="41">
        <v>572.75</v>
      </c>
      <c r="H259" s="41"/>
      <c r="I259" s="41">
        <v>572.75</v>
      </c>
      <c r="J259" s="41">
        <f t="shared" si="22"/>
        <v>28.637500000000003</v>
      </c>
      <c r="K259" s="41">
        <f t="shared" si="23"/>
        <v>601.38750000000005</v>
      </c>
      <c r="L259" s="42" t="s">
        <v>11</v>
      </c>
      <c r="M259" s="10"/>
      <c r="N259" s="10"/>
      <c r="O259" s="10"/>
      <c r="P259" s="10"/>
      <c r="Q259" s="10"/>
      <c r="R259" s="10"/>
      <c r="S259" s="10"/>
      <c r="T259" s="10"/>
    </row>
    <row r="260" spans="2:20" x14ac:dyDescent="0.25">
      <c r="B260" s="58" t="s">
        <v>695</v>
      </c>
      <c r="C260" s="37" t="s">
        <v>679</v>
      </c>
      <c r="D260" s="38">
        <v>45782</v>
      </c>
      <c r="E260" s="32"/>
      <c r="F260" s="40" t="s">
        <v>696</v>
      </c>
      <c r="G260" s="41">
        <v>271.43</v>
      </c>
      <c r="H260" s="41"/>
      <c r="I260" s="41">
        <v>271.43</v>
      </c>
      <c r="J260" s="41">
        <f t="shared" si="22"/>
        <v>13.5715</v>
      </c>
      <c r="K260" s="41">
        <f t="shared" si="23"/>
        <v>285.00150000000002</v>
      </c>
      <c r="L260" s="42" t="s">
        <v>49</v>
      </c>
      <c r="M260" s="10"/>
      <c r="N260" s="10"/>
      <c r="O260" s="10"/>
      <c r="P260" s="10"/>
      <c r="Q260" s="10"/>
      <c r="R260" s="10"/>
      <c r="S260" s="10"/>
      <c r="T260" s="10"/>
    </row>
    <row r="261" spans="2:20" x14ac:dyDescent="0.25">
      <c r="B261" s="58" t="s">
        <v>216</v>
      </c>
      <c r="C261" s="37" t="s">
        <v>680</v>
      </c>
      <c r="D261" s="38">
        <v>45783</v>
      </c>
      <c r="E261" s="32" t="s">
        <v>217</v>
      </c>
      <c r="F261" s="40" t="s">
        <v>697</v>
      </c>
      <c r="G261" s="41">
        <v>365</v>
      </c>
      <c r="H261" s="41"/>
      <c r="I261" s="41">
        <v>365</v>
      </c>
      <c r="J261" s="41">
        <f t="shared" si="22"/>
        <v>18.25</v>
      </c>
      <c r="K261" s="41">
        <f t="shared" si="23"/>
        <v>383.25</v>
      </c>
      <c r="L261" s="42" t="s">
        <v>11</v>
      </c>
      <c r="M261" s="10"/>
      <c r="N261" s="10"/>
      <c r="O261" s="10"/>
      <c r="P261" s="10"/>
      <c r="Q261" s="10"/>
      <c r="R261" s="10"/>
      <c r="S261" s="10"/>
      <c r="T261" s="10"/>
    </row>
    <row r="262" spans="2:20" x14ac:dyDescent="0.25">
      <c r="B262" s="58" t="s">
        <v>295</v>
      </c>
      <c r="C262" s="37" t="s">
        <v>681</v>
      </c>
      <c r="D262" s="38">
        <v>45778</v>
      </c>
      <c r="E262" s="32"/>
      <c r="F262" s="40" t="s">
        <v>698</v>
      </c>
      <c r="G262" s="41">
        <v>2100</v>
      </c>
      <c r="H262" s="41"/>
      <c r="I262" s="41">
        <v>2100</v>
      </c>
      <c r="J262" s="41">
        <f t="shared" si="22"/>
        <v>105</v>
      </c>
      <c r="K262" s="41">
        <f t="shared" si="23"/>
        <v>2205</v>
      </c>
      <c r="L262" s="42" t="s">
        <v>11</v>
      </c>
      <c r="M262" s="10"/>
      <c r="N262" s="10"/>
      <c r="O262" s="10"/>
      <c r="P262" s="10"/>
      <c r="Q262" s="10"/>
      <c r="R262" s="10"/>
      <c r="S262" s="10"/>
      <c r="T262" s="10"/>
    </row>
    <row r="263" spans="2:20" x14ac:dyDescent="0.25">
      <c r="B263" s="58" t="s">
        <v>699</v>
      </c>
      <c r="C263" s="37" t="s">
        <v>682</v>
      </c>
      <c r="D263" s="38">
        <v>45782</v>
      </c>
      <c r="E263" s="32" t="s">
        <v>700</v>
      </c>
      <c r="F263" s="40" t="s">
        <v>701</v>
      </c>
      <c r="G263" s="41">
        <v>2730</v>
      </c>
      <c r="H263" s="41"/>
      <c r="I263" s="41">
        <v>2730</v>
      </c>
      <c r="J263" s="41">
        <f t="shared" si="22"/>
        <v>136.5</v>
      </c>
      <c r="K263" s="41">
        <f t="shared" si="23"/>
        <v>2866.5</v>
      </c>
      <c r="L263" s="42" t="s">
        <v>11</v>
      </c>
      <c r="M263" s="10"/>
      <c r="N263" s="10"/>
      <c r="O263" s="10"/>
      <c r="P263" s="10"/>
      <c r="Q263" s="10"/>
      <c r="R263" s="10"/>
      <c r="S263" s="10"/>
      <c r="T263" s="10"/>
    </row>
    <row r="264" spans="2:20" x14ac:dyDescent="0.25">
      <c r="B264" s="58" t="s">
        <v>283</v>
      </c>
      <c r="C264" s="37" t="s">
        <v>683</v>
      </c>
      <c r="D264" s="38">
        <v>45783</v>
      </c>
      <c r="E264" s="32" t="s">
        <v>284</v>
      </c>
      <c r="F264" s="40" t="s">
        <v>257</v>
      </c>
      <c r="G264" s="41">
        <v>385</v>
      </c>
      <c r="H264" s="41"/>
      <c r="I264" s="41">
        <v>385</v>
      </c>
      <c r="J264" s="41">
        <f t="shared" si="22"/>
        <v>19.25</v>
      </c>
      <c r="K264" s="41">
        <f t="shared" si="23"/>
        <v>404.25</v>
      </c>
      <c r="L264" s="42" t="s">
        <v>11</v>
      </c>
      <c r="M264" s="10"/>
      <c r="N264" s="10"/>
      <c r="O264" s="10"/>
      <c r="P264" s="10"/>
      <c r="Q264" s="10"/>
      <c r="R264" s="10"/>
      <c r="S264" s="10"/>
      <c r="T264" s="10"/>
    </row>
    <row r="265" spans="2:20" x14ac:dyDescent="0.25">
      <c r="B265" s="58" t="s">
        <v>702</v>
      </c>
      <c r="C265" s="46" t="s">
        <v>684</v>
      </c>
      <c r="D265" s="38">
        <v>45777</v>
      </c>
      <c r="E265" s="32" t="s">
        <v>703</v>
      </c>
      <c r="F265" s="40" t="s">
        <v>461</v>
      </c>
      <c r="G265" s="41">
        <v>1200</v>
      </c>
      <c r="H265" s="41"/>
      <c r="I265" s="41">
        <v>1200</v>
      </c>
      <c r="J265" s="41">
        <f t="shared" si="22"/>
        <v>60</v>
      </c>
      <c r="K265" s="41">
        <f t="shared" si="23"/>
        <v>1260</v>
      </c>
      <c r="L265" s="42" t="s">
        <v>11</v>
      </c>
      <c r="M265" s="10"/>
      <c r="N265" s="10"/>
      <c r="O265" s="10"/>
      <c r="P265" s="10"/>
      <c r="Q265" s="10"/>
      <c r="R265" s="10"/>
      <c r="S265" s="10"/>
      <c r="T265" s="10"/>
    </row>
    <row r="266" spans="2:20" x14ac:dyDescent="0.25">
      <c r="B266" s="58" t="s">
        <v>704</v>
      </c>
      <c r="C266" s="37" t="s">
        <v>685</v>
      </c>
      <c r="D266" s="38">
        <v>45783</v>
      </c>
      <c r="E266" s="32" t="s">
        <v>705</v>
      </c>
      <c r="F266" s="40" t="s">
        <v>706</v>
      </c>
      <c r="G266" s="41">
        <v>225</v>
      </c>
      <c r="H266" s="41"/>
      <c r="I266" s="41">
        <v>225</v>
      </c>
      <c r="J266" s="41">
        <f t="shared" si="22"/>
        <v>11.25</v>
      </c>
      <c r="K266" s="41">
        <f t="shared" si="23"/>
        <v>236.25</v>
      </c>
      <c r="L266" s="42" t="s">
        <v>11</v>
      </c>
      <c r="M266" s="10"/>
      <c r="N266" s="10"/>
      <c r="O266" s="10"/>
      <c r="P266" s="10"/>
      <c r="Q266" s="10"/>
      <c r="R266" s="10"/>
      <c r="S266" s="10"/>
      <c r="T266" s="10"/>
    </row>
    <row r="267" spans="2:20" x14ac:dyDescent="0.25">
      <c r="B267" s="58" t="s">
        <v>707</v>
      </c>
      <c r="C267" s="37" t="s">
        <v>686</v>
      </c>
      <c r="D267" s="38">
        <v>45785</v>
      </c>
      <c r="E267" s="32" t="s">
        <v>356</v>
      </c>
      <c r="F267" s="40" t="s">
        <v>708</v>
      </c>
      <c r="G267" s="41">
        <v>274.5</v>
      </c>
      <c r="H267" s="41"/>
      <c r="I267" s="41">
        <v>274.5</v>
      </c>
      <c r="J267" s="41">
        <f t="shared" si="22"/>
        <v>13.725000000000001</v>
      </c>
      <c r="K267" s="41">
        <f t="shared" si="23"/>
        <v>288.22500000000002</v>
      </c>
      <c r="L267" s="42" t="s">
        <v>11</v>
      </c>
      <c r="M267" s="10"/>
      <c r="N267" s="10"/>
      <c r="O267" s="10"/>
      <c r="P267" s="10"/>
      <c r="Q267" s="10"/>
      <c r="R267" s="10"/>
      <c r="S267" s="10"/>
      <c r="T267" s="10"/>
    </row>
    <row r="268" spans="2:20" x14ac:dyDescent="0.25">
      <c r="B268" s="58" t="s">
        <v>286</v>
      </c>
      <c r="C268" s="37" t="s">
        <v>687</v>
      </c>
      <c r="D268" s="38">
        <v>45784</v>
      </c>
      <c r="E268" s="32"/>
      <c r="F268" s="40" t="s">
        <v>709</v>
      </c>
      <c r="G268" s="41">
        <v>371.43</v>
      </c>
      <c r="H268" s="41"/>
      <c r="I268" s="41">
        <v>371.43</v>
      </c>
      <c r="J268" s="41">
        <f t="shared" si="22"/>
        <v>18.5715</v>
      </c>
      <c r="K268" s="41">
        <f t="shared" si="23"/>
        <v>390.00150000000002</v>
      </c>
      <c r="L268" s="42" t="s">
        <v>11</v>
      </c>
      <c r="M268" s="10"/>
      <c r="N268" s="10"/>
      <c r="O268" s="10"/>
      <c r="P268" s="10"/>
      <c r="Q268" s="10"/>
      <c r="R268" s="10"/>
      <c r="S268" s="10"/>
      <c r="T268" s="10"/>
    </row>
    <row r="269" spans="2:20" x14ac:dyDescent="0.25">
      <c r="B269" s="58" t="s">
        <v>710</v>
      </c>
      <c r="C269" s="37" t="s">
        <v>688</v>
      </c>
      <c r="D269" s="38">
        <v>45784</v>
      </c>
      <c r="E269" s="32"/>
      <c r="F269" s="40" t="s">
        <v>711</v>
      </c>
      <c r="G269" s="41">
        <v>95</v>
      </c>
      <c r="H269" s="41"/>
      <c r="I269" s="41">
        <v>95</v>
      </c>
      <c r="J269" s="41">
        <f t="shared" si="22"/>
        <v>4.75</v>
      </c>
      <c r="K269" s="41">
        <f t="shared" si="23"/>
        <v>99.75</v>
      </c>
      <c r="L269" s="42" t="s">
        <v>49</v>
      </c>
      <c r="M269" s="10"/>
      <c r="N269" s="10"/>
      <c r="O269" s="10"/>
      <c r="P269" s="10"/>
      <c r="Q269" s="10"/>
      <c r="R269" s="10"/>
      <c r="S269" s="10"/>
      <c r="T269" s="10"/>
    </row>
    <row r="270" spans="2:20" x14ac:dyDescent="0.25">
      <c r="B270" s="58" t="s">
        <v>596</v>
      </c>
      <c r="C270" s="37" t="s">
        <v>689</v>
      </c>
      <c r="D270" s="38">
        <v>45796</v>
      </c>
      <c r="E270" s="32"/>
      <c r="F270" s="40" t="s">
        <v>597</v>
      </c>
      <c r="G270" s="41">
        <v>6990</v>
      </c>
      <c r="H270" s="41"/>
      <c r="I270" s="41">
        <v>6990</v>
      </c>
      <c r="J270" s="41">
        <f t="shared" si="22"/>
        <v>349.5</v>
      </c>
      <c r="K270" s="41">
        <f t="shared" si="23"/>
        <v>7339.5</v>
      </c>
      <c r="L270" s="42" t="s">
        <v>11</v>
      </c>
      <c r="M270" s="10"/>
      <c r="N270" s="10"/>
      <c r="O270" s="10"/>
      <c r="P270" s="10"/>
      <c r="Q270" s="10"/>
      <c r="R270" s="10"/>
      <c r="S270" s="10"/>
      <c r="T270" s="10"/>
    </row>
    <row r="271" spans="2:20" x14ac:dyDescent="0.25">
      <c r="B271" s="58" t="s">
        <v>481</v>
      </c>
      <c r="C271" s="37" t="s">
        <v>712</v>
      </c>
      <c r="D271" s="38">
        <v>45785</v>
      </c>
      <c r="E271" s="32" t="s">
        <v>482</v>
      </c>
      <c r="F271" s="40" t="s">
        <v>721</v>
      </c>
      <c r="G271" s="41">
        <v>3100</v>
      </c>
      <c r="H271" s="41"/>
      <c r="I271" s="41">
        <v>3100</v>
      </c>
      <c r="J271" s="41">
        <f t="shared" si="22"/>
        <v>155</v>
      </c>
      <c r="K271" s="41">
        <f t="shared" si="23"/>
        <v>3255</v>
      </c>
      <c r="L271" s="42" t="s">
        <v>49</v>
      </c>
      <c r="M271" s="10"/>
      <c r="N271" s="10"/>
      <c r="O271" s="10"/>
      <c r="P271" s="10"/>
      <c r="Q271" s="10"/>
      <c r="R271" s="10"/>
      <c r="S271" s="10"/>
      <c r="T271" s="10"/>
    </row>
    <row r="272" spans="2:20" x14ac:dyDescent="0.25">
      <c r="B272" s="58" t="s">
        <v>723</v>
      </c>
      <c r="C272" s="37" t="s">
        <v>713</v>
      </c>
      <c r="D272" s="38">
        <v>45785</v>
      </c>
      <c r="E272" s="32" t="s">
        <v>724</v>
      </c>
      <c r="F272" s="40" t="s">
        <v>722</v>
      </c>
      <c r="G272" s="41">
        <v>1275</v>
      </c>
      <c r="H272" s="41"/>
      <c r="I272" s="41">
        <v>1275</v>
      </c>
      <c r="J272" s="41">
        <f t="shared" si="22"/>
        <v>63.75</v>
      </c>
      <c r="K272" s="41">
        <f t="shared" si="23"/>
        <v>1338.75</v>
      </c>
      <c r="L272" s="42" t="s">
        <v>11</v>
      </c>
      <c r="M272" s="10"/>
      <c r="N272" s="10"/>
      <c r="O272" s="10"/>
      <c r="P272" s="10"/>
      <c r="Q272" s="10"/>
      <c r="R272" s="10"/>
      <c r="S272" s="10"/>
      <c r="T272" s="10"/>
    </row>
    <row r="273" spans="2:20" x14ac:dyDescent="0.25">
      <c r="B273" s="58" t="s">
        <v>82</v>
      </c>
      <c r="C273" s="37" t="s">
        <v>714</v>
      </c>
      <c r="D273" s="38">
        <v>45789</v>
      </c>
      <c r="E273" s="32" t="s">
        <v>84</v>
      </c>
      <c r="F273" s="40" t="s">
        <v>725</v>
      </c>
      <c r="G273" s="41">
        <v>8550</v>
      </c>
      <c r="H273" s="41"/>
      <c r="I273" s="41">
        <v>8550</v>
      </c>
      <c r="J273" s="41">
        <f t="shared" si="22"/>
        <v>427.5</v>
      </c>
      <c r="K273" s="41">
        <f t="shared" si="23"/>
        <v>8977.5</v>
      </c>
      <c r="L273" s="42" t="s">
        <v>11</v>
      </c>
      <c r="M273" s="10"/>
      <c r="N273" s="10"/>
      <c r="O273" s="10"/>
      <c r="P273" s="10"/>
      <c r="Q273" s="10"/>
      <c r="R273" s="10"/>
      <c r="S273" s="10"/>
      <c r="T273" s="10"/>
    </row>
    <row r="274" spans="2:20" x14ac:dyDescent="0.25">
      <c r="B274" s="58" t="s">
        <v>726</v>
      </c>
      <c r="C274" s="37" t="s">
        <v>715</v>
      </c>
      <c r="D274" s="38">
        <v>45792</v>
      </c>
      <c r="E274" s="32" t="s">
        <v>727</v>
      </c>
      <c r="F274" s="40" t="s">
        <v>728</v>
      </c>
      <c r="G274" s="41">
        <v>17260</v>
      </c>
      <c r="H274" s="41"/>
      <c r="I274" s="41">
        <v>17260</v>
      </c>
      <c r="J274" s="41">
        <f t="shared" si="22"/>
        <v>863</v>
      </c>
      <c r="K274" s="41">
        <f t="shared" si="23"/>
        <v>18123</v>
      </c>
      <c r="L274" s="42" t="s">
        <v>57</v>
      </c>
      <c r="M274" s="10"/>
      <c r="N274" s="10"/>
      <c r="O274" s="10"/>
      <c r="P274" s="10"/>
      <c r="Q274" s="10"/>
      <c r="R274" s="10"/>
      <c r="S274" s="10"/>
      <c r="T274" s="10"/>
    </row>
    <row r="275" spans="2:20" x14ac:dyDescent="0.25">
      <c r="B275" s="58" t="s">
        <v>12</v>
      </c>
      <c r="C275" s="37" t="s">
        <v>716</v>
      </c>
      <c r="D275" s="38">
        <v>45789</v>
      </c>
      <c r="E275" s="32" t="s">
        <v>13</v>
      </c>
      <c r="F275" s="40" t="s">
        <v>729</v>
      </c>
      <c r="G275" s="41">
        <v>175</v>
      </c>
      <c r="H275" s="41"/>
      <c r="I275" s="41">
        <v>175</v>
      </c>
      <c r="J275" s="41">
        <f t="shared" si="22"/>
        <v>8.75</v>
      </c>
      <c r="K275" s="41">
        <f t="shared" si="23"/>
        <v>183.75</v>
      </c>
      <c r="L275" s="42" t="s">
        <v>11</v>
      </c>
      <c r="M275" s="10"/>
      <c r="N275" s="10"/>
      <c r="O275" s="10"/>
      <c r="P275" s="10"/>
      <c r="Q275" s="10"/>
      <c r="R275" s="10"/>
      <c r="S275" s="10"/>
      <c r="T275" s="10"/>
    </row>
    <row r="276" spans="2:20" x14ac:dyDescent="0.25">
      <c r="B276" s="58" t="s">
        <v>82</v>
      </c>
      <c r="C276" s="37" t="s">
        <v>717</v>
      </c>
      <c r="D276" s="38">
        <v>45789</v>
      </c>
      <c r="E276" s="32" t="s">
        <v>84</v>
      </c>
      <c r="F276" s="40" t="s">
        <v>730</v>
      </c>
      <c r="G276" s="41">
        <v>900</v>
      </c>
      <c r="H276" s="41"/>
      <c r="I276" s="41">
        <v>900</v>
      </c>
      <c r="J276" s="41">
        <f t="shared" si="22"/>
        <v>45</v>
      </c>
      <c r="K276" s="41">
        <f t="shared" si="23"/>
        <v>945</v>
      </c>
      <c r="L276" s="42" t="s">
        <v>11</v>
      </c>
      <c r="M276" s="10"/>
      <c r="N276" s="10"/>
      <c r="O276" s="10"/>
      <c r="P276" s="10"/>
      <c r="Q276" s="10"/>
      <c r="R276" s="10"/>
      <c r="S276" s="10"/>
      <c r="T276" s="10"/>
    </row>
    <row r="277" spans="2:20" x14ac:dyDescent="0.25">
      <c r="B277" s="58" t="s">
        <v>283</v>
      </c>
      <c r="C277" s="37" t="s">
        <v>718</v>
      </c>
      <c r="D277" s="38">
        <v>45789</v>
      </c>
      <c r="E277" s="32" t="s">
        <v>284</v>
      </c>
      <c r="F277" s="40" t="s">
        <v>311</v>
      </c>
      <c r="G277" s="41">
        <v>517</v>
      </c>
      <c r="H277" s="41"/>
      <c r="I277" s="41">
        <v>517</v>
      </c>
      <c r="J277" s="41">
        <f t="shared" si="22"/>
        <v>25.85</v>
      </c>
      <c r="K277" s="41">
        <f t="shared" si="23"/>
        <v>542.85</v>
      </c>
      <c r="L277" s="42" t="s">
        <v>11</v>
      </c>
      <c r="M277" s="10"/>
      <c r="N277" s="10"/>
      <c r="O277" s="10"/>
      <c r="P277" s="10"/>
      <c r="Q277" s="10"/>
      <c r="R277" s="10"/>
      <c r="S277" s="10"/>
      <c r="T277" s="10"/>
    </row>
    <row r="278" spans="2:20" x14ac:dyDescent="0.25">
      <c r="B278" s="58" t="s">
        <v>293</v>
      </c>
      <c r="C278" s="37" t="s">
        <v>719</v>
      </c>
      <c r="D278" s="38">
        <v>45789</v>
      </c>
      <c r="E278" s="32" t="s">
        <v>294</v>
      </c>
      <c r="F278" s="40" t="s">
        <v>257</v>
      </c>
      <c r="G278" s="41">
        <v>90</v>
      </c>
      <c r="H278" s="41"/>
      <c r="I278" s="41">
        <v>90</v>
      </c>
      <c r="J278" s="41">
        <f t="shared" si="22"/>
        <v>4.5</v>
      </c>
      <c r="K278" s="41">
        <f t="shared" si="23"/>
        <v>94.5</v>
      </c>
      <c r="L278" s="42" t="s">
        <v>49</v>
      </c>
      <c r="M278" s="10"/>
      <c r="N278" s="10"/>
      <c r="O278" s="10"/>
      <c r="P278" s="10"/>
      <c r="Q278" s="10"/>
      <c r="R278" s="10"/>
      <c r="S278" s="10"/>
      <c r="T278" s="10"/>
    </row>
    <row r="279" spans="2:20" x14ac:dyDescent="0.25">
      <c r="B279" s="58" t="s">
        <v>12</v>
      </c>
      <c r="C279" s="37" t="s">
        <v>720</v>
      </c>
      <c r="D279" s="38">
        <v>45787</v>
      </c>
      <c r="E279" s="32" t="s">
        <v>13</v>
      </c>
      <c r="F279" s="40" t="s">
        <v>731</v>
      </c>
      <c r="G279" s="41">
        <v>675.75</v>
      </c>
      <c r="H279" s="41"/>
      <c r="I279" s="41">
        <v>675.75</v>
      </c>
      <c r="J279" s="41">
        <f t="shared" si="22"/>
        <v>33.787500000000001</v>
      </c>
      <c r="K279" s="41">
        <f t="shared" si="23"/>
        <v>709.53750000000002</v>
      </c>
      <c r="L279" s="42" t="s">
        <v>11</v>
      </c>
      <c r="M279" s="10"/>
      <c r="N279" s="10"/>
      <c r="O279" s="10"/>
      <c r="P279" s="10"/>
      <c r="Q279" s="10"/>
      <c r="R279" s="10"/>
      <c r="S279" s="10"/>
      <c r="T279" s="10"/>
    </row>
    <row r="280" spans="2:20" x14ac:dyDescent="0.25">
      <c r="B280" s="58" t="s">
        <v>413</v>
      </c>
      <c r="C280" s="37" t="s">
        <v>732</v>
      </c>
      <c r="D280" s="38">
        <v>45778</v>
      </c>
      <c r="E280" s="32"/>
      <c r="F280" s="40" t="s">
        <v>733</v>
      </c>
      <c r="G280" s="41">
        <v>2730</v>
      </c>
      <c r="H280" s="41"/>
      <c r="I280" s="41">
        <v>2730</v>
      </c>
      <c r="J280" s="41">
        <f t="shared" si="22"/>
        <v>136.5</v>
      </c>
      <c r="K280" s="41">
        <f t="shared" si="23"/>
        <v>2866.5</v>
      </c>
      <c r="L280" s="42" t="s">
        <v>11</v>
      </c>
      <c r="M280" s="10"/>
      <c r="N280" s="10"/>
      <c r="O280" s="10"/>
      <c r="P280" s="10"/>
      <c r="Q280" s="10"/>
      <c r="R280" s="10"/>
      <c r="S280" s="10"/>
      <c r="T280" s="10"/>
    </row>
    <row r="281" spans="2:20" x14ac:dyDescent="0.25">
      <c r="B281" s="58" t="s">
        <v>738</v>
      </c>
      <c r="C281" s="37" t="s">
        <v>734</v>
      </c>
      <c r="D281" s="38">
        <v>45789</v>
      </c>
      <c r="E281" s="32"/>
      <c r="F281" s="40" t="s">
        <v>739</v>
      </c>
      <c r="G281" s="41">
        <v>1325</v>
      </c>
      <c r="H281" s="41"/>
      <c r="I281" s="41">
        <v>1325</v>
      </c>
      <c r="J281" s="41">
        <f t="shared" si="22"/>
        <v>66.25</v>
      </c>
      <c r="K281" s="41">
        <f t="shared" si="23"/>
        <v>1391.25</v>
      </c>
      <c r="L281" s="42" t="s">
        <v>11</v>
      </c>
      <c r="M281" s="10"/>
      <c r="N281" s="10"/>
      <c r="O281" s="10"/>
      <c r="P281" s="10"/>
      <c r="Q281" s="10"/>
      <c r="R281" s="10"/>
      <c r="S281" s="10"/>
      <c r="T281" s="10"/>
    </row>
    <row r="282" spans="2:20" x14ac:dyDescent="0.25">
      <c r="B282" s="58" t="s">
        <v>12</v>
      </c>
      <c r="C282" s="37" t="s">
        <v>735</v>
      </c>
      <c r="D282" s="38">
        <v>45790</v>
      </c>
      <c r="E282" s="32" t="s">
        <v>13</v>
      </c>
      <c r="F282" s="40" t="s">
        <v>740</v>
      </c>
      <c r="G282" s="41">
        <v>975</v>
      </c>
      <c r="H282" s="41"/>
      <c r="I282" s="41">
        <v>975</v>
      </c>
      <c r="J282" s="41">
        <f t="shared" si="22"/>
        <v>48.75</v>
      </c>
      <c r="K282" s="41">
        <f t="shared" si="23"/>
        <v>1023.75</v>
      </c>
      <c r="L282" s="42" t="s">
        <v>11</v>
      </c>
      <c r="M282" s="10"/>
      <c r="N282" s="10"/>
      <c r="O282" s="10"/>
      <c r="P282" s="10"/>
      <c r="Q282" s="10"/>
      <c r="R282" s="10"/>
      <c r="S282" s="10"/>
      <c r="T282" s="10"/>
    </row>
    <row r="283" spans="2:20" x14ac:dyDescent="0.25">
      <c r="B283" s="58" t="s">
        <v>12</v>
      </c>
      <c r="C283" s="37" t="s">
        <v>736</v>
      </c>
      <c r="D283" s="38">
        <v>45790</v>
      </c>
      <c r="E283" s="32" t="s">
        <v>13</v>
      </c>
      <c r="F283" s="40" t="s">
        <v>741</v>
      </c>
      <c r="G283" s="41">
        <v>356.25</v>
      </c>
      <c r="H283" s="41"/>
      <c r="I283" s="41">
        <v>356.25</v>
      </c>
      <c r="J283" s="41">
        <f t="shared" si="22"/>
        <v>17.8125</v>
      </c>
      <c r="K283" s="41">
        <f t="shared" si="23"/>
        <v>374.0625</v>
      </c>
      <c r="L283" s="42" t="s">
        <v>11</v>
      </c>
      <c r="M283" s="10"/>
      <c r="N283" s="10"/>
      <c r="O283" s="10"/>
      <c r="P283" s="10"/>
      <c r="Q283" s="10"/>
      <c r="R283" s="10"/>
      <c r="S283" s="10"/>
      <c r="T283" s="10"/>
    </row>
    <row r="284" spans="2:20" x14ac:dyDescent="0.25">
      <c r="B284" s="58" t="s">
        <v>742</v>
      </c>
      <c r="C284" s="37" t="s">
        <v>737</v>
      </c>
      <c r="D284" s="38">
        <v>45790</v>
      </c>
      <c r="E284" s="32" t="s">
        <v>60</v>
      </c>
      <c r="F284" s="40" t="s">
        <v>520</v>
      </c>
      <c r="G284" s="41">
        <v>2055</v>
      </c>
      <c r="H284" s="41"/>
      <c r="I284" s="41">
        <v>2055</v>
      </c>
      <c r="J284" s="41">
        <f t="shared" si="22"/>
        <v>102.75</v>
      </c>
      <c r="K284" s="41">
        <f t="shared" si="23"/>
        <v>2157.75</v>
      </c>
      <c r="L284" s="42" t="s">
        <v>11</v>
      </c>
      <c r="M284" s="10"/>
      <c r="N284" s="10"/>
      <c r="O284" s="10"/>
      <c r="P284" s="10"/>
      <c r="Q284" s="10"/>
      <c r="R284" s="10"/>
      <c r="S284" s="10"/>
      <c r="T284" s="10"/>
    </row>
    <row r="285" spans="2:20" x14ac:dyDescent="0.25">
      <c r="B285" s="58" t="s">
        <v>155</v>
      </c>
      <c r="C285" s="37" t="s">
        <v>743</v>
      </c>
      <c r="D285" s="38">
        <v>45790</v>
      </c>
      <c r="E285" s="32" t="s">
        <v>157</v>
      </c>
      <c r="F285" s="40" t="s">
        <v>744</v>
      </c>
      <c r="G285" s="41">
        <v>47.62</v>
      </c>
      <c r="H285" s="41"/>
      <c r="I285" s="41">
        <v>47.62</v>
      </c>
      <c r="J285" s="41">
        <f t="shared" si="22"/>
        <v>2.3809999999999998</v>
      </c>
      <c r="K285" s="41">
        <f t="shared" si="23"/>
        <v>50.000999999999998</v>
      </c>
      <c r="L285" s="42" t="s">
        <v>11</v>
      </c>
      <c r="M285" s="10"/>
      <c r="N285" s="10"/>
      <c r="O285" s="10"/>
      <c r="P285" s="10"/>
      <c r="Q285" s="10"/>
      <c r="R285" s="10"/>
      <c r="S285" s="10"/>
      <c r="T285" s="10"/>
    </row>
    <row r="286" spans="2:20" x14ac:dyDescent="0.25">
      <c r="B286" s="58" t="s">
        <v>42</v>
      </c>
      <c r="C286" s="37" t="s">
        <v>745</v>
      </c>
      <c r="D286" s="38">
        <v>45790</v>
      </c>
      <c r="E286" s="32" t="s">
        <v>44</v>
      </c>
      <c r="F286" s="40" t="s">
        <v>746</v>
      </c>
      <c r="G286" s="41">
        <v>385</v>
      </c>
      <c r="H286" s="41"/>
      <c r="I286" s="41">
        <v>385</v>
      </c>
      <c r="J286" s="41">
        <f t="shared" si="22"/>
        <v>19.25</v>
      </c>
      <c r="K286" s="41">
        <f t="shared" si="23"/>
        <v>404.25</v>
      </c>
      <c r="L286" s="42" t="s">
        <v>49</v>
      </c>
      <c r="M286" s="10"/>
      <c r="N286" s="10"/>
      <c r="O286" s="10"/>
      <c r="P286" s="10"/>
      <c r="Q286" s="10"/>
      <c r="R286" s="10"/>
      <c r="S286" s="10"/>
      <c r="T286" s="10"/>
    </row>
    <row r="287" spans="2:20" x14ac:dyDescent="0.25">
      <c r="B287" s="58" t="s">
        <v>690</v>
      </c>
      <c r="C287" s="37" t="s">
        <v>747</v>
      </c>
      <c r="D287" s="38">
        <v>45784</v>
      </c>
      <c r="E287" s="32"/>
      <c r="F287" s="40" t="s">
        <v>748</v>
      </c>
      <c r="G287" s="41">
        <v>75</v>
      </c>
      <c r="H287" s="41"/>
      <c r="I287" s="41">
        <v>75</v>
      </c>
      <c r="J287" s="41">
        <f t="shared" si="22"/>
        <v>3.75</v>
      </c>
      <c r="K287" s="41">
        <f t="shared" si="23"/>
        <v>78.75</v>
      </c>
      <c r="L287" s="42" t="s">
        <v>49</v>
      </c>
      <c r="M287" s="10"/>
      <c r="N287" s="10"/>
      <c r="O287" s="10"/>
      <c r="P287" s="10"/>
      <c r="Q287" s="10"/>
      <c r="R287" s="10"/>
      <c r="S287" s="10"/>
      <c r="T287" s="10"/>
    </row>
    <row r="288" spans="2:20" x14ac:dyDescent="0.25">
      <c r="B288" s="58" t="s">
        <v>68</v>
      </c>
      <c r="C288" s="37" t="s">
        <v>750</v>
      </c>
      <c r="D288" s="38">
        <v>45792</v>
      </c>
      <c r="E288" s="32" t="s">
        <v>78</v>
      </c>
      <c r="F288" s="40" t="s">
        <v>749</v>
      </c>
      <c r="G288" s="41">
        <v>405</v>
      </c>
      <c r="H288" s="41"/>
      <c r="I288" s="41">
        <v>405</v>
      </c>
      <c r="J288" s="41">
        <f t="shared" si="22"/>
        <v>20.25</v>
      </c>
      <c r="K288" s="41">
        <f t="shared" si="23"/>
        <v>425.25</v>
      </c>
      <c r="L288" s="42" t="s">
        <v>11</v>
      </c>
      <c r="M288" s="10"/>
      <c r="N288" s="10"/>
      <c r="O288" s="10"/>
      <c r="P288" s="10"/>
      <c r="Q288" s="10"/>
      <c r="R288" s="10"/>
      <c r="S288" s="10"/>
      <c r="T288" s="10"/>
    </row>
    <row r="289" spans="2:20" x14ac:dyDescent="0.25">
      <c r="B289" s="58" t="s">
        <v>755</v>
      </c>
      <c r="C289" s="37" t="s">
        <v>751</v>
      </c>
      <c r="D289" s="38">
        <v>45793</v>
      </c>
      <c r="E289" s="32" t="s">
        <v>756</v>
      </c>
      <c r="F289" s="40" t="s">
        <v>311</v>
      </c>
      <c r="G289" s="41">
        <v>600</v>
      </c>
      <c r="H289" s="41"/>
      <c r="I289" s="41">
        <v>600</v>
      </c>
      <c r="J289" s="41">
        <f t="shared" si="22"/>
        <v>30</v>
      </c>
      <c r="K289" s="41">
        <f t="shared" si="23"/>
        <v>630</v>
      </c>
      <c r="L289" s="42" t="s">
        <v>11</v>
      </c>
      <c r="M289" s="10"/>
      <c r="N289" s="10"/>
      <c r="O289" s="10"/>
      <c r="P289" s="10"/>
      <c r="Q289" s="10"/>
      <c r="R289" s="10"/>
      <c r="S289" s="10"/>
      <c r="T289" s="10"/>
    </row>
    <row r="290" spans="2:20" x14ac:dyDescent="0.25">
      <c r="B290" s="58" t="s">
        <v>757</v>
      </c>
      <c r="C290" s="37" t="s">
        <v>752</v>
      </c>
      <c r="D290" s="38">
        <v>45792</v>
      </c>
      <c r="E290" s="32"/>
      <c r="F290" s="40" t="s">
        <v>145</v>
      </c>
      <c r="G290" s="41">
        <v>275</v>
      </c>
      <c r="H290" s="41"/>
      <c r="I290" s="41">
        <v>275</v>
      </c>
      <c r="J290" s="41">
        <f t="shared" si="22"/>
        <v>13.75</v>
      </c>
      <c r="K290" s="41">
        <f t="shared" si="23"/>
        <v>288.75</v>
      </c>
      <c r="L290" s="42" t="s">
        <v>11</v>
      </c>
      <c r="M290" s="10"/>
      <c r="N290" s="10"/>
      <c r="O290" s="10"/>
      <c r="P290" s="10"/>
      <c r="Q290" s="10"/>
      <c r="R290" s="10"/>
      <c r="S290" s="10"/>
      <c r="T290" s="10"/>
    </row>
    <row r="291" spans="2:20" x14ac:dyDescent="0.25">
      <c r="B291" s="58" t="s">
        <v>758</v>
      </c>
      <c r="C291" s="37" t="s">
        <v>753</v>
      </c>
      <c r="D291" s="38">
        <v>45793</v>
      </c>
      <c r="E291" s="32" t="s">
        <v>760</v>
      </c>
      <c r="F291" s="40" t="s">
        <v>759</v>
      </c>
      <c r="G291" s="41">
        <v>960</v>
      </c>
      <c r="H291" s="41"/>
      <c r="I291" s="41">
        <v>960</v>
      </c>
      <c r="J291" s="41">
        <f t="shared" si="22"/>
        <v>48</v>
      </c>
      <c r="K291" s="41">
        <f t="shared" si="23"/>
        <v>1008</v>
      </c>
      <c r="L291" s="42" t="s">
        <v>11</v>
      </c>
      <c r="M291" s="10"/>
      <c r="N291" s="10"/>
      <c r="O291" s="10"/>
      <c r="P291" s="10"/>
      <c r="Q291" s="10"/>
      <c r="R291" s="10"/>
      <c r="S291" s="10"/>
      <c r="T291" s="10"/>
    </row>
    <row r="292" spans="2:20" x14ac:dyDescent="0.25">
      <c r="B292" s="58" t="s">
        <v>738</v>
      </c>
      <c r="C292" s="37" t="s">
        <v>754</v>
      </c>
      <c r="D292" s="38">
        <v>45793</v>
      </c>
      <c r="E292" s="32"/>
      <c r="F292" s="40" t="s">
        <v>761</v>
      </c>
      <c r="G292" s="41">
        <v>325</v>
      </c>
      <c r="H292" s="41"/>
      <c r="I292" s="41">
        <v>325</v>
      </c>
      <c r="J292" s="41">
        <f t="shared" si="22"/>
        <v>16.25</v>
      </c>
      <c r="K292" s="41">
        <f t="shared" si="23"/>
        <v>341.25</v>
      </c>
      <c r="L292" s="42" t="s">
        <v>11</v>
      </c>
      <c r="M292" s="10"/>
      <c r="N292" s="10"/>
      <c r="O292" s="10"/>
      <c r="P292" s="10"/>
      <c r="Q292" s="10"/>
      <c r="R292" s="10"/>
      <c r="S292" s="10"/>
      <c r="T292" s="10"/>
    </row>
    <row r="293" spans="2:20" x14ac:dyDescent="0.25">
      <c r="B293" s="58" t="s">
        <v>46</v>
      </c>
      <c r="C293" s="37" t="s">
        <v>762</v>
      </c>
      <c r="D293" s="38">
        <v>45793</v>
      </c>
      <c r="E293" s="32"/>
      <c r="F293" s="40" t="s">
        <v>763</v>
      </c>
      <c r="G293" s="41">
        <v>400</v>
      </c>
      <c r="H293" s="41"/>
      <c r="I293" s="41">
        <v>400</v>
      </c>
      <c r="J293" s="41">
        <f t="shared" si="22"/>
        <v>20</v>
      </c>
      <c r="K293" s="41">
        <f t="shared" si="23"/>
        <v>420</v>
      </c>
      <c r="L293" s="42" t="s">
        <v>49</v>
      </c>
      <c r="M293" s="10"/>
      <c r="N293" s="10"/>
      <c r="O293" s="10"/>
      <c r="P293" s="10"/>
      <c r="Q293" s="10"/>
      <c r="R293" s="10"/>
      <c r="S293" s="10"/>
      <c r="T293" s="10"/>
    </row>
    <row r="294" spans="2:20" x14ac:dyDescent="0.25">
      <c r="B294" s="58" t="s">
        <v>254</v>
      </c>
      <c r="C294" s="37" t="s">
        <v>764</v>
      </c>
      <c r="D294" s="38">
        <v>45808</v>
      </c>
      <c r="E294" s="32"/>
      <c r="F294" s="40" t="s">
        <v>768</v>
      </c>
      <c r="G294" s="41">
        <v>200</v>
      </c>
      <c r="H294" s="41"/>
      <c r="I294" s="41">
        <v>200</v>
      </c>
      <c r="J294" s="41">
        <f t="shared" si="22"/>
        <v>10</v>
      </c>
      <c r="K294" s="41">
        <f t="shared" si="23"/>
        <v>210</v>
      </c>
      <c r="L294" s="42" t="s">
        <v>11</v>
      </c>
      <c r="M294" s="10"/>
      <c r="N294" s="10"/>
      <c r="O294" s="10"/>
      <c r="P294" s="10"/>
      <c r="Q294" s="10"/>
      <c r="R294" s="10"/>
      <c r="S294" s="10"/>
      <c r="T294" s="10"/>
    </row>
    <row r="295" spans="2:20" x14ac:dyDescent="0.25">
      <c r="B295" s="58" t="s">
        <v>769</v>
      </c>
      <c r="C295" s="37" t="s">
        <v>765</v>
      </c>
      <c r="D295" s="38">
        <v>45797</v>
      </c>
      <c r="E295" s="32"/>
      <c r="F295" s="40" t="s">
        <v>770</v>
      </c>
      <c r="G295" s="41">
        <v>350</v>
      </c>
      <c r="H295" s="41"/>
      <c r="I295" s="41">
        <v>350</v>
      </c>
      <c r="J295" s="41">
        <f t="shared" si="22"/>
        <v>17.5</v>
      </c>
      <c r="K295" s="41">
        <f t="shared" si="23"/>
        <v>367.5</v>
      </c>
      <c r="L295" s="42" t="s">
        <v>11</v>
      </c>
      <c r="M295" s="10"/>
      <c r="N295" s="10"/>
      <c r="O295" s="10"/>
      <c r="P295" s="10"/>
      <c r="Q295" s="10"/>
      <c r="R295" s="10"/>
      <c r="S295" s="10"/>
      <c r="T295" s="10"/>
    </row>
    <row r="296" spans="2:20" x14ac:dyDescent="0.25">
      <c r="B296" s="58" t="s">
        <v>68</v>
      </c>
      <c r="C296" s="37" t="s">
        <v>766</v>
      </c>
      <c r="D296" s="38">
        <v>45797</v>
      </c>
      <c r="E296" s="32" t="s">
        <v>78</v>
      </c>
      <c r="F296" s="40" t="s">
        <v>771</v>
      </c>
      <c r="G296" s="41">
        <v>1275</v>
      </c>
      <c r="H296" s="41"/>
      <c r="I296" s="41">
        <v>1275</v>
      </c>
      <c r="J296" s="41">
        <f t="shared" si="22"/>
        <v>63.75</v>
      </c>
      <c r="K296" s="41">
        <f t="shared" si="23"/>
        <v>1338.75</v>
      </c>
      <c r="L296" s="42" t="s">
        <v>11</v>
      </c>
      <c r="M296" s="10"/>
      <c r="N296" s="10"/>
      <c r="O296" s="10"/>
      <c r="P296" s="10"/>
      <c r="Q296" s="10"/>
      <c r="R296" s="10"/>
      <c r="S296" s="10"/>
      <c r="T296" s="10"/>
    </row>
    <row r="297" spans="2:20" x14ac:dyDescent="0.25">
      <c r="B297" s="58" t="s">
        <v>772</v>
      </c>
      <c r="C297" s="37" t="s">
        <v>767</v>
      </c>
      <c r="D297" s="38">
        <v>45807</v>
      </c>
      <c r="E297" s="32"/>
      <c r="F297" s="40" t="s">
        <v>773</v>
      </c>
      <c r="G297" s="41">
        <v>1903.5</v>
      </c>
      <c r="H297" s="41"/>
      <c r="I297" s="41">
        <v>1903.5</v>
      </c>
      <c r="J297" s="41">
        <f t="shared" si="22"/>
        <v>95.175000000000011</v>
      </c>
      <c r="K297" s="41">
        <f t="shared" si="23"/>
        <v>1998.675</v>
      </c>
      <c r="L297" s="42" t="s">
        <v>774</v>
      </c>
      <c r="M297" s="12"/>
      <c r="N297" s="12"/>
      <c r="O297" s="12"/>
      <c r="P297" s="12"/>
      <c r="Q297" s="12"/>
      <c r="R297" s="12"/>
      <c r="S297" s="12"/>
      <c r="T297" s="12"/>
    </row>
    <row r="298" spans="2:20" x14ac:dyDescent="0.25">
      <c r="B298" s="58" t="s">
        <v>161</v>
      </c>
      <c r="C298" s="37" t="s">
        <v>775</v>
      </c>
      <c r="D298" s="38">
        <v>45800</v>
      </c>
      <c r="E298" s="32"/>
      <c r="F298" s="40" t="s">
        <v>776</v>
      </c>
      <c r="G298" s="41">
        <v>2109</v>
      </c>
      <c r="H298" s="41"/>
      <c r="I298" s="41">
        <v>2109</v>
      </c>
      <c r="J298" s="41">
        <f t="shared" si="22"/>
        <v>105.45</v>
      </c>
      <c r="K298" s="41">
        <f t="shared" si="23"/>
        <v>2214.4499999999998</v>
      </c>
      <c r="L298" s="42" t="s">
        <v>11</v>
      </c>
      <c r="M298" s="10"/>
      <c r="N298" s="10"/>
      <c r="O298" s="10"/>
      <c r="P298" s="10"/>
      <c r="Q298" s="10"/>
      <c r="R298" s="10"/>
      <c r="S298" s="10"/>
      <c r="T298" s="10"/>
    </row>
    <row r="299" spans="2:20" x14ac:dyDescent="0.25">
      <c r="B299" s="58" t="s">
        <v>777</v>
      </c>
      <c r="C299" s="37" t="s">
        <v>778</v>
      </c>
      <c r="D299" s="38">
        <v>45800</v>
      </c>
      <c r="E299" s="32"/>
      <c r="F299" s="40" t="s">
        <v>782</v>
      </c>
      <c r="G299" s="41">
        <v>864.1</v>
      </c>
      <c r="H299" s="41"/>
      <c r="I299" s="41">
        <v>864.1</v>
      </c>
      <c r="J299" s="41">
        <f t="shared" si="22"/>
        <v>43.205000000000005</v>
      </c>
      <c r="K299" s="41">
        <f t="shared" si="23"/>
        <v>907.30500000000006</v>
      </c>
      <c r="L299" s="42" t="s">
        <v>49</v>
      </c>
      <c r="M299" s="10"/>
      <c r="N299" s="10"/>
      <c r="O299" s="10"/>
      <c r="P299" s="10"/>
      <c r="Q299" s="10"/>
      <c r="R299" s="10"/>
      <c r="S299" s="10"/>
      <c r="T299" s="10"/>
    </row>
    <row r="300" spans="2:20" x14ac:dyDescent="0.25">
      <c r="B300" s="58" t="s">
        <v>111</v>
      </c>
      <c r="C300" s="37" t="s">
        <v>779</v>
      </c>
      <c r="D300" s="38">
        <v>45800</v>
      </c>
      <c r="E300" s="32" t="s">
        <v>113</v>
      </c>
      <c r="F300" s="40" t="s">
        <v>257</v>
      </c>
      <c r="G300" s="41">
        <v>235</v>
      </c>
      <c r="H300" s="41"/>
      <c r="I300" s="41">
        <v>235</v>
      </c>
      <c r="J300" s="41">
        <f t="shared" si="22"/>
        <v>11.75</v>
      </c>
      <c r="K300" s="41">
        <f t="shared" si="23"/>
        <v>246.75</v>
      </c>
      <c r="L300" s="42" t="s">
        <v>11</v>
      </c>
      <c r="M300" s="10"/>
      <c r="N300" s="10"/>
      <c r="O300" s="10"/>
      <c r="P300" s="10"/>
      <c r="Q300" s="10"/>
      <c r="R300" s="10"/>
      <c r="S300" s="10"/>
      <c r="T300" s="10"/>
    </row>
    <row r="301" spans="2:20" x14ac:dyDescent="0.25">
      <c r="B301" s="58" t="s">
        <v>46</v>
      </c>
      <c r="C301" s="37" t="s">
        <v>780</v>
      </c>
      <c r="D301" s="38">
        <v>45800</v>
      </c>
      <c r="E301" s="32"/>
      <c r="F301" s="40" t="s">
        <v>783</v>
      </c>
      <c r="G301" s="41">
        <v>330</v>
      </c>
      <c r="H301" s="41"/>
      <c r="I301" s="41">
        <v>330</v>
      </c>
      <c r="J301" s="41">
        <f t="shared" si="22"/>
        <v>16.5</v>
      </c>
      <c r="K301" s="41">
        <f t="shared" si="23"/>
        <v>346.5</v>
      </c>
      <c r="L301" s="42" t="s">
        <v>49</v>
      </c>
      <c r="M301" s="10"/>
      <c r="N301" s="10"/>
      <c r="O301" s="10"/>
      <c r="P301" s="10"/>
      <c r="Q301" s="10"/>
      <c r="R301" s="10"/>
      <c r="S301" s="10"/>
      <c r="T301" s="10"/>
    </row>
    <row r="302" spans="2:20" x14ac:dyDescent="0.25">
      <c r="B302" s="58" t="s">
        <v>312</v>
      </c>
      <c r="C302" s="37" t="s">
        <v>781</v>
      </c>
      <c r="D302" s="38">
        <v>45800</v>
      </c>
      <c r="E302" s="32" t="s">
        <v>313</v>
      </c>
      <c r="F302" s="40" t="s">
        <v>633</v>
      </c>
      <c r="G302" s="41">
        <v>375</v>
      </c>
      <c r="H302" s="41"/>
      <c r="I302" s="41">
        <v>375</v>
      </c>
      <c r="J302" s="41">
        <f t="shared" si="22"/>
        <v>18.75</v>
      </c>
      <c r="K302" s="41">
        <f t="shared" si="23"/>
        <v>393.75</v>
      </c>
      <c r="L302" s="42" t="s">
        <v>11</v>
      </c>
      <c r="M302" s="10"/>
      <c r="N302" s="10"/>
      <c r="O302" s="10"/>
      <c r="P302" s="10"/>
      <c r="Q302" s="10"/>
      <c r="R302" s="10"/>
      <c r="S302" s="10"/>
      <c r="T302" s="10"/>
    </row>
    <row r="303" spans="2:20" x14ac:dyDescent="0.25">
      <c r="B303" s="58" t="s">
        <v>784</v>
      </c>
      <c r="C303" s="37" t="s">
        <v>785</v>
      </c>
      <c r="D303" s="38">
        <v>45805</v>
      </c>
      <c r="E303" s="32"/>
      <c r="F303" s="40" t="s">
        <v>545</v>
      </c>
      <c r="G303" s="41">
        <v>274</v>
      </c>
      <c r="H303" s="41"/>
      <c r="I303" s="41">
        <v>274</v>
      </c>
      <c r="J303" s="41">
        <f t="shared" si="22"/>
        <v>13.700000000000001</v>
      </c>
      <c r="K303" s="41">
        <f t="shared" si="23"/>
        <v>287.7</v>
      </c>
      <c r="L303" s="42" t="s">
        <v>11</v>
      </c>
      <c r="M303" s="10"/>
      <c r="N303" s="10"/>
      <c r="O303" s="10"/>
      <c r="P303" s="10"/>
      <c r="Q303" s="10"/>
      <c r="R303" s="10"/>
      <c r="S303" s="10"/>
      <c r="T303" s="10"/>
    </row>
    <row r="304" spans="2:20" x14ac:dyDescent="0.25">
      <c r="B304" s="58" t="s">
        <v>608</v>
      </c>
      <c r="C304" s="37" t="s">
        <v>786</v>
      </c>
      <c r="D304" s="38">
        <v>45807</v>
      </c>
      <c r="E304" s="32"/>
      <c r="F304" s="40" t="s">
        <v>145</v>
      </c>
      <c r="G304" s="41">
        <v>125</v>
      </c>
      <c r="H304" s="41"/>
      <c r="I304" s="41">
        <v>125</v>
      </c>
      <c r="J304" s="41">
        <f t="shared" si="22"/>
        <v>6.25</v>
      </c>
      <c r="K304" s="41">
        <f t="shared" si="23"/>
        <v>131.25</v>
      </c>
      <c r="L304" s="42" t="s">
        <v>11</v>
      </c>
      <c r="M304" s="10"/>
      <c r="N304" s="10"/>
      <c r="O304" s="10"/>
      <c r="P304" s="10"/>
      <c r="Q304" s="10"/>
      <c r="R304" s="10"/>
      <c r="S304" s="10"/>
      <c r="T304" s="10"/>
    </row>
    <row r="305" spans="2:20" x14ac:dyDescent="0.25">
      <c r="B305" s="58" t="s">
        <v>68</v>
      </c>
      <c r="C305" s="37" t="s">
        <v>787</v>
      </c>
      <c r="D305" s="38">
        <v>45807</v>
      </c>
      <c r="E305" s="32" t="s">
        <v>78</v>
      </c>
      <c r="F305" s="40" t="s">
        <v>790</v>
      </c>
      <c r="G305" s="41">
        <v>930</v>
      </c>
      <c r="H305" s="41"/>
      <c r="I305" s="41">
        <v>930</v>
      </c>
      <c r="J305" s="41">
        <f t="shared" si="22"/>
        <v>46.5</v>
      </c>
      <c r="K305" s="41">
        <f t="shared" si="23"/>
        <v>976.5</v>
      </c>
      <c r="L305" s="42" t="s">
        <v>11</v>
      </c>
      <c r="M305" s="10"/>
      <c r="N305" s="10"/>
      <c r="O305" s="10"/>
      <c r="P305" s="10"/>
      <c r="Q305" s="10"/>
      <c r="R305" s="10"/>
      <c r="S305" s="10"/>
      <c r="T305" s="10"/>
    </row>
    <row r="306" spans="2:20" x14ac:dyDescent="0.25">
      <c r="B306" s="58" t="s">
        <v>791</v>
      </c>
      <c r="C306" s="37" t="s">
        <v>788</v>
      </c>
      <c r="D306" s="38">
        <v>45805</v>
      </c>
      <c r="E306" s="32" t="s">
        <v>336</v>
      </c>
      <c r="F306" s="40" t="s">
        <v>792</v>
      </c>
      <c r="G306" s="41">
        <v>500</v>
      </c>
      <c r="H306" s="41"/>
      <c r="I306" s="41">
        <v>500</v>
      </c>
      <c r="J306" s="41">
        <f t="shared" si="22"/>
        <v>25</v>
      </c>
      <c r="K306" s="41">
        <f t="shared" si="23"/>
        <v>525</v>
      </c>
      <c r="L306" s="42" t="s">
        <v>49</v>
      </c>
      <c r="M306" s="10"/>
      <c r="N306" s="10"/>
      <c r="O306" s="10"/>
      <c r="P306" s="10"/>
      <c r="Q306" s="10"/>
      <c r="R306" s="10"/>
      <c r="S306" s="10"/>
      <c r="T306" s="10"/>
    </row>
    <row r="307" spans="2:20" x14ac:dyDescent="0.25">
      <c r="B307" s="58" t="s">
        <v>791</v>
      </c>
      <c r="C307" s="37" t="s">
        <v>789</v>
      </c>
      <c r="D307" s="38">
        <v>45805</v>
      </c>
      <c r="E307" s="32" t="s">
        <v>336</v>
      </c>
      <c r="F307" s="40" t="s">
        <v>793</v>
      </c>
      <c r="G307" s="41">
        <v>1355</v>
      </c>
      <c r="H307" s="41"/>
      <c r="I307" s="41">
        <v>1355</v>
      </c>
      <c r="J307" s="41">
        <f t="shared" si="22"/>
        <v>67.75</v>
      </c>
      <c r="K307" s="41">
        <f t="shared" si="23"/>
        <v>1422.75</v>
      </c>
      <c r="L307" s="42" t="s">
        <v>49</v>
      </c>
      <c r="M307" s="10"/>
      <c r="N307" s="10"/>
      <c r="O307" s="10"/>
      <c r="P307" s="10"/>
      <c r="Q307" s="10"/>
      <c r="R307" s="10"/>
      <c r="S307" s="10"/>
      <c r="T307" s="10"/>
    </row>
    <row r="308" spans="2:20" x14ac:dyDescent="0.25">
      <c r="B308" s="58" t="s">
        <v>312</v>
      </c>
      <c r="C308" s="37" t="s">
        <v>794</v>
      </c>
      <c r="D308" s="38">
        <v>45806</v>
      </c>
      <c r="E308" s="32" t="s">
        <v>313</v>
      </c>
      <c r="F308" s="40" t="s">
        <v>797</v>
      </c>
      <c r="G308" s="41">
        <v>500</v>
      </c>
      <c r="H308" s="41"/>
      <c r="I308" s="41">
        <v>500</v>
      </c>
      <c r="J308" s="41">
        <f t="shared" si="22"/>
        <v>25</v>
      </c>
      <c r="K308" s="41">
        <f t="shared" si="23"/>
        <v>525</v>
      </c>
      <c r="L308" s="42" t="s">
        <v>11</v>
      </c>
      <c r="M308" s="10"/>
      <c r="N308" s="10"/>
      <c r="O308" s="10"/>
      <c r="P308" s="10"/>
      <c r="Q308" s="10"/>
      <c r="R308" s="10"/>
      <c r="S308" s="10"/>
      <c r="T308" s="10"/>
    </row>
    <row r="309" spans="2:20" x14ac:dyDescent="0.25">
      <c r="B309" s="58" t="s">
        <v>798</v>
      </c>
      <c r="C309" s="37" t="s">
        <v>795</v>
      </c>
      <c r="D309" s="38">
        <v>45806</v>
      </c>
      <c r="E309" s="32" t="s">
        <v>799</v>
      </c>
      <c r="F309" s="40" t="s">
        <v>800</v>
      </c>
      <c r="G309" s="41">
        <v>100</v>
      </c>
      <c r="H309" s="41"/>
      <c r="I309" s="41">
        <v>100</v>
      </c>
      <c r="J309" s="41">
        <f t="shared" si="22"/>
        <v>5</v>
      </c>
      <c r="K309" s="41">
        <f t="shared" si="23"/>
        <v>105</v>
      </c>
      <c r="L309" s="42" t="s">
        <v>49</v>
      </c>
      <c r="M309" s="10"/>
      <c r="N309" s="10"/>
      <c r="O309" s="10"/>
      <c r="P309" s="10"/>
      <c r="Q309" s="10"/>
      <c r="R309" s="10"/>
      <c r="S309" s="10"/>
      <c r="T309" s="10"/>
    </row>
    <row r="310" spans="2:20" x14ac:dyDescent="0.25">
      <c r="B310" s="58" t="s">
        <v>798</v>
      </c>
      <c r="C310" s="37" t="s">
        <v>796</v>
      </c>
      <c r="D310" s="38">
        <v>45806</v>
      </c>
      <c r="E310" s="32" t="s">
        <v>799</v>
      </c>
      <c r="F310" s="40" t="s">
        <v>140</v>
      </c>
      <c r="G310" s="41">
        <v>165</v>
      </c>
      <c r="H310" s="41"/>
      <c r="I310" s="41">
        <v>165</v>
      </c>
      <c r="J310" s="41">
        <f t="shared" si="22"/>
        <v>8.25</v>
      </c>
      <c r="K310" s="41">
        <f t="shared" si="23"/>
        <v>173.25</v>
      </c>
      <c r="L310" s="42" t="s">
        <v>49</v>
      </c>
      <c r="M310" s="10"/>
      <c r="N310" s="10"/>
      <c r="O310" s="10"/>
      <c r="P310" s="10"/>
      <c r="Q310" s="10"/>
      <c r="R310" s="10"/>
      <c r="S310" s="10"/>
      <c r="T310" s="10"/>
    </row>
    <row r="311" spans="2:20" x14ac:dyDescent="0.25">
      <c r="B311" s="58" t="s">
        <v>68</v>
      </c>
      <c r="C311" s="37" t="s">
        <v>801</v>
      </c>
      <c r="D311" s="38">
        <v>45808</v>
      </c>
      <c r="E311" s="32" t="s">
        <v>78</v>
      </c>
      <c r="F311" s="40" t="s">
        <v>804</v>
      </c>
      <c r="G311" s="41">
        <v>144</v>
      </c>
      <c r="H311" s="41"/>
      <c r="I311" s="41">
        <v>144</v>
      </c>
      <c r="J311" s="41">
        <f t="shared" si="22"/>
        <v>7.2</v>
      </c>
      <c r="K311" s="41">
        <f t="shared" si="23"/>
        <v>151.19999999999999</v>
      </c>
      <c r="L311" s="42" t="s">
        <v>11</v>
      </c>
      <c r="M311" s="10"/>
      <c r="N311" s="10"/>
      <c r="O311" s="10"/>
      <c r="P311" s="10"/>
      <c r="Q311" s="10"/>
      <c r="R311" s="10"/>
      <c r="S311" s="10"/>
      <c r="T311" s="10"/>
    </row>
    <row r="312" spans="2:20" x14ac:dyDescent="0.25">
      <c r="B312" s="58" t="s">
        <v>46</v>
      </c>
      <c r="C312" s="37" t="s">
        <v>802</v>
      </c>
      <c r="D312" s="38">
        <v>45807</v>
      </c>
      <c r="E312" s="32"/>
      <c r="F312" s="40" t="s">
        <v>805</v>
      </c>
      <c r="G312" s="41">
        <v>1410.5</v>
      </c>
      <c r="H312" s="41"/>
      <c r="I312" s="41">
        <v>1410.5</v>
      </c>
      <c r="J312" s="41">
        <f t="shared" si="22"/>
        <v>70.525000000000006</v>
      </c>
      <c r="K312" s="41">
        <f t="shared" si="23"/>
        <v>1481.0250000000001</v>
      </c>
      <c r="L312" s="42" t="s">
        <v>49</v>
      </c>
      <c r="M312" s="10"/>
      <c r="N312" s="10"/>
      <c r="O312" s="10"/>
      <c r="P312" s="10"/>
      <c r="Q312" s="10"/>
      <c r="R312" s="10"/>
      <c r="S312" s="10"/>
      <c r="T312" s="10"/>
    </row>
    <row r="313" spans="2:20" x14ac:dyDescent="0.25">
      <c r="B313" s="58" t="s">
        <v>12</v>
      </c>
      <c r="C313" s="37" t="s">
        <v>803</v>
      </c>
      <c r="D313" s="38">
        <v>45808</v>
      </c>
      <c r="E313" s="32" t="s">
        <v>13</v>
      </c>
      <c r="F313" s="40" t="s">
        <v>806</v>
      </c>
      <c r="G313" s="41">
        <v>8355.5</v>
      </c>
      <c r="H313" s="41"/>
      <c r="I313" s="41">
        <v>8355.5</v>
      </c>
      <c r="J313" s="41">
        <f t="shared" si="22"/>
        <v>417.77500000000003</v>
      </c>
      <c r="K313" s="41">
        <f t="shared" si="23"/>
        <v>8773.2749999999996</v>
      </c>
      <c r="L313" s="42" t="s">
        <v>11</v>
      </c>
      <c r="M313" s="10"/>
      <c r="N313" s="10"/>
      <c r="O313" s="10"/>
      <c r="P313" s="10"/>
      <c r="Q313" s="10"/>
      <c r="R313" s="10"/>
      <c r="S313" s="10"/>
      <c r="T313" s="10"/>
    </row>
    <row r="314" spans="2:20" x14ac:dyDescent="0.25">
      <c r="B314" s="58" t="s">
        <v>240</v>
      </c>
      <c r="C314" s="37" t="s">
        <v>807</v>
      </c>
      <c r="D314" s="38">
        <v>45808</v>
      </c>
      <c r="E314" s="32" t="s">
        <v>243</v>
      </c>
      <c r="F314" s="40" t="s">
        <v>811</v>
      </c>
      <c r="G314" s="41">
        <v>135</v>
      </c>
      <c r="H314" s="41"/>
      <c r="I314" s="41">
        <v>135</v>
      </c>
      <c r="J314" s="41">
        <f t="shared" si="22"/>
        <v>6.75</v>
      </c>
      <c r="K314" s="41">
        <f t="shared" si="23"/>
        <v>141.75</v>
      </c>
      <c r="L314" s="42" t="s">
        <v>11</v>
      </c>
      <c r="M314" s="10"/>
      <c r="N314" s="10"/>
      <c r="O314" s="10"/>
      <c r="P314" s="10"/>
      <c r="Q314" s="10"/>
      <c r="R314" s="10"/>
      <c r="S314" s="10"/>
      <c r="T314" s="10"/>
    </row>
    <row r="315" spans="2:20" x14ac:dyDescent="0.25">
      <c r="B315" s="58" t="s">
        <v>242</v>
      </c>
      <c r="C315" s="37" t="s">
        <v>808</v>
      </c>
      <c r="D315" s="38">
        <v>45808</v>
      </c>
      <c r="E315" s="32" t="s">
        <v>243</v>
      </c>
      <c r="F315" s="40" t="s">
        <v>811</v>
      </c>
      <c r="G315" s="41">
        <v>150</v>
      </c>
      <c r="H315" s="41"/>
      <c r="I315" s="41">
        <v>150</v>
      </c>
      <c r="J315" s="41">
        <f t="shared" si="22"/>
        <v>7.5</v>
      </c>
      <c r="K315" s="41">
        <f t="shared" si="23"/>
        <v>157.5</v>
      </c>
      <c r="L315" s="42" t="s">
        <v>11</v>
      </c>
      <c r="M315" s="10"/>
      <c r="N315" s="10"/>
      <c r="O315" s="10"/>
      <c r="P315" s="10"/>
      <c r="Q315" s="10"/>
      <c r="R315" s="10"/>
      <c r="S315" s="10"/>
      <c r="T315" s="10"/>
    </row>
    <row r="316" spans="2:20" x14ac:dyDescent="0.25">
      <c r="B316" s="58" t="s">
        <v>812</v>
      </c>
      <c r="C316" s="37" t="s">
        <v>809</v>
      </c>
      <c r="D316" s="38">
        <v>45808</v>
      </c>
      <c r="E316" s="32" t="s">
        <v>813</v>
      </c>
      <c r="F316" s="40" t="s">
        <v>145</v>
      </c>
      <c r="G316" s="41">
        <v>225</v>
      </c>
      <c r="H316" s="41"/>
      <c r="I316" s="41">
        <v>225</v>
      </c>
      <c r="J316" s="41">
        <f t="shared" ref="J316:J379" si="24">G316*5%</f>
        <v>11.25</v>
      </c>
      <c r="K316" s="41">
        <f t="shared" ref="K316:K379" si="25">G316+J316</f>
        <v>236.25</v>
      </c>
      <c r="L316" s="42" t="s">
        <v>11</v>
      </c>
      <c r="M316" s="10"/>
      <c r="N316" s="10"/>
      <c r="O316" s="10"/>
      <c r="P316" s="10"/>
      <c r="Q316" s="10"/>
      <c r="R316" s="10"/>
      <c r="S316" s="10"/>
      <c r="T316" s="10"/>
    </row>
    <row r="317" spans="2:20" x14ac:dyDescent="0.25">
      <c r="B317" s="58" t="s">
        <v>68</v>
      </c>
      <c r="C317" s="37" t="s">
        <v>810</v>
      </c>
      <c r="D317" s="38">
        <v>45808</v>
      </c>
      <c r="E317" s="32" t="s">
        <v>78</v>
      </c>
      <c r="F317" s="40" t="s">
        <v>259</v>
      </c>
      <c r="G317" s="41">
        <v>900</v>
      </c>
      <c r="H317" s="41"/>
      <c r="I317" s="41">
        <v>900</v>
      </c>
      <c r="J317" s="41">
        <f t="shared" si="24"/>
        <v>45</v>
      </c>
      <c r="K317" s="41">
        <f t="shared" si="25"/>
        <v>945</v>
      </c>
      <c r="L317" s="42" t="s">
        <v>11</v>
      </c>
      <c r="M317" s="10"/>
      <c r="N317" s="10"/>
      <c r="O317" s="10"/>
      <c r="P317" s="10"/>
      <c r="Q317" s="10"/>
      <c r="R317" s="10"/>
      <c r="S317" s="10"/>
      <c r="T317" s="10"/>
    </row>
    <row r="318" spans="2:20" x14ac:dyDescent="0.25">
      <c r="B318" s="58" t="s">
        <v>96</v>
      </c>
      <c r="C318" s="37" t="s">
        <v>814</v>
      </c>
      <c r="D318" s="38">
        <v>45808</v>
      </c>
      <c r="E318" s="32" t="s">
        <v>97</v>
      </c>
      <c r="F318" s="40" t="s">
        <v>98</v>
      </c>
      <c r="G318" s="41">
        <v>390</v>
      </c>
      <c r="H318" s="41"/>
      <c r="I318" s="41">
        <v>390</v>
      </c>
      <c r="J318" s="41">
        <f t="shared" si="24"/>
        <v>19.5</v>
      </c>
      <c r="K318" s="41">
        <f t="shared" si="25"/>
        <v>409.5</v>
      </c>
      <c r="L318" s="42" t="s">
        <v>11</v>
      </c>
      <c r="M318" s="10"/>
      <c r="N318" s="10"/>
      <c r="O318" s="10"/>
      <c r="P318" s="10"/>
      <c r="Q318" s="10"/>
      <c r="R318" s="10"/>
      <c r="S318" s="10"/>
      <c r="T318" s="10"/>
    </row>
    <row r="319" spans="2:20" x14ac:dyDescent="0.25">
      <c r="B319" s="58" t="s">
        <v>538</v>
      </c>
      <c r="C319" s="37" t="s">
        <v>815</v>
      </c>
      <c r="D319" s="38">
        <v>45808</v>
      </c>
      <c r="E319" s="32" t="s">
        <v>539</v>
      </c>
      <c r="F319" s="40" t="s">
        <v>817</v>
      </c>
      <c r="G319" s="41">
        <v>216</v>
      </c>
      <c r="H319" s="41"/>
      <c r="I319" s="41">
        <v>216</v>
      </c>
      <c r="J319" s="41">
        <f t="shared" si="24"/>
        <v>10.8</v>
      </c>
      <c r="K319" s="41">
        <f t="shared" si="25"/>
        <v>226.8</v>
      </c>
      <c r="L319" s="42" t="s">
        <v>11</v>
      </c>
      <c r="M319" s="10"/>
      <c r="N319" s="10"/>
      <c r="O319" s="10"/>
      <c r="P319" s="10"/>
      <c r="Q319" s="10"/>
      <c r="R319" s="10"/>
      <c r="S319" s="10"/>
      <c r="T319" s="10"/>
    </row>
    <row r="320" spans="2:20" x14ac:dyDescent="0.25">
      <c r="B320" s="58" t="s">
        <v>818</v>
      </c>
      <c r="C320" s="37" t="s">
        <v>816</v>
      </c>
      <c r="D320" s="38">
        <v>45808</v>
      </c>
      <c r="E320" s="32" t="s">
        <v>820</v>
      </c>
      <c r="F320" s="40" t="s">
        <v>819</v>
      </c>
      <c r="G320" s="41">
        <v>3657</v>
      </c>
      <c r="H320" s="41"/>
      <c r="I320" s="41">
        <v>3657</v>
      </c>
      <c r="J320" s="41">
        <f t="shared" si="24"/>
        <v>182.85000000000002</v>
      </c>
      <c r="K320" s="41">
        <f t="shared" si="25"/>
        <v>3839.85</v>
      </c>
      <c r="L320" s="42" t="s">
        <v>11</v>
      </c>
      <c r="M320" s="10"/>
      <c r="N320" s="10"/>
      <c r="O320" s="10"/>
      <c r="P320" s="10"/>
      <c r="Q320" s="10"/>
      <c r="R320" s="10"/>
      <c r="S320" s="10"/>
      <c r="T320" s="10"/>
    </row>
    <row r="321" spans="2:20" x14ac:dyDescent="0.25">
      <c r="B321" s="58" t="s">
        <v>836</v>
      </c>
      <c r="C321" s="37" t="s">
        <v>821</v>
      </c>
      <c r="D321" s="38">
        <v>45817</v>
      </c>
      <c r="E321" s="32" t="s">
        <v>837</v>
      </c>
      <c r="F321" s="40" t="s">
        <v>838</v>
      </c>
      <c r="G321" s="41">
        <v>1025</v>
      </c>
      <c r="H321" s="41"/>
      <c r="I321" s="41">
        <v>1025</v>
      </c>
      <c r="J321" s="41">
        <f t="shared" si="24"/>
        <v>51.25</v>
      </c>
      <c r="K321" s="41">
        <f t="shared" si="25"/>
        <v>1076.25</v>
      </c>
      <c r="L321" s="42" t="s">
        <v>11</v>
      </c>
      <c r="M321" s="10"/>
      <c r="N321" s="10"/>
      <c r="O321" s="10"/>
      <c r="P321" s="10"/>
      <c r="Q321" s="10"/>
      <c r="R321" s="10"/>
      <c r="S321" s="10"/>
      <c r="T321" s="10"/>
    </row>
    <row r="322" spans="2:20" x14ac:dyDescent="0.25">
      <c r="B322" s="58" t="s">
        <v>68</v>
      </c>
      <c r="C322" s="37" t="s">
        <v>822</v>
      </c>
      <c r="D322" s="38">
        <v>45818</v>
      </c>
      <c r="E322" s="32" t="s">
        <v>78</v>
      </c>
      <c r="F322" s="40" t="s">
        <v>839</v>
      </c>
      <c r="G322" s="41">
        <v>405</v>
      </c>
      <c r="H322" s="41"/>
      <c r="I322" s="41">
        <v>405</v>
      </c>
      <c r="J322" s="41">
        <f t="shared" si="24"/>
        <v>20.25</v>
      </c>
      <c r="K322" s="41">
        <f t="shared" si="25"/>
        <v>425.25</v>
      </c>
      <c r="L322" s="42" t="s">
        <v>11</v>
      </c>
      <c r="M322" s="10"/>
      <c r="N322" s="10"/>
      <c r="O322" s="10"/>
      <c r="P322" s="10"/>
      <c r="Q322" s="10"/>
      <c r="R322" s="10"/>
      <c r="S322" s="10"/>
      <c r="T322" s="10"/>
    </row>
    <row r="323" spans="2:20" x14ac:dyDescent="0.25">
      <c r="B323" s="58" t="s">
        <v>99</v>
      </c>
      <c r="C323" s="37" t="s">
        <v>823</v>
      </c>
      <c r="D323" s="38">
        <v>45818</v>
      </c>
      <c r="E323" s="32" t="s">
        <v>101</v>
      </c>
      <c r="F323" s="40" t="s">
        <v>840</v>
      </c>
      <c r="G323" s="41">
        <v>577.5</v>
      </c>
      <c r="H323" s="41"/>
      <c r="I323" s="41">
        <v>577.5</v>
      </c>
      <c r="J323" s="41">
        <f t="shared" si="24"/>
        <v>28.875</v>
      </c>
      <c r="K323" s="41">
        <f t="shared" si="25"/>
        <v>606.375</v>
      </c>
      <c r="L323" s="42" t="s">
        <v>11</v>
      </c>
      <c r="M323" s="10"/>
      <c r="N323" s="10"/>
      <c r="O323" s="10"/>
      <c r="P323" s="10"/>
      <c r="Q323" s="10"/>
      <c r="R323" s="10"/>
      <c r="S323" s="10"/>
      <c r="T323" s="10"/>
    </row>
    <row r="324" spans="2:20" x14ac:dyDescent="0.25">
      <c r="B324" s="58" t="s">
        <v>295</v>
      </c>
      <c r="C324" s="37" t="s">
        <v>824</v>
      </c>
      <c r="D324" s="38">
        <v>45819</v>
      </c>
      <c r="E324" s="32"/>
      <c r="F324" s="40" t="s">
        <v>841</v>
      </c>
      <c r="G324" s="41">
        <v>2550</v>
      </c>
      <c r="H324" s="41"/>
      <c r="I324" s="41">
        <v>2550</v>
      </c>
      <c r="J324" s="41">
        <f t="shared" si="24"/>
        <v>127.5</v>
      </c>
      <c r="K324" s="41">
        <f t="shared" si="25"/>
        <v>2677.5</v>
      </c>
      <c r="L324" s="42" t="s">
        <v>11</v>
      </c>
      <c r="M324" s="10"/>
      <c r="N324" s="10"/>
      <c r="O324" s="10"/>
      <c r="P324" s="10"/>
      <c r="Q324" s="10"/>
      <c r="R324" s="10"/>
      <c r="S324" s="10"/>
      <c r="T324" s="10"/>
    </row>
    <row r="325" spans="2:20" x14ac:dyDescent="0.25">
      <c r="B325" s="58" t="s">
        <v>68</v>
      </c>
      <c r="C325" s="37" t="s">
        <v>825</v>
      </c>
      <c r="D325" s="38">
        <v>45819</v>
      </c>
      <c r="E325" s="32" t="s">
        <v>78</v>
      </c>
      <c r="F325" s="40" t="s">
        <v>842</v>
      </c>
      <c r="G325" s="41">
        <v>575</v>
      </c>
      <c r="H325" s="41"/>
      <c r="I325" s="41">
        <v>575</v>
      </c>
      <c r="J325" s="41">
        <f t="shared" si="24"/>
        <v>28.75</v>
      </c>
      <c r="K325" s="41">
        <f t="shared" si="25"/>
        <v>603.75</v>
      </c>
      <c r="L325" s="42" t="s">
        <v>11</v>
      </c>
      <c r="M325" s="10"/>
      <c r="N325" s="10"/>
      <c r="O325" s="10"/>
      <c r="P325" s="10"/>
      <c r="Q325" s="10"/>
      <c r="R325" s="10"/>
      <c r="S325" s="10"/>
      <c r="T325" s="10"/>
    </row>
    <row r="326" spans="2:20" x14ac:dyDescent="0.25">
      <c r="B326" s="58" t="s">
        <v>58</v>
      </c>
      <c r="C326" s="37" t="s">
        <v>826</v>
      </c>
      <c r="D326" s="38">
        <v>45820</v>
      </c>
      <c r="E326" s="32" t="s">
        <v>60</v>
      </c>
      <c r="F326" s="40" t="s">
        <v>843</v>
      </c>
      <c r="G326" s="41">
        <v>90</v>
      </c>
      <c r="H326" s="41"/>
      <c r="I326" s="41">
        <v>90</v>
      </c>
      <c r="J326" s="41">
        <f t="shared" si="24"/>
        <v>4.5</v>
      </c>
      <c r="K326" s="41">
        <f t="shared" si="25"/>
        <v>94.5</v>
      </c>
      <c r="L326" s="42" t="s">
        <v>11</v>
      </c>
      <c r="M326" s="10"/>
      <c r="N326" s="10"/>
      <c r="O326" s="10"/>
      <c r="P326" s="10"/>
      <c r="Q326" s="10"/>
      <c r="R326" s="10"/>
      <c r="S326" s="10"/>
      <c r="T326" s="10"/>
    </row>
    <row r="327" spans="2:20" x14ac:dyDescent="0.25">
      <c r="B327" s="58" t="s">
        <v>798</v>
      </c>
      <c r="C327" s="37" t="s">
        <v>827</v>
      </c>
      <c r="D327" s="38">
        <v>45820</v>
      </c>
      <c r="E327" s="32" t="s">
        <v>799</v>
      </c>
      <c r="F327" s="40" t="s">
        <v>844</v>
      </c>
      <c r="G327" s="41">
        <v>1686.25</v>
      </c>
      <c r="H327" s="41"/>
      <c r="I327" s="41">
        <v>1686.25</v>
      </c>
      <c r="J327" s="41">
        <f t="shared" si="24"/>
        <v>84.3125</v>
      </c>
      <c r="K327" s="41">
        <f t="shared" si="25"/>
        <v>1770.5625</v>
      </c>
      <c r="L327" s="42" t="s">
        <v>49</v>
      </c>
      <c r="M327" s="10"/>
      <c r="N327" s="10"/>
      <c r="O327" s="10"/>
      <c r="P327" s="10"/>
      <c r="Q327" s="10"/>
      <c r="R327" s="10"/>
      <c r="S327" s="10"/>
      <c r="T327" s="10"/>
    </row>
    <row r="328" spans="2:20" x14ac:dyDescent="0.25">
      <c r="B328" s="58" t="s">
        <v>148</v>
      </c>
      <c r="C328" s="37" t="s">
        <v>828</v>
      </c>
      <c r="D328" s="38">
        <v>45820</v>
      </c>
      <c r="E328" s="32" t="s">
        <v>150</v>
      </c>
      <c r="F328" s="40" t="s">
        <v>845</v>
      </c>
      <c r="G328" s="41">
        <v>25422.5</v>
      </c>
      <c r="H328" s="41"/>
      <c r="I328" s="41">
        <v>25422.5</v>
      </c>
      <c r="J328" s="41">
        <f t="shared" si="24"/>
        <v>1271.125</v>
      </c>
      <c r="K328" s="41">
        <f t="shared" si="25"/>
        <v>26693.625</v>
      </c>
      <c r="L328" s="42" t="s">
        <v>11</v>
      </c>
      <c r="M328" s="10"/>
      <c r="N328" s="10"/>
      <c r="O328" s="10"/>
      <c r="P328" s="10"/>
      <c r="Q328" s="10"/>
      <c r="R328" s="10"/>
      <c r="S328" s="10"/>
      <c r="T328" s="10"/>
    </row>
    <row r="329" spans="2:20" x14ac:dyDescent="0.25">
      <c r="B329" s="58" t="s">
        <v>606</v>
      </c>
      <c r="C329" s="37" t="s">
        <v>829</v>
      </c>
      <c r="D329" s="38">
        <v>45826</v>
      </c>
      <c r="E329" s="32" t="s">
        <v>846</v>
      </c>
      <c r="F329" s="40" t="s">
        <v>847</v>
      </c>
      <c r="G329" s="41">
        <v>2295</v>
      </c>
      <c r="H329" s="41"/>
      <c r="I329" s="41">
        <v>2295</v>
      </c>
      <c r="J329" s="41">
        <f>G329*5%</f>
        <v>114.75</v>
      </c>
      <c r="K329" s="41">
        <f>G329+J329</f>
        <v>2409.75</v>
      </c>
      <c r="L329" s="42" t="s">
        <v>11</v>
      </c>
      <c r="M329" s="10"/>
      <c r="N329" s="10"/>
      <c r="O329" s="10"/>
      <c r="P329" s="10"/>
      <c r="Q329" s="10"/>
      <c r="R329" s="10"/>
      <c r="S329" s="10"/>
      <c r="T329" s="10"/>
    </row>
    <row r="330" spans="2:20" x14ac:dyDescent="0.25">
      <c r="B330" s="58" t="s">
        <v>538</v>
      </c>
      <c r="C330" s="37" t="s">
        <v>830</v>
      </c>
      <c r="D330" s="38">
        <v>45820</v>
      </c>
      <c r="E330" s="32" t="s">
        <v>539</v>
      </c>
      <c r="F330" s="40" t="s">
        <v>817</v>
      </c>
      <c r="G330" s="41">
        <v>324</v>
      </c>
      <c r="H330" s="41"/>
      <c r="I330" s="41">
        <v>324</v>
      </c>
      <c r="J330" s="41">
        <f>G330*5%</f>
        <v>16.2</v>
      </c>
      <c r="K330" s="41">
        <f>G330+J330</f>
        <v>340.2</v>
      </c>
      <c r="L330" s="42" t="s">
        <v>11</v>
      </c>
      <c r="M330" s="10"/>
      <c r="N330" s="10"/>
      <c r="O330" s="10"/>
      <c r="P330" s="10"/>
      <c r="Q330" s="10"/>
      <c r="R330" s="10"/>
      <c r="S330" s="10"/>
      <c r="T330" s="10"/>
    </row>
    <row r="331" spans="2:20" x14ac:dyDescent="0.25">
      <c r="B331" s="58" t="s">
        <v>848</v>
      </c>
      <c r="C331" s="37" t="s">
        <v>831</v>
      </c>
      <c r="D331" s="38">
        <v>45820</v>
      </c>
      <c r="E331" s="32" t="s">
        <v>849</v>
      </c>
      <c r="F331" s="40" t="s">
        <v>850</v>
      </c>
      <c r="G331" s="41">
        <v>325</v>
      </c>
      <c r="H331" s="41"/>
      <c r="I331" s="41">
        <v>325</v>
      </c>
      <c r="J331" s="41">
        <f t="shared" si="24"/>
        <v>16.25</v>
      </c>
      <c r="K331" s="41">
        <f t="shared" si="25"/>
        <v>341.25</v>
      </c>
      <c r="L331" s="42" t="s">
        <v>49</v>
      </c>
      <c r="M331" s="10"/>
      <c r="N331" s="10"/>
      <c r="O331" s="10"/>
      <c r="P331" s="10"/>
      <c r="Q331" s="10"/>
      <c r="R331" s="10"/>
      <c r="S331" s="10"/>
      <c r="T331" s="10"/>
    </row>
    <row r="332" spans="2:20" x14ac:dyDescent="0.25">
      <c r="B332" s="58" t="s">
        <v>851</v>
      </c>
      <c r="C332" s="37" t="s">
        <v>832</v>
      </c>
      <c r="D332" s="38">
        <v>45810</v>
      </c>
      <c r="E332" s="32"/>
      <c r="F332" s="40" t="s">
        <v>852</v>
      </c>
      <c r="G332" s="41">
        <v>107</v>
      </c>
      <c r="H332" s="41"/>
      <c r="I332" s="41">
        <v>107</v>
      </c>
      <c r="J332" s="41">
        <f t="shared" si="24"/>
        <v>5.3500000000000005</v>
      </c>
      <c r="K332" s="41">
        <f t="shared" si="25"/>
        <v>112.35</v>
      </c>
      <c r="L332" s="42" t="s">
        <v>49</v>
      </c>
      <c r="M332" s="10"/>
      <c r="N332" s="10"/>
      <c r="O332" s="10"/>
      <c r="P332" s="10"/>
      <c r="Q332" s="10"/>
      <c r="R332" s="10"/>
      <c r="S332" s="10"/>
      <c r="T332" s="10"/>
    </row>
    <row r="333" spans="2:20" x14ac:dyDescent="0.25">
      <c r="B333" s="58" t="s">
        <v>853</v>
      </c>
      <c r="C333" s="37" t="s">
        <v>833</v>
      </c>
      <c r="D333" s="38">
        <v>45810</v>
      </c>
      <c r="E333" s="32"/>
      <c r="F333" s="40" t="s">
        <v>854</v>
      </c>
      <c r="G333" s="41">
        <v>142.5</v>
      </c>
      <c r="H333" s="41"/>
      <c r="I333" s="41">
        <f t="shared" ref="I333:I396" si="26">G333-H333</f>
        <v>142.5</v>
      </c>
      <c r="J333" s="41">
        <f t="shared" si="24"/>
        <v>7.125</v>
      </c>
      <c r="K333" s="41">
        <f t="shared" si="25"/>
        <v>149.625</v>
      </c>
      <c r="L333" s="42" t="s">
        <v>11</v>
      </c>
      <c r="M333" s="10"/>
      <c r="N333" s="10"/>
      <c r="O333" s="10"/>
      <c r="P333" s="10"/>
      <c r="Q333" s="10"/>
      <c r="R333" s="10"/>
      <c r="S333" s="10"/>
      <c r="T333" s="10"/>
    </row>
    <row r="334" spans="2:20" x14ac:dyDescent="0.25">
      <c r="B334" s="58" t="s">
        <v>855</v>
      </c>
      <c r="C334" s="37" t="s">
        <v>834</v>
      </c>
      <c r="D334" s="38">
        <v>45820</v>
      </c>
      <c r="E334" s="32" t="s">
        <v>856</v>
      </c>
      <c r="F334" s="40" t="s">
        <v>857</v>
      </c>
      <c r="G334" s="41">
        <v>13150</v>
      </c>
      <c r="H334" s="41"/>
      <c r="I334" s="41">
        <f t="shared" si="26"/>
        <v>13150</v>
      </c>
      <c r="J334" s="41">
        <f t="shared" si="24"/>
        <v>657.5</v>
      </c>
      <c r="K334" s="41">
        <f t="shared" si="25"/>
        <v>13807.5</v>
      </c>
      <c r="L334" s="42" t="s">
        <v>57</v>
      </c>
      <c r="M334" s="10"/>
      <c r="N334" s="10"/>
      <c r="O334" s="10"/>
      <c r="P334" s="10"/>
      <c r="Q334" s="10"/>
      <c r="R334" s="10"/>
      <c r="S334" s="10"/>
      <c r="T334" s="10"/>
    </row>
    <row r="335" spans="2:20" x14ac:dyDescent="0.25">
      <c r="B335" s="58" t="s">
        <v>42</v>
      </c>
      <c r="C335" s="37" t="s">
        <v>835</v>
      </c>
      <c r="D335" s="38">
        <v>45817</v>
      </c>
      <c r="E335" s="32" t="s">
        <v>44</v>
      </c>
      <c r="F335" s="40" t="s">
        <v>145</v>
      </c>
      <c r="G335" s="41">
        <v>285</v>
      </c>
      <c r="H335" s="41"/>
      <c r="I335" s="41">
        <f t="shared" si="26"/>
        <v>285</v>
      </c>
      <c r="J335" s="41">
        <f t="shared" si="24"/>
        <v>14.25</v>
      </c>
      <c r="K335" s="41">
        <f t="shared" si="25"/>
        <v>299.25</v>
      </c>
      <c r="L335" s="42" t="s">
        <v>49</v>
      </c>
      <c r="M335" s="10"/>
      <c r="N335" s="10"/>
      <c r="O335" s="10"/>
      <c r="P335" s="10"/>
      <c r="Q335" s="10"/>
      <c r="R335" s="10"/>
      <c r="S335" s="10"/>
      <c r="T335" s="10"/>
    </row>
    <row r="336" spans="2:20" x14ac:dyDescent="0.25">
      <c r="B336" s="58" t="s">
        <v>858</v>
      </c>
      <c r="C336" s="37" t="s">
        <v>859</v>
      </c>
      <c r="D336" s="38">
        <v>45817</v>
      </c>
      <c r="E336" s="32"/>
      <c r="F336" s="40" t="s">
        <v>860</v>
      </c>
      <c r="G336" s="41">
        <v>250</v>
      </c>
      <c r="H336" s="41"/>
      <c r="I336" s="41">
        <f t="shared" si="26"/>
        <v>250</v>
      </c>
      <c r="J336" s="41">
        <f t="shared" si="24"/>
        <v>12.5</v>
      </c>
      <c r="K336" s="41">
        <f t="shared" si="25"/>
        <v>262.5</v>
      </c>
      <c r="L336" s="42" t="s">
        <v>11</v>
      </c>
      <c r="M336" s="10"/>
      <c r="N336" s="10"/>
      <c r="O336" s="10"/>
      <c r="P336" s="10"/>
      <c r="Q336" s="10"/>
      <c r="R336" s="10"/>
      <c r="S336" s="10"/>
      <c r="T336" s="10"/>
    </row>
    <row r="337" spans="2:20" x14ac:dyDescent="0.25">
      <c r="B337" s="58" t="s">
        <v>12</v>
      </c>
      <c r="C337" s="37" t="s">
        <v>861</v>
      </c>
      <c r="D337" s="38">
        <v>45821</v>
      </c>
      <c r="E337" s="32" t="s">
        <v>13</v>
      </c>
      <c r="F337" s="40" t="s">
        <v>868</v>
      </c>
      <c r="G337" s="41">
        <v>1225</v>
      </c>
      <c r="H337" s="41"/>
      <c r="I337" s="41">
        <f t="shared" si="26"/>
        <v>1225</v>
      </c>
      <c r="J337" s="41">
        <f t="shared" si="24"/>
        <v>61.25</v>
      </c>
      <c r="K337" s="41">
        <f t="shared" si="25"/>
        <v>1286.25</v>
      </c>
      <c r="L337" s="42" t="s">
        <v>11</v>
      </c>
      <c r="M337" s="10"/>
      <c r="N337" s="10"/>
      <c r="O337" s="10"/>
      <c r="P337" s="10"/>
      <c r="Q337" s="10"/>
      <c r="R337" s="10"/>
      <c r="S337" s="10"/>
      <c r="T337" s="10"/>
    </row>
    <row r="338" spans="2:20" x14ac:dyDescent="0.25">
      <c r="B338" s="58" t="s">
        <v>46</v>
      </c>
      <c r="C338" s="37" t="s">
        <v>862</v>
      </c>
      <c r="D338" s="38">
        <v>45821</v>
      </c>
      <c r="E338" s="32"/>
      <c r="F338" s="40" t="s">
        <v>869</v>
      </c>
      <c r="G338" s="41">
        <v>360</v>
      </c>
      <c r="H338" s="41"/>
      <c r="I338" s="41">
        <f t="shared" si="26"/>
        <v>360</v>
      </c>
      <c r="J338" s="41">
        <f t="shared" si="24"/>
        <v>18</v>
      </c>
      <c r="K338" s="41">
        <f t="shared" si="25"/>
        <v>378</v>
      </c>
      <c r="L338" s="42" t="s">
        <v>49</v>
      </c>
      <c r="M338" s="10"/>
      <c r="N338" s="10"/>
      <c r="O338" s="10"/>
      <c r="P338" s="10"/>
      <c r="Q338" s="10"/>
      <c r="R338" s="10"/>
      <c r="S338" s="10"/>
      <c r="T338" s="10"/>
    </row>
    <row r="339" spans="2:20" x14ac:dyDescent="0.25">
      <c r="B339" s="62" t="s">
        <v>312</v>
      </c>
      <c r="C339" s="37" t="s">
        <v>863</v>
      </c>
      <c r="D339" s="38">
        <v>45826</v>
      </c>
      <c r="E339" s="32" t="s">
        <v>313</v>
      </c>
      <c r="F339" s="40" t="s">
        <v>870</v>
      </c>
      <c r="G339" s="41">
        <v>850</v>
      </c>
      <c r="H339" s="41"/>
      <c r="I339" s="41">
        <f t="shared" si="26"/>
        <v>850</v>
      </c>
      <c r="J339" s="41">
        <f t="shared" si="24"/>
        <v>42.5</v>
      </c>
      <c r="K339" s="41">
        <f t="shared" si="25"/>
        <v>892.5</v>
      </c>
      <c r="L339" s="42" t="s">
        <v>11</v>
      </c>
      <c r="M339" s="10"/>
      <c r="N339" s="10"/>
      <c r="O339" s="10"/>
      <c r="P339" s="10"/>
      <c r="Q339" s="10"/>
      <c r="R339" s="10"/>
      <c r="S339" s="10"/>
      <c r="T339" s="10"/>
    </row>
    <row r="340" spans="2:20" x14ac:dyDescent="0.25">
      <c r="B340" s="58" t="s">
        <v>12</v>
      </c>
      <c r="C340" s="37" t="s">
        <v>864</v>
      </c>
      <c r="D340" s="38">
        <v>45824</v>
      </c>
      <c r="E340" s="32" t="s">
        <v>13</v>
      </c>
      <c r="F340" s="40" t="s">
        <v>871</v>
      </c>
      <c r="G340" s="41">
        <v>855</v>
      </c>
      <c r="H340" s="41"/>
      <c r="I340" s="41">
        <f t="shared" si="26"/>
        <v>855</v>
      </c>
      <c r="J340" s="41">
        <f t="shared" si="24"/>
        <v>42.75</v>
      </c>
      <c r="K340" s="41">
        <f t="shared" si="25"/>
        <v>897.75</v>
      </c>
      <c r="L340" s="42" t="s">
        <v>11</v>
      </c>
      <c r="M340" s="10"/>
      <c r="N340" s="10"/>
      <c r="O340" s="10"/>
      <c r="P340" s="10"/>
      <c r="Q340" s="10"/>
      <c r="R340" s="10"/>
      <c r="S340" s="10"/>
      <c r="T340" s="10"/>
    </row>
    <row r="341" spans="2:20" x14ac:dyDescent="0.25">
      <c r="B341" s="58" t="s">
        <v>12</v>
      </c>
      <c r="C341" s="37" t="s">
        <v>865</v>
      </c>
      <c r="D341" s="38">
        <v>45824</v>
      </c>
      <c r="E341" s="32" t="s">
        <v>13</v>
      </c>
      <c r="F341" s="40" t="s">
        <v>872</v>
      </c>
      <c r="G341" s="41">
        <v>700</v>
      </c>
      <c r="H341" s="41"/>
      <c r="I341" s="41">
        <f t="shared" si="26"/>
        <v>700</v>
      </c>
      <c r="J341" s="41">
        <f t="shared" si="24"/>
        <v>35</v>
      </c>
      <c r="K341" s="41">
        <f t="shared" si="25"/>
        <v>735</v>
      </c>
      <c r="L341" s="42" t="s">
        <v>11</v>
      </c>
      <c r="M341" s="10"/>
      <c r="N341" s="10"/>
      <c r="O341" s="10"/>
      <c r="P341" s="10"/>
      <c r="Q341" s="10"/>
      <c r="R341" s="10"/>
      <c r="S341" s="10"/>
      <c r="T341" s="10"/>
    </row>
    <row r="342" spans="2:20" x14ac:dyDescent="0.25">
      <c r="B342" s="58" t="s">
        <v>12</v>
      </c>
      <c r="C342" s="37" t="s">
        <v>866</v>
      </c>
      <c r="D342" s="38">
        <v>45824</v>
      </c>
      <c r="E342" s="32" t="s">
        <v>13</v>
      </c>
      <c r="F342" s="40" t="s">
        <v>873</v>
      </c>
      <c r="G342" s="41">
        <v>1358</v>
      </c>
      <c r="H342" s="41"/>
      <c r="I342" s="41">
        <f t="shared" si="26"/>
        <v>1358</v>
      </c>
      <c r="J342" s="41">
        <f t="shared" si="24"/>
        <v>67.900000000000006</v>
      </c>
      <c r="K342" s="41">
        <f t="shared" si="25"/>
        <v>1425.9</v>
      </c>
      <c r="L342" s="42" t="s">
        <v>11</v>
      </c>
      <c r="M342" s="10"/>
      <c r="N342" s="10"/>
      <c r="O342" s="10"/>
      <c r="P342" s="10"/>
      <c r="Q342" s="10"/>
      <c r="R342" s="10"/>
      <c r="S342" s="10"/>
      <c r="T342" s="10"/>
    </row>
    <row r="343" spans="2:20" x14ac:dyDescent="0.25">
      <c r="B343" s="58" t="s">
        <v>791</v>
      </c>
      <c r="C343" s="37" t="s">
        <v>867</v>
      </c>
      <c r="D343" s="38">
        <v>45822</v>
      </c>
      <c r="E343" s="32" t="s">
        <v>336</v>
      </c>
      <c r="F343" s="40" t="s">
        <v>874</v>
      </c>
      <c r="G343" s="41">
        <v>612.5</v>
      </c>
      <c r="H343" s="41"/>
      <c r="I343" s="41">
        <f t="shared" si="26"/>
        <v>612.5</v>
      </c>
      <c r="J343" s="41">
        <f t="shared" si="24"/>
        <v>30.625</v>
      </c>
      <c r="K343" s="41">
        <f t="shared" si="25"/>
        <v>643.125</v>
      </c>
      <c r="L343" s="42" t="s">
        <v>49</v>
      </c>
      <c r="M343" s="10"/>
      <c r="N343" s="10"/>
      <c r="O343" s="10"/>
      <c r="P343" s="10"/>
      <c r="Q343" s="10"/>
      <c r="R343" s="10"/>
      <c r="S343" s="10"/>
      <c r="T343" s="10"/>
    </row>
    <row r="344" spans="2:20" x14ac:dyDescent="0.25">
      <c r="B344" s="58" t="s">
        <v>647</v>
      </c>
      <c r="C344" s="37" t="s">
        <v>875</v>
      </c>
      <c r="D344" s="38">
        <v>45824</v>
      </c>
      <c r="E344" s="32" t="s">
        <v>883</v>
      </c>
      <c r="F344" s="40" t="s">
        <v>649</v>
      </c>
      <c r="G344" s="41">
        <v>5852</v>
      </c>
      <c r="H344" s="41"/>
      <c r="I344" s="41">
        <f t="shared" si="26"/>
        <v>5852</v>
      </c>
      <c r="J344" s="41">
        <f t="shared" si="24"/>
        <v>292.60000000000002</v>
      </c>
      <c r="K344" s="41">
        <f t="shared" si="25"/>
        <v>6144.6</v>
      </c>
      <c r="L344" s="42" t="s">
        <v>11</v>
      </c>
      <c r="M344" s="10"/>
      <c r="N344" s="10"/>
      <c r="O344" s="10"/>
      <c r="P344" s="10"/>
      <c r="Q344" s="10"/>
      <c r="R344" s="10"/>
      <c r="S344" s="10"/>
      <c r="T344" s="10"/>
    </row>
    <row r="345" spans="2:20" x14ac:dyDescent="0.25">
      <c r="B345" s="58" t="s">
        <v>58</v>
      </c>
      <c r="C345" s="37" t="s">
        <v>876</v>
      </c>
      <c r="D345" s="38">
        <v>45824</v>
      </c>
      <c r="E345" s="32" t="s">
        <v>60</v>
      </c>
      <c r="F345" s="40" t="s">
        <v>884</v>
      </c>
      <c r="G345" s="41">
        <v>1072.8</v>
      </c>
      <c r="H345" s="41"/>
      <c r="I345" s="41">
        <f t="shared" si="26"/>
        <v>1072.8</v>
      </c>
      <c r="J345" s="41">
        <f t="shared" si="24"/>
        <v>53.64</v>
      </c>
      <c r="K345" s="41">
        <f t="shared" si="25"/>
        <v>1126.44</v>
      </c>
      <c r="L345" s="42" t="s">
        <v>11</v>
      </c>
      <c r="M345" s="10"/>
      <c r="N345" s="10"/>
      <c r="O345" s="10"/>
      <c r="P345" s="10"/>
      <c r="Q345" s="10"/>
      <c r="R345" s="10"/>
      <c r="S345" s="10"/>
      <c r="T345" s="10"/>
    </row>
    <row r="346" spans="2:20" x14ac:dyDescent="0.25">
      <c r="B346" s="58" t="s">
        <v>885</v>
      </c>
      <c r="C346" s="37" t="s">
        <v>877</v>
      </c>
      <c r="D346" s="38">
        <v>45861</v>
      </c>
      <c r="E346" s="32"/>
      <c r="F346" s="40" t="s">
        <v>886</v>
      </c>
      <c r="G346" s="41">
        <v>31705</v>
      </c>
      <c r="H346" s="41"/>
      <c r="I346" s="41">
        <f t="shared" si="26"/>
        <v>31705</v>
      </c>
      <c r="J346" s="41">
        <f t="shared" si="24"/>
        <v>1585.25</v>
      </c>
      <c r="K346" s="41">
        <f t="shared" si="25"/>
        <v>33290.25</v>
      </c>
      <c r="L346" s="42" t="s">
        <v>11</v>
      </c>
      <c r="M346" s="10"/>
      <c r="N346" s="10"/>
      <c r="O346" s="10"/>
      <c r="P346" s="10"/>
      <c r="Q346" s="10"/>
      <c r="R346" s="10"/>
      <c r="S346" s="10"/>
      <c r="T346" s="10"/>
    </row>
    <row r="347" spans="2:20" x14ac:dyDescent="0.25">
      <c r="B347" s="58" t="s">
        <v>58</v>
      </c>
      <c r="C347" s="37" t="s">
        <v>878</v>
      </c>
      <c r="D347" s="38">
        <v>45826</v>
      </c>
      <c r="E347" s="32" t="s">
        <v>60</v>
      </c>
      <c r="F347" s="40" t="s">
        <v>887</v>
      </c>
      <c r="G347" s="41">
        <v>1730.8</v>
      </c>
      <c r="H347" s="41"/>
      <c r="I347" s="41">
        <f t="shared" si="26"/>
        <v>1730.8</v>
      </c>
      <c r="J347" s="41">
        <f t="shared" si="24"/>
        <v>86.54</v>
      </c>
      <c r="K347" s="41">
        <f t="shared" si="25"/>
        <v>1817.34</v>
      </c>
      <c r="L347" s="42" t="s">
        <v>11</v>
      </c>
      <c r="M347" s="10"/>
      <c r="N347" s="10"/>
      <c r="O347" s="10"/>
      <c r="P347" s="10"/>
      <c r="Q347" s="10"/>
      <c r="R347" s="10"/>
      <c r="S347" s="10"/>
      <c r="T347" s="10"/>
    </row>
    <row r="348" spans="2:20" x14ac:dyDescent="0.25">
      <c r="B348" s="58" t="s">
        <v>148</v>
      </c>
      <c r="C348" s="37" t="s">
        <v>879</v>
      </c>
      <c r="D348" s="38">
        <v>45826</v>
      </c>
      <c r="E348" s="32" t="s">
        <v>150</v>
      </c>
      <c r="F348" s="40" t="s">
        <v>888</v>
      </c>
      <c r="G348" s="41">
        <v>8875</v>
      </c>
      <c r="H348" s="41"/>
      <c r="I348" s="41">
        <f t="shared" si="26"/>
        <v>8875</v>
      </c>
      <c r="J348" s="41">
        <f t="shared" si="24"/>
        <v>443.75</v>
      </c>
      <c r="K348" s="41">
        <f t="shared" si="25"/>
        <v>9318.75</v>
      </c>
      <c r="L348" s="42" t="s">
        <v>11</v>
      </c>
      <c r="M348" s="10"/>
      <c r="N348" s="10"/>
      <c r="O348" s="10"/>
      <c r="P348" s="10"/>
      <c r="Q348" s="10"/>
      <c r="R348" s="10"/>
      <c r="S348" s="10"/>
      <c r="T348" s="10"/>
    </row>
    <row r="349" spans="2:20" x14ac:dyDescent="0.25">
      <c r="B349" s="58" t="s">
        <v>247</v>
      </c>
      <c r="C349" s="37" t="s">
        <v>880</v>
      </c>
      <c r="D349" s="38">
        <v>45826</v>
      </c>
      <c r="E349" s="32" t="s">
        <v>248</v>
      </c>
      <c r="F349" s="40" t="s">
        <v>889</v>
      </c>
      <c r="G349" s="41">
        <v>760</v>
      </c>
      <c r="H349" s="41"/>
      <c r="I349" s="41">
        <f t="shared" si="26"/>
        <v>760</v>
      </c>
      <c r="J349" s="41">
        <f t="shared" si="24"/>
        <v>38</v>
      </c>
      <c r="K349" s="41">
        <f t="shared" si="25"/>
        <v>798</v>
      </c>
      <c r="L349" s="42" t="s">
        <v>11</v>
      </c>
      <c r="M349" s="10"/>
      <c r="N349" s="10"/>
      <c r="O349" s="10"/>
      <c r="P349" s="10"/>
      <c r="Q349" s="10"/>
      <c r="R349" s="10"/>
      <c r="S349" s="10"/>
      <c r="T349" s="10"/>
    </row>
    <row r="350" spans="2:20" x14ac:dyDescent="0.25">
      <c r="B350" s="58" t="s">
        <v>666</v>
      </c>
      <c r="C350" s="37" t="s">
        <v>881</v>
      </c>
      <c r="D350" s="38">
        <v>45826</v>
      </c>
      <c r="E350" s="32" t="s">
        <v>669</v>
      </c>
      <c r="F350" s="40" t="s">
        <v>890</v>
      </c>
      <c r="G350" s="41">
        <v>822.5</v>
      </c>
      <c r="H350" s="41"/>
      <c r="I350" s="41">
        <f t="shared" si="26"/>
        <v>822.5</v>
      </c>
      <c r="J350" s="41">
        <f t="shared" si="24"/>
        <v>41.125</v>
      </c>
      <c r="K350" s="41">
        <f t="shared" si="25"/>
        <v>863.625</v>
      </c>
      <c r="L350" s="42" t="s">
        <v>11</v>
      </c>
      <c r="M350" s="10"/>
      <c r="N350" s="10"/>
      <c r="O350" s="10"/>
      <c r="P350" s="10"/>
      <c r="Q350" s="10"/>
      <c r="R350" s="10"/>
      <c r="S350" s="10"/>
      <c r="T350" s="10"/>
    </row>
    <row r="351" spans="2:20" x14ac:dyDescent="0.25">
      <c r="B351" s="58" t="s">
        <v>848</v>
      </c>
      <c r="C351" s="37" t="s">
        <v>882</v>
      </c>
      <c r="D351" s="38">
        <v>45827</v>
      </c>
      <c r="E351" s="32" t="s">
        <v>849</v>
      </c>
      <c r="F351" s="40" t="s">
        <v>850</v>
      </c>
      <c r="G351" s="41">
        <v>540</v>
      </c>
      <c r="H351" s="41"/>
      <c r="I351" s="41">
        <f t="shared" si="26"/>
        <v>540</v>
      </c>
      <c r="J351" s="41">
        <f t="shared" si="24"/>
        <v>27</v>
      </c>
      <c r="K351" s="41">
        <f t="shared" si="25"/>
        <v>567</v>
      </c>
      <c r="L351" s="42" t="s">
        <v>49</v>
      </c>
      <c r="M351" s="10"/>
      <c r="N351" s="10"/>
      <c r="O351" s="10"/>
      <c r="P351" s="10"/>
      <c r="Q351" s="10"/>
      <c r="R351" s="10"/>
      <c r="S351" s="10"/>
      <c r="T351" s="10"/>
    </row>
    <row r="352" spans="2:20" x14ac:dyDescent="0.25">
      <c r="B352" s="58" t="s">
        <v>853</v>
      </c>
      <c r="C352" s="37" t="s">
        <v>891</v>
      </c>
      <c r="D352" s="38">
        <v>45828</v>
      </c>
      <c r="E352" s="32"/>
      <c r="F352" s="40" t="s">
        <v>897</v>
      </c>
      <c r="G352" s="41">
        <v>1235</v>
      </c>
      <c r="H352" s="41"/>
      <c r="I352" s="41">
        <f t="shared" si="26"/>
        <v>1235</v>
      </c>
      <c r="J352" s="41">
        <f t="shared" si="24"/>
        <v>61.75</v>
      </c>
      <c r="K352" s="41">
        <f t="shared" si="25"/>
        <v>1296.75</v>
      </c>
      <c r="L352" s="42" t="s">
        <v>11</v>
      </c>
      <c r="M352" s="10"/>
      <c r="N352" s="10"/>
      <c r="O352" s="10"/>
      <c r="P352" s="10"/>
      <c r="Q352" s="10"/>
      <c r="R352" s="10"/>
      <c r="S352" s="10"/>
      <c r="T352" s="10"/>
    </row>
    <row r="353" spans="2:20" x14ac:dyDescent="0.25">
      <c r="B353" s="58" t="s">
        <v>12</v>
      </c>
      <c r="C353" s="37" t="s">
        <v>892</v>
      </c>
      <c r="D353" s="38">
        <v>45827</v>
      </c>
      <c r="E353" s="32" t="s">
        <v>13</v>
      </c>
      <c r="F353" s="40" t="s">
        <v>898</v>
      </c>
      <c r="G353" s="41">
        <v>325</v>
      </c>
      <c r="H353" s="41"/>
      <c r="I353" s="41">
        <f t="shared" si="26"/>
        <v>325</v>
      </c>
      <c r="J353" s="41">
        <f t="shared" si="24"/>
        <v>16.25</v>
      </c>
      <c r="K353" s="41">
        <f t="shared" si="25"/>
        <v>341.25</v>
      </c>
      <c r="L353" s="42" t="s">
        <v>11</v>
      </c>
      <c r="M353" s="10"/>
      <c r="N353" s="10"/>
      <c r="O353" s="10"/>
      <c r="P353" s="10"/>
      <c r="Q353" s="10"/>
      <c r="R353" s="10"/>
      <c r="S353" s="10"/>
      <c r="T353" s="10"/>
    </row>
    <row r="354" spans="2:20" x14ac:dyDescent="0.25">
      <c r="B354" s="58" t="s">
        <v>312</v>
      </c>
      <c r="C354" s="37" t="s">
        <v>893</v>
      </c>
      <c r="D354" s="38">
        <v>45828</v>
      </c>
      <c r="E354" s="32" t="s">
        <v>313</v>
      </c>
      <c r="F354" s="40" t="s">
        <v>899</v>
      </c>
      <c r="G354" s="41">
        <v>1353.38</v>
      </c>
      <c r="H354" s="41"/>
      <c r="I354" s="41">
        <f t="shared" si="26"/>
        <v>1353.38</v>
      </c>
      <c r="J354" s="41">
        <f t="shared" si="24"/>
        <v>67.669000000000011</v>
      </c>
      <c r="K354" s="41">
        <f t="shared" si="25"/>
        <v>1421.0490000000002</v>
      </c>
      <c r="L354" s="42" t="s">
        <v>11</v>
      </c>
      <c r="M354" s="10"/>
      <c r="N354" s="10"/>
      <c r="O354" s="10"/>
      <c r="P354" s="10"/>
      <c r="Q354" s="10"/>
      <c r="R354" s="10"/>
      <c r="S354" s="10"/>
      <c r="T354" s="10"/>
    </row>
    <row r="355" spans="2:20" x14ac:dyDescent="0.25">
      <c r="B355" s="58" t="s">
        <v>283</v>
      </c>
      <c r="C355" s="37" t="s">
        <v>894</v>
      </c>
      <c r="D355" s="38">
        <v>45828</v>
      </c>
      <c r="E355" s="32" t="s">
        <v>284</v>
      </c>
      <c r="F355" s="40" t="s">
        <v>900</v>
      </c>
      <c r="G355" s="41">
        <v>350</v>
      </c>
      <c r="H355" s="41"/>
      <c r="I355" s="41">
        <f t="shared" si="26"/>
        <v>350</v>
      </c>
      <c r="J355" s="41">
        <f t="shared" si="24"/>
        <v>17.5</v>
      </c>
      <c r="K355" s="41">
        <f t="shared" si="25"/>
        <v>367.5</v>
      </c>
      <c r="L355" s="42" t="s">
        <v>11</v>
      </c>
      <c r="M355" s="10"/>
      <c r="N355" s="10"/>
      <c r="O355" s="10"/>
      <c r="P355" s="10"/>
      <c r="Q355" s="10"/>
      <c r="R355" s="10"/>
      <c r="S355" s="10"/>
      <c r="T355" s="10"/>
    </row>
    <row r="356" spans="2:20" x14ac:dyDescent="0.25">
      <c r="B356" s="58" t="s">
        <v>46</v>
      </c>
      <c r="C356" s="37" t="s">
        <v>895</v>
      </c>
      <c r="D356" s="38">
        <v>45828</v>
      </c>
      <c r="E356" s="32"/>
      <c r="F356" s="40" t="s">
        <v>901</v>
      </c>
      <c r="G356" s="41">
        <v>460</v>
      </c>
      <c r="H356" s="41"/>
      <c r="I356" s="41">
        <f t="shared" si="26"/>
        <v>460</v>
      </c>
      <c r="J356" s="41">
        <f t="shared" si="24"/>
        <v>23</v>
      </c>
      <c r="K356" s="41">
        <f t="shared" si="25"/>
        <v>483</v>
      </c>
      <c r="L356" s="42" t="s">
        <v>49</v>
      </c>
      <c r="M356" s="10"/>
      <c r="N356" s="10"/>
      <c r="O356" s="10"/>
      <c r="P356" s="10"/>
      <c r="Q356" s="10"/>
      <c r="R356" s="10"/>
      <c r="S356" s="10"/>
      <c r="T356" s="10"/>
    </row>
    <row r="357" spans="2:20" x14ac:dyDescent="0.25">
      <c r="B357" s="58" t="s">
        <v>902</v>
      </c>
      <c r="C357" s="37" t="s">
        <v>896</v>
      </c>
      <c r="D357" s="38">
        <v>45828</v>
      </c>
      <c r="E357" s="32"/>
      <c r="F357" s="40" t="s">
        <v>903</v>
      </c>
      <c r="G357" s="41">
        <v>276</v>
      </c>
      <c r="H357" s="41"/>
      <c r="I357" s="41">
        <f t="shared" si="26"/>
        <v>276</v>
      </c>
      <c r="J357" s="41">
        <f t="shared" si="24"/>
        <v>13.8</v>
      </c>
      <c r="K357" s="41">
        <f t="shared" si="25"/>
        <v>289.8</v>
      </c>
      <c r="L357" s="42" t="s">
        <v>49</v>
      </c>
      <c r="M357" s="10"/>
      <c r="N357" s="10"/>
      <c r="O357" s="10"/>
      <c r="P357" s="10"/>
      <c r="Q357" s="10"/>
      <c r="R357" s="10"/>
      <c r="S357" s="10"/>
      <c r="T357" s="10"/>
    </row>
    <row r="358" spans="2:20" x14ac:dyDescent="0.25">
      <c r="B358" s="58" t="s">
        <v>295</v>
      </c>
      <c r="C358" s="37" t="s">
        <v>904</v>
      </c>
      <c r="D358" s="38">
        <v>45832</v>
      </c>
      <c r="E358" s="32"/>
      <c r="F358" s="40" t="s">
        <v>907</v>
      </c>
      <c r="G358" s="41">
        <v>38.097499999999997</v>
      </c>
      <c r="H358" s="41"/>
      <c r="I358" s="41">
        <f t="shared" si="26"/>
        <v>38.097499999999997</v>
      </c>
      <c r="J358" s="41">
        <f t="shared" si="24"/>
        <v>1.9048749999999999</v>
      </c>
      <c r="K358" s="41">
        <f t="shared" si="25"/>
        <v>40.002374999999994</v>
      </c>
      <c r="L358" s="42" t="s">
        <v>11</v>
      </c>
      <c r="M358" s="10"/>
      <c r="N358" s="10"/>
      <c r="O358" s="10"/>
      <c r="P358" s="10"/>
      <c r="Q358" s="10"/>
      <c r="R358" s="10"/>
      <c r="S358" s="10"/>
      <c r="T358" s="10"/>
    </row>
    <row r="359" spans="2:20" x14ac:dyDescent="0.25">
      <c r="B359" s="58" t="s">
        <v>58</v>
      </c>
      <c r="C359" s="37" t="s">
        <v>905</v>
      </c>
      <c r="D359" s="38">
        <v>45831</v>
      </c>
      <c r="E359" s="32" t="s">
        <v>60</v>
      </c>
      <c r="F359" s="40" t="s">
        <v>908</v>
      </c>
      <c r="G359" s="41">
        <v>1274</v>
      </c>
      <c r="H359" s="41"/>
      <c r="I359" s="41">
        <f t="shared" si="26"/>
        <v>1274</v>
      </c>
      <c r="J359" s="41">
        <f t="shared" si="24"/>
        <v>63.7</v>
      </c>
      <c r="K359" s="41">
        <f t="shared" si="25"/>
        <v>1337.7</v>
      </c>
      <c r="L359" s="42" t="s">
        <v>11</v>
      </c>
      <c r="M359" s="10"/>
      <c r="N359" s="10"/>
      <c r="O359" s="10"/>
      <c r="P359" s="10"/>
      <c r="Q359" s="10"/>
      <c r="R359" s="10"/>
      <c r="S359" s="10"/>
      <c r="T359" s="10"/>
    </row>
    <row r="360" spans="2:20" x14ac:dyDescent="0.25">
      <c r="B360" s="58" t="s">
        <v>909</v>
      </c>
      <c r="C360" s="37" t="s">
        <v>906</v>
      </c>
      <c r="D360" s="38">
        <v>45875</v>
      </c>
      <c r="E360" s="32" t="s">
        <v>910</v>
      </c>
      <c r="F360" s="40" t="s">
        <v>911</v>
      </c>
      <c r="G360" s="41">
        <v>3187.5</v>
      </c>
      <c r="H360" s="41"/>
      <c r="I360" s="41">
        <f t="shared" si="26"/>
        <v>3187.5</v>
      </c>
      <c r="J360" s="41">
        <f t="shared" si="24"/>
        <v>159.375</v>
      </c>
      <c r="K360" s="41">
        <f t="shared" si="25"/>
        <v>3346.875</v>
      </c>
      <c r="L360" s="42" t="s">
        <v>11</v>
      </c>
      <c r="M360" s="10"/>
      <c r="N360" s="10"/>
      <c r="O360" s="10"/>
      <c r="P360" s="10"/>
      <c r="Q360" s="10"/>
      <c r="R360" s="10"/>
      <c r="S360" s="10"/>
      <c r="T360" s="10"/>
    </row>
    <row r="361" spans="2:20" x14ac:dyDescent="0.25">
      <c r="B361" s="58" t="s">
        <v>338</v>
      </c>
      <c r="C361" s="37" t="s">
        <v>912</v>
      </c>
      <c r="D361" s="38">
        <v>45834</v>
      </c>
      <c r="E361" s="32" t="s">
        <v>339</v>
      </c>
      <c r="F361" s="40" t="s">
        <v>340</v>
      </c>
      <c r="G361" s="41">
        <v>1995</v>
      </c>
      <c r="H361" s="41"/>
      <c r="I361" s="41">
        <f t="shared" si="26"/>
        <v>1995</v>
      </c>
      <c r="J361" s="41">
        <f t="shared" si="24"/>
        <v>99.75</v>
      </c>
      <c r="K361" s="41">
        <f t="shared" si="25"/>
        <v>2094.75</v>
      </c>
      <c r="L361" s="42" t="s">
        <v>11</v>
      </c>
      <c r="M361" s="10"/>
      <c r="N361" s="10"/>
      <c r="O361" s="10"/>
      <c r="P361" s="10"/>
      <c r="Q361" s="10"/>
      <c r="R361" s="10"/>
      <c r="S361" s="10"/>
      <c r="T361" s="10"/>
    </row>
    <row r="362" spans="2:20" x14ac:dyDescent="0.25">
      <c r="B362" s="58" t="s">
        <v>46</v>
      </c>
      <c r="C362" s="37" t="s">
        <v>913</v>
      </c>
      <c r="D362" s="38">
        <v>45833</v>
      </c>
      <c r="E362" s="32"/>
      <c r="F362" s="40" t="s">
        <v>915</v>
      </c>
      <c r="G362" s="41">
        <v>350</v>
      </c>
      <c r="H362" s="41"/>
      <c r="I362" s="41">
        <f t="shared" si="26"/>
        <v>350</v>
      </c>
      <c r="J362" s="41">
        <f t="shared" si="24"/>
        <v>17.5</v>
      </c>
      <c r="K362" s="41">
        <f t="shared" si="25"/>
        <v>367.5</v>
      </c>
      <c r="L362" s="42" t="s">
        <v>49</v>
      </c>
      <c r="M362" s="10"/>
      <c r="N362" s="10"/>
      <c r="O362" s="10"/>
      <c r="P362" s="10"/>
      <c r="Q362" s="10"/>
      <c r="R362" s="10"/>
      <c r="S362" s="10"/>
      <c r="T362" s="10"/>
    </row>
    <row r="363" spans="2:20" x14ac:dyDescent="0.25">
      <c r="B363" s="58" t="s">
        <v>12</v>
      </c>
      <c r="C363" s="37" t="s">
        <v>914</v>
      </c>
      <c r="D363" s="38">
        <v>45833</v>
      </c>
      <c r="E363" s="32" t="s">
        <v>13</v>
      </c>
      <c r="F363" s="40" t="s">
        <v>916</v>
      </c>
      <c r="G363" s="41">
        <v>2790</v>
      </c>
      <c r="H363" s="41"/>
      <c r="I363" s="41">
        <f t="shared" si="26"/>
        <v>2790</v>
      </c>
      <c r="J363" s="41">
        <f t="shared" si="24"/>
        <v>139.5</v>
      </c>
      <c r="K363" s="41">
        <f t="shared" si="25"/>
        <v>2929.5</v>
      </c>
      <c r="L363" s="42" t="s">
        <v>11</v>
      </c>
      <c r="M363" s="10"/>
      <c r="N363" s="10"/>
      <c r="O363" s="10"/>
      <c r="P363" s="10"/>
      <c r="Q363" s="10"/>
      <c r="R363" s="10"/>
      <c r="S363" s="10"/>
      <c r="T363" s="10"/>
    </row>
    <row r="364" spans="2:20" x14ac:dyDescent="0.25">
      <c r="B364" s="58" t="s">
        <v>919</v>
      </c>
      <c r="C364" s="37" t="s">
        <v>917</v>
      </c>
      <c r="D364" s="38">
        <v>45836</v>
      </c>
      <c r="E364" s="32" t="s">
        <v>920</v>
      </c>
      <c r="F364" s="40" t="s">
        <v>921</v>
      </c>
      <c r="G364" s="41">
        <v>1875</v>
      </c>
      <c r="H364" s="41"/>
      <c r="I364" s="41">
        <f t="shared" si="26"/>
        <v>1875</v>
      </c>
      <c r="J364" s="41">
        <f t="shared" si="24"/>
        <v>93.75</v>
      </c>
      <c r="K364" s="41">
        <f t="shared" si="25"/>
        <v>1968.75</v>
      </c>
      <c r="L364" s="42" t="s">
        <v>11</v>
      </c>
      <c r="M364" s="10"/>
      <c r="N364" s="10"/>
      <c r="O364" s="10"/>
      <c r="P364" s="10"/>
      <c r="Q364" s="10"/>
      <c r="R364" s="10"/>
      <c r="S364" s="10"/>
      <c r="T364" s="10"/>
    </row>
    <row r="365" spans="2:20" x14ac:dyDescent="0.25">
      <c r="B365" s="58" t="s">
        <v>645</v>
      </c>
      <c r="C365" s="37" t="s">
        <v>918</v>
      </c>
      <c r="D365" s="38">
        <v>45834</v>
      </c>
      <c r="E365" s="32"/>
      <c r="F365" s="40" t="s">
        <v>922</v>
      </c>
      <c r="G365" s="41">
        <v>195</v>
      </c>
      <c r="H365" s="41"/>
      <c r="I365" s="41">
        <f t="shared" si="26"/>
        <v>195</v>
      </c>
      <c r="J365" s="41">
        <f t="shared" si="24"/>
        <v>9.75</v>
      </c>
      <c r="K365" s="41">
        <f t="shared" si="25"/>
        <v>204.75</v>
      </c>
      <c r="L365" s="42" t="s">
        <v>49</v>
      </c>
      <c r="M365" s="10"/>
      <c r="N365" s="10"/>
      <c r="O365" s="10"/>
      <c r="P365" s="10"/>
      <c r="Q365" s="10"/>
      <c r="R365" s="10"/>
      <c r="S365" s="10"/>
      <c r="T365" s="10"/>
    </row>
    <row r="366" spans="2:20" x14ac:dyDescent="0.25">
      <c r="B366" s="58" t="s">
        <v>242</v>
      </c>
      <c r="C366" s="37" t="s">
        <v>923</v>
      </c>
      <c r="D366" s="38">
        <v>45836</v>
      </c>
      <c r="E366" s="32" t="s">
        <v>243</v>
      </c>
      <c r="F366" s="40" t="s">
        <v>927</v>
      </c>
      <c r="G366" s="41">
        <v>90</v>
      </c>
      <c r="H366" s="41"/>
      <c r="I366" s="41">
        <f t="shared" si="26"/>
        <v>90</v>
      </c>
      <c r="J366" s="41">
        <f t="shared" si="24"/>
        <v>4.5</v>
      </c>
      <c r="K366" s="41">
        <f t="shared" si="25"/>
        <v>94.5</v>
      </c>
      <c r="L366" s="42" t="s">
        <v>11</v>
      </c>
      <c r="M366" s="10"/>
      <c r="N366" s="10"/>
      <c r="O366" s="10"/>
      <c r="P366" s="10"/>
      <c r="Q366" s="10"/>
      <c r="R366" s="10"/>
      <c r="S366" s="10"/>
      <c r="T366" s="10"/>
    </row>
    <row r="367" spans="2:20" x14ac:dyDescent="0.25">
      <c r="B367" s="58" t="s">
        <v>240</v>
      </c>
      <c r="C367" s="37" t="s">
        <v>924</v>
      </c>
      <c r="D367" s="38">
        <v>45836</v>
      </c>
      <c r="E367" s="32" t="s">
        <v>243</v>
      </c>
      <c r="F367" s="40" t="s">
        <v>927</v>
      </c>
      <c r="G367" s="41">
        <v>45</v>
      </c>
      <c r="H367" s="41"/>
      <c r="I367" s="41">
        <f t="shared" si="26"/>
        <v>45</v>
      </c>
      <c r="J367" s="41">
        <f t="shared" si="24"/>
        <v>2.25</v>
      </c>
      <c r="K367" s="41">
        <f t="shared" si="25"/>
        <v>47.25</v>
      </c>
      <c r="L367" s="42" t="s">
        <v>11</v>
      </c>
      <c r="M367" s="10"/>
      <c r="N367" s="10"/>
      <c r="O367" s="10"/>
      <c r="P367" s="10"/>
      <c r="Q367" s="10"/>
      <c r="R367" s="10"/>
      <c r="S367" s="10"/>
      <c r="T367" s="10"/>
    </row>
    <row r="368" spans="2:20" x14ac:dyDescent="0.25">
      <c r="B368" s="58" t="s">
        <v>96</v>
      </c>
      <c r="C368" s="37" t="s">
        <v>925</v>
      </c>
      <c r="D368" s="38">
        <v>45838</v>
      </c>
      <c r="E368" s="32" t="s">
        <v>97</v>
      </c>
      <c r="F368" s="40" t="s">
        <v>98</v>
      </c>
      <c r="G368" s="41">
        <v>390</v>
      </c>
      <c r="H368" s="41"/>
      <c r="I368" s="41">
        <f t="shared" si="26"/>
        <v>390</v>
      </c>
      <c r="J368" s="41">
        <f t="shared" si="24"/>
        <v>19.5</v>
      </c>
      <c r="K368" s="41">
        <f t="shared" si="25"/>
        <v>409.5</v>
      </c>
      <c r="L368" s="42" t="s">
        <v>11</v>
      </c>
      <c r="M368" s="10"/>
      <c r="N368" s="10"/>
      <c r="O368" s="10"/>
      <c r="P368" s="10"/>
      <c r="Q368" s="10"/>
      <c r="R368" s="10"/>
      <c r="S368" s="10"/>
      <c r="T368" s="10"/>
    </row>
    <row r="369" spans="2:20" x14ac:dyDescent="0.25">
      <c r="B369" s="58" t="s">
        <v>928</v>
      </c>
      <c r="C369" s="37" t="s">
        <v>926</v>
      </c>
      <c r="D369" s="38">
        <v>45840</v>
      </c>
      <c r="E369" s="32"/>
      <c r="F369" s="40" t="s">
        <v>929</v>
      </c>
      <c r="G369" s="41">
        <v>1465.2</v>
      </c>
      <c r="H369" s="41"/>
      <c r="I369" s="41">
        <f t="shared" si="26"/>
        <v>1465.2</v>
      </c>
      <c r="J369" s="41">
        <f t="shared" si="24"/>
        <v>73.260000000000005</v>
      </c>
      <c r="K369" s="41">
        <f t="shared" si="25"/>
        <v>1538.46</v>
      </c>
      <c r="L369" s="42" t="s">
        <v>49</v>
      </c>
      <c r="M369" s="10"/>
      <c r="N369" s="10"/>
      <c r="O369" s="10"/>
      <c r="P369" s="10"/>
      <c r="Q369" s="10"/>
      <c r="R369" s="10"/>
      <c r="S369" s="10"/>
      <c r="T369" s="10"/>
    </row>
    <row r="370" spans="2:20" x14ac:dyDescent="0.25">
      <c r="B370" s="58" t="s">
        <v>524</v>
      </c>
      <c r="C370" s="37" t="s">
        <v>930</v>
      </c>
      <c r="D370" s="38">
        <v>45836</v>
      </c>
      <c r="E370" s="32" t="s">
        <v>525</v>
      </c>
      <c r="F370" s="40" t="s">
        <v>931</v>
      </c>
      <c r="G370" s="41">
        <v>5745</v>
      </c>
      <c r="H370" s="41"/>
      <c r="I370" s="41">
        <f t="shared" si="26"/>
        <v>5745</v>
      </c>
      <c r="J370" s="41">
        <f t="shared" si="24"/>
        <v>287.25</v>
      </c>
      <c r="K370" s="41">
        <f t="shared" si="25"/>
        <v>6032.25</v>
      </c>
      <c r="L370" s="42" t="s">
        <v>49</v>
      </c>
      <c r="M370" s="10"/>
      <c r="N370" s="10"/>
      <c r="O370" s="10"/>
      <c r="P370" s="10"/>
      <c r="Q370" s="10"/>
      <c r="R370" s="10"/>
      <c r="S370" s="10"/>
      <c r="T370" s="10"/>
    </row>
    <row r="371" spans="2:20" x14ac:dyDescent="0.25">
      <c r="B371" s="58" t="s">
        <v>58</v>
      </c>
      <c r="C371" s="37" t="s">
        <v>932</v>
      </c>
      <c r="D371" s="38">
        <v>45838</v>
      </c>
      <c r="E371" s="32" t="s">
        <v>60</v>
      </c>
      <c r="F371" s="40" t="s">
        <v>938</v>
      </c>
      <c r="G371" s="41">
        <v>347.5</v>
      </c>
      <c r="H371" s="41"/>
      <c r="I371" s="41">
        <f t="shared" si="26"/>
        <v>347.5</v>
      </c>
      <c r="J371" s="41">
        <f t="shared" si="24"/>
        <v>17.375</v>
      </c>
      <c r="K371" s="41">
        <f t="shared" si="25"/>
        <v>364.875</v>
      </c>
      <c r="L371" s="42" t="s">
        <v>11</v>
      </c>
      <c r="M371" s="10"/>
      <c r="N371" s="10"/>
      <c r="O371" s="10"/>
      <c r="P371" s="10"/>
      <c r="Q371" s="10"/>
      <c r="R371" s="10"/>
      <c r="S371" s="10"/>
      <c r="T371" s="10"/>
    </row>
    <row r="372" spans="2:20" x14ac:dyDescent="0.25">
      <c r="B372" s="58" t="s">
        <v>939</v>
      </c>
      <c r="C372" s="37" t="s">
        <v>933</v>
      </c>
      <c r="D372" s="38">
        <v>45838</v>
      </c>
      <c r="E372" s="32"/>
      <c r="F372" s="40" t="s">
        <v>940</v>
      </c>
      <c r="G372" s="65">
        <v>3809.5238095200002</v>
      </c>
      <c r="H372" s="41"/>
      <c r="I372" s="65">
        <f t="shared" si="26"/>
        <v>3809.5238095200002</v>
      </c>
      <c r="J372" s="65">
        <f t="shared" si="24"/>
        <v>190.47619047600003</v>
      </c>
      <c r="K372" s="41">
        <f t="shared" si="25"/>
        <v>3999.999999996</v>
      </c>
      <c r="L372" s="42" t="s">
        <v>57</v>
      </c>
      <c r="M372" s="10"/>
      <c r="N372" s="10"/>
      <c r="O372" s="10"/>
      <c r="P372" s="10"/>
      <c r="Q372" s="10"/>
      <c r="R372" s="10"/>
      <c r="S372" s="10"/>
      <c r="T372" s="10"/>
    </row>
    <row r="373" spans="2:20" x14ac:dyDescent="0.25">
      <c r="B373" s="58" t="s">
        <v>372</v>
      </c>
      <c r="C373" s="37" t="s">
        <v>934</v>
      </c>
      <c r="D373" s="38">
        <v>45838</v>
      </c>
      <c r="E373" s="32" t="s">
        <v>941</v>
      </c>
      <c r="F373" s="40" t="s">
        <v>257</v>
      </c>
      <c r="G373" s="41">
        <v>470</v>
      </c>
      <c r="H373" s="41"/>
      <c r="I373" s="41">
        <f t="shared" si="26"/>
        <v>470</v>
      </c>
      <c r="J373" s="41">
        <f t="shared" si="24"/>
        <v>23.5</v>
      </c>
      <c r="K373" s="41">
        <f t="shared" si="25"/>
        <v>493.5</v>
      </c>
      <c r="L373" s="42" t="s">
        <v>11</v>
      </c>
      <c r="M373" s="10"/>
      <c r="N373" s="10"/>
      <c r="O373" s="10"/>
      <c r="P373" s="10"/>
      <c r="Q373" s="10"/>
      <c r="R373" s="10"/>
      <c r="S373" s="10"/>
      <c r="T373" s="10"/>
    </row>
    <row r="374" spans="2:20" x14ac:dyDescent="0.25">
      <c r="B374" s="58" t="s">
        <v>848</v>
      </c>
      <c r="C374" s="37" t="s">
        <v>935</v>
      </c>
      <c r="D374" s="38">
        <v>45840</v>
      </c>
      <c r="E374" s="32" t="s">
        <v>849</v>
      </c>
      <c r="F374" s="40" t="s">
        <v>942</v>
      </c>
      <c r="G374" s="41">
        <v>4430</v>
      </c>
      <c r="H374" s="41"/>
      <c r="I374" s="41">
        <f t="shared" si="26"/>
        <v>4430</v>
      </c>
      <c r="J374" s="41">
        <f t="shared" si="24"/>
        <v>221.5</v>
      </c>
      <c r="K374" s="41">
        <f t="shared" si="25"/>
        <v>4651.5</v>
      </c>
      <c r="L374" s="42" t="s">
        <v>49</v>
      </c>
      <c r="M374" s="10"/>
      <c r="N374" s="10"/>
      <c r="O374" s="10"/>
      <c r="P374" s="10"/>
      <c r="Q374" s="10"/>
      <c r="R374" s="10"/>
      <c r="S374" s="10"/>
      <c r="T374" s="10"/>
    </row>
    <row r="375" spans="2:20" x14ac:dyDescent="0.25">
      <c r="B375" s="58" t="s">
        <v>524</v>
      </c>
      <c r="C375" s="37" t="s">
        <v>936</v>
      </c>
      <c r="D375" s="38">
        <v>45840</v>
      </c>
      <c r="E375" s="32" t="s">
        <v>525</v>
      </c>
      <c r="F375" s="40" t="s">
        <v>943</v>
      </c>
      <c r="G375" s="41">
        <v>285</v>
      </c>
      <c r="H375" s="41"/>
      <c r="I375" s="41">
        <f t="shared" si="26"/>
        <v>285</v>
      </c>
      <c r="J375" s="41">
        <f t="shared" si="24"/>
        <v>14.25</v>
      </c>
      <c r="K375" s="41">
        <f t="shared" si="25"/>
        <v>299.25</v>
      </c>
      <c r="L375" s="42" t="s">
        <v>49</v>
      </c>
      <c r="M375" s="10"/>
      <c r="N375" s="10"/>
      <c r="O375" s="10"/>
      <c r="P375" s="10"/>
      <c r="Q375" s="10"/>
      <c r="R375" s="10"/>
      <c r="S375" s="10"/>
      <c r="T375" s="10"/>
    </row>
    <row r="376" spans="2:20" x14ac:dyDescent="0.25">
      <c r="B376" s="58" t="s">
        <v>944</v>
      </c>
      <c r="C376" s="37" t="s">
        <v>937</v>
      </c>
      <c r="D376" s="38">
        <v>45842</v>
      </c>
      <c r="E376" s="32" t="s">
        <v>946</v>
      </c>
      <c r="F376" s="40" t="s">
        <v>945</v>
      </c>
      <c r="G376" s="41">
        <v>4000</v>
      </c>
      <c r="H376" s="41"/>
      <c r="I376" s="41">
        <f t="shared" si="26"/>
        <v>4000</v>
      </c>
      <c r="J376" s="41">
        <f t="shared" si="24"/>
        <v>200</v>
      </c>
      <c r="K376" s="41">
        <f t="shared" si="25"/>
        <v>4200</v>
      </c>
      <c r="L376" s="42" t="s">
        <v>774</v>
      </c>
      <c r="M376" s="10"/>
      <c r="N376" s="10"/>
      <c r="O376" s="10"/>
      <c r="P376" s="10"/>
      <c r="Q376" s="10"/>
      <c r="R376" s="10"/>
      <c r="S376" s="10"/>
      <c r="T376" s="10"/>
    </row>
    <row r="377" spans="2:20" x14ac:dyDescent="0.25">
      <c r="B377" s="58" t="s">
        <v>818</v>
      </c>
      <c r="C377" s="37" t="s">
        <v>948</v>
      </c>
      <c r="D377" s="38">
        <v>45842</v>
      </c>
      <c r="E377" s="32" t="s">
        <v>820</v>
      </c>
      <c r="F377" s="40" t="s">
        <v>951</v>
      </c>
      <c r="G377" s="41">
        <v>450</v>
      </c>
      <c r="H377" s="41"/>
      <c r="I377" s="41">
        <f t="shared" si="26"/>
        <v>450</v>
      </c>
      <c r="J377" s="41">
        <f t="shared" si="24"/>
        <v>22.5</v>
      </c>
      <c r="K377" s="41">
        <f t="shared" si="25"/>
        <v>472.5</v>
      </c>
      <c r="L377" s="42" t="s">
        <v>49</v>
      </c>
      <c r="M377" s="10"/>
      <c r="N377" s="10"/>
      <c r="O377" s="10"/>
      <c r="P377" s="10"/>
      <c r="Q377" s="10"/>
      <c r="R377" s="10"/>
      <c r="S377" s="10"/>
      <c r="T377" s="10"/>
    </row>
    <row r="378" spans="2:20" x14ac:dyDescent="0.25">
      <c r="B378" s="58" t="s">
        <v>952</v>
      </c>
      <c r="C378" s="37" t="s">
        <v>949</v>
      </c>
      <c r="D378" s="38">
        <v>45843</v>
      </c>
      <c r="E378" s="32" t="s">
        <v>954</v>
      </c>
      <c r="F378" s="40" t="s">
        <v>520</v>
      </c>
      <c r="G378" s="41">
        <v>330</v>
      </c>
      <c r="H378" s="41"/>
      <c r="I378" s="41">
        <f t="shared" si="26"/>
        <v>330</v>
      </c>
      <c r="J378" s="41">
        <f t="shared" si="24"/>
        <v>16.5</v>
      </c>
      <c r="K378" s="41">
        <f t="shared" si="25"/>
        <v>346.5</v>
      </c>
      <c r="L378" s="42" t="s">
        <v>49</v>
      </c>
      <c r="M378" s="10"/>
      <c r="N378" s="10"/>
      <c r="O378" s="10"/>
      <c r="P378" s="10"/>
      <c r="Q378" s="10"/>
      <c r="R378" s="10"/>
      <c r="S378" s="10"/>
      <c r="T378" s="10"/>
    </row>
    <row r="379" spans="2:20" x14ac:dyDescent="0.25">
      <c r="B379" s="58" t="s">
        <v>46</v>
      </c>
      <c r="C379" s="37" t="s">
        <v>950</v>
      </c>
      <c r="D379" s="38">
        <v>45842</v>
      </c>
      <c r="E379" s="32"/>
      <c r="F379" s="40" t="s">
        <v>953</v>
      </c>
      <c r="G379" s="41">
        <v>432</v>
      </c>
      <c r="H379" s="41"/>
      <c r="I379" s="41">
        <f t="shared" si="26"/>
        <v>432</v>
      </c>
      <c r="J379" s="41">
        <f t="shared" si="24"/>
        <v>21.6</v>
      </c>
      <c r="K379" s="41">
        <f t="shared" si="25"/>
        <v>453.6</v>
      </c>
      <c r="L379" s="42" t="s">
        <v>49</v>
      </c>
      <c r="M379" s="10"/>
      <c r="N379" s="10"/>
      <c r="O379" s="10"/>
      <c r="P379" s="10"/>
      <c r="Q379" s="10"/>
      <c r="R379" s="10"/>
      <c r="S379" s="10"/>
      <c r="T379" s="10"/>
    </row>
    <row r="380" spans="2:20" x14ac:dyDescent="0.25">
      <c r="B380" s="58" t="s">
        <v>148</v>
      </c>
      <c r="C380" s="37" t="s">
        <v>955</v>
      </c>
      <c r="D380" s="38">
        <v>45845</v>
      </c>
      <c r="E380" s="32" t="s">
        <v>150</v>
      </c>
      <c r="F380" s="40" t="s">
        <v>956</v>
      </c>
      <c r="G380" s="41">
        <v>250</v>
      </c>
      <c r="H380" s="41"/>
      <c r="I380" s="41">
        <f t="shared" si="26"/>
        <v>250</v>
      </c>
      <c r="J380" s="41">
        <f t="shared" ref="J380:J443" si="27">G380*5%</f>
        <v>12.5</v>
      </c>
      <c r="K380" s="41">
        <f t="shared" ref="K380:K443" si="28">G380+J380</f>
        <v>262.5</v>
      </c>
      <c r="L380" s="42" t="s">
        <v>11</v>
      </c>
      <c r="M380" s="10"/>
      <c r="N380" s="10"/>
      <c r="O380" s="10"/>
      <c r="P380" s="10"/>
      <c r="Q380" s="10"/>
      <c r="R380" s="10"/>
      <c r="S380" s="10"/>
      <c r="T380" s="10"/>
    </row>
    <row r="381" spans="2:20" x14ac:dyDescent="0.25">
      <c r="B381" s="58" t="s">
        <v>312</v>
      </c>
      <c r="C381" s="37" t="s">
        <v>957</v>
      </c>
      <c r="D381" s="38">
        <v>45846</v>
      </c>
      <c r="E381" s="32" t="s">
        <v>313</v>
      </c>
      <c r="F381" s="40" t="s">
        <v>963</v>
      </c>
      <c r="G381" s="41">
        <v>1250</v>
      </c>
      <c r="H381" s="41"/>
      <c r="I381" s="41">
        <f t="shared" si="26"/>
        <v>1250</v>
      </c>
      <c r="J381" s="41">
        <f t="shared" si="27"/>
        <v>62.5</v>
      </c>
      <c r="K381" s="41">
        <f t="shared" si="28"/>
        <v>1312.5</v>
      </c>
      <c r="L381" s="42" t="s">
        <v>11</v>
      </c>
      <c r="M381" s="10"/>
      <c r="N381" s="10"/>
      <c r="O381" s="10"/>
      <c r="P381" s="10"/>
      <c r="Q381" s="10"/>
      <c r="R381" s="10"/>
      <c r="S381" s="10"/>
      <c r="T381" s="10"/>
    </row>
    <row r="382" spans="2:20" x14ac:dyDescent="0.25">
      <c r="B382" s="58" t="s">
        <v>58</v>
      </c>
      <c r="C382" s="37" t="s">
        <v>958</v>
      </c>
      <c r="D382" s="38">
        <v>45848</v>
      </c>
      <c r="E382" s="32" t="s">
        <v>60</v>
      </c>
      <c r="F382" s="40" t="s">
        <v>964</v>
      </c>
      <c r="G382" s="41">
        <v>647.5</v>
      </c>
      <c r="H382" s="41"/>
      <c r="I382" s="41">
        <f t="shared" si="26"/>
        <v>647.5</v>
      </c>
      <c r="J382" s="41">
        <f t="shared" si="27"/>
        <v>32.375</v>
      </c>
      <c r="K382" s="41">
        <f t="shared" si="28"/>
        <v>679.875</v>
      </c>
      <c r="L382" s="42" t="s">
        <v>11</v>
      </c>
      <c r="M382" s="10"/>
      <c r="N382" s="10"/>
      <c r="O382" s="10"/>
      <c r="P382" s="10"/>
      <c r="Q382" s="10"/>
      <c r="R382" s="10"/>
      <c r="S382" s="10"/>
      <c r="T382" s="10"/>
    </row>
    <row r="383" spans="2:20" x14ac:dyDescent="0.25">
      <c r="B383" s="58" t="s">
        <v>538</v>
      </c>
      <c r="C383" s="37" t="s">
        <v>959</v>
      </c>
      <c r="D383" s="38">
        <v>45848</v>
      </c>
      <c r="E383" s="32" t="s">
        <v>539</v>
      </c>
      <c r="F383" s="40" t="s">
        <v>817</v>
      </c>
      <c r="G383" s="41">
        <v>378</v>
      </c>
      <c r="H383" s="41"/>
      <c r="I383" s="41">
        <f t="shared" si="26"/>
        <v>378</v>
      </c>
      <c r="J383" s="41">
        <f t="shared" si="27"/>
        <v>18.900000000000002</v>
      </c>
      <c r="K383" s="41">
        <f t="shared" si="28"/>
        <v>396.9</v>
      </c>
      <c r="L383" s="42" t="s">
        <v>11</v>
      </c>
      <c r="M383" s="10"/>
      <c r="N383" s="10"/>
      <c r="O383" s="10"/>
      <c r="P383" s="10"/>
      <c r="Q383" s="10"/>
      <c r="R383" s="10"/>
      <c r="S383" s="10"/>
      <c r="T383" s="10"/>
    </row>
    <row r="384" spans="2:20" x14ac:dyDescent="0.25">
      <c r="B384" s="58" t="s">
        <v>965</v>
      </c>
      <c r="C384" s="37" t="s">
        <v>960</v>
      </c>
      <c r="D384" s="38">
        <v>45848</v>
      </c>
      <c r="E384" s="32" t="s">
        <v>967</v>
      </c>
      <c r="F384" s="40" t="s">
        <v>966</v>
      </c>
      <c r="G384" s="41">
        <v>4800</v>
      </c>
      <c r="H384" s="41"/>
      <c r="I384" s="41">
        <f t="shared" si="26"/>
        <v>4800</v>
      </c>
      <c r="J384" s="41">
        <f t="shared" si="27"/>
        <v>240</v>
      </c>
      <c r="K384" s="41">
        <f t="shared" si="28"/>
        <v>5040</v>
      </c>
      <c r="L384" s="42" t="s">
        <v>774</v>
      </c>
      <c r="M384" s="10"/>
      <c r="N384" s="10"/>
      <c r="O384" s="10"/>
      <c r="P384" s="10"/>
      <c r="Q384" s="10"/>
      <c r="R384" s="10"/>
      <c r="S384" s="10"/>
      <c r="T384" s="10"/>
    </row>
    <row r="385" spans="2:20" x14ac:dyDescent="0.25">
      <c r="B385" s="58" t="s">
        <v>524</v>
      </c>
      <c r="C385" s="37" t="s">
        <v>961</v>
      </c>
      <c r="D385" s="38">
        <v>45899</v>
      </c>
      <c r="E385" s="32" t="s">
        <v>525</v>
      </c>
      <c r="F385" s="40" t="s">
        <v>968</v>
      </c>
      <c r="G385" s="41">
        <v>4955</v>
      </c>
      <c r="H385" s="41"/>
      <c r="I385" s="41">
        <f t="shared" si="26"/>
        <v>4955</v>
      </c>
      <c r="J385" s="41">
        <f t="shared" si="27"/>
        <v>247.75</v>
      </c>
      <c r="K385" s="41">
        <f t="shared" si="28"/>
        <v>5202.75</v>
      </c>
      <c r="L385" s="42" t="s">
        <v>49</v>
      </c>
      <c r="M385" s="10"/>
      <c r="N385" s="10"/>
      <c r="O385" s="10"/>
      <c r="P385" s="10"/>
      <c r="Q385" s="10"/>
      <c r="R385" s="10"/>
      <c r="S385" s="10"/>
      <c r="T385" s="10"/>
    </row>
    <row r="386" spans="2:20" x14ac:dyDescent="0.25">
      <c r="B386" s="58" t="s">
        <v>757</v>
      </c>
      <c r="C386" s="37" t="s">
        <v>962</v>
      </c>
      <c r="D386" s="38">
        <v>45848</v>
      </c>
      <c r="E386" s="32"/>
      <c r="F386" s="40" t="s">
        <v>969</v>
      </c>
      <c r="G386" s="41">
        <v>787.5</v>
      </c>
      <c r="H386" s="41"/>
      <c r="I386" s="41">
        <f t="shared" si="26"/>
        <v>787.5</v>
      </c>
      <c r="J386" s="41">
        <f t="shared" si="27"/>
        <v>39.375</v>
      </c>
      <c r="K386" s="41">
        <f t="shared" si="28"/>
        <v>826.875</v>
      </c>
      <c r="L386" s="42" t="s">
        <v>11</v>
      </c>
      <c r="M386" s="10"/>
      <c r="N386" s="10"/>
      <c r="O386" s="10"/>
      <c r="P386" s="10"/>
      <c r="Q386" s="10"/>
      <c r="R386" s="10"/>
      <c r="S386" s="10"/>
      <c r="T386" s="10"/>
    </row>
    <row r="387" spans="2:20" x14ac:dyDescent="0.25">
      <c r="B387" s="58" t="s">
        <v>606</v>
      </c>
      <c r="C387" s="37" t="s">
        <v>970</v>
      </c>
      <c r="D387" s="38">
        <v>45852</v>
      </c>
      <c r="E387" s="32" t="s">
        <v>846</v>
      </c>
      <c r="F387" s="40" t="s">
        <v>971</v>
      </c>
      <c r="G387" s="41">
        <v>735</v>
      </c>
      <c r="H387" s="41"/>
      <c r="I387" s="41">
        <f t="shared" si="26"/>
        <v>735</v>
      </c>
      <c r="J387" s="41">
        <f t="shared" si="27"/>
        <v>36.75</v>
      </c>
      <c r="K387" s="41">
        <f t="shared" si="28"/>
        <v>771.75</v>
      </c>
      <c r="L387" s="42" t="s">
        <v>11</v>
      </c>
      <c r="M387" s="10"/>
      <c r="N387" s="10"/>
      <c r="O387" s="10"/>
      <c r="P387" s="10"/>
      <c r="Q387" s="10"/>
      <c r="R387" s="10"/>
      <c r="S387" s="10"/>
      <c r="T387" s="10"/>
    </row>
    <row r="388" spans="2:20" x14ac:dyDescent="0.25">
      <c r="B388" s="58" t="s">
        <v>46</v>
      </c>
      <c r="C388" s="37" t="s">
        <v>972</v>
      </c>
      <c r="D388" s="38">
        <v>45852</v>
      </c>
      <c r="E388" s="32"/>
      <c r="F388" s="40" t="s">
        <v>974</v>
      </c>
      <c r="G388" s="41">
        <v>555</v>
      </c>
      <c r="H388" s="41"/>
      <c r="I388" s="41">
        <f t="shared" si="26"/>
        <v>555</v>
      </c>
      <c r="J388" s="41">
        <f t="shared" si="27"/>
        <v>27.75</v>
      </c>
      <c r="K388" s="41">
        <f t="shared" si="28"/>
        <v>582.75</v>
      </c>
      <c r="L388" s="42" t="s">
        <v>49</v>
      </c>
      <c r="M388" s="10"/>
      <c r="N388" s="10"/>
      <c r="O388" s="10"/>
      <c r="P388" s="10"/>
      <c r="Q388" s="10"/>
      <c r="R388" s="10"/>
      <c r="S388" s="10"/>
      <c r="T388" s="10"/>
    </row>
    <row r="389" spans="2:20" x14ac:dyDescent="0.25">
      <c r="B389" s="58" t="s">
        <v>46</v>
      </c>
      <c r="C389" s="37" t="s">
        <v>973</v>
      </c>
      <c r="D389" s="38">
        <v>45852</v>
      </c>
      <c r="E389" s="32"/>
      <c r="F389" s="40" t="s">
        <v>975</v>
      </c>
      <c r="G389" s="41">
        <v>475</v>
      </c>
      <c r="H389" s="41"/>
      <c r="I389" s="41">
        <f t="shared" si="26"/>
        <v>475</v>
      </c>
      <c r="J389" s="41">
        <f t="shared" si="27"/>
        <v>23.75</v>
      </c>
      <c r="K389" s="41">
        <f t="shared" si="28"/>
        <v>498.75</v>
      </c>
      <c r="L389" s="42" t="s">
        <v>49</v>
      </c>
      <c r="M389" s="10"/>
      <c r="N389" s="10"/>
      <c r="O389" s="10"/>
      <c r="P389" s="10"/>
      <c r="Q389" s="10"/>
      <c r="R389" s="10"/>
      <c r="S389" s="10"/>
      <c r="T389" s="10"/>
    </row>
    <row r="390" spans="2:20" x14ac:dyDescent="0.25">
      <c r="B390" s="58" t="s">
        <v>755</v>
      </c>
      <c r="C390" s="37" t="s">
        <v>976</v>
      </c>
      <c r="D390" s="38">
        <v>45852</v>
      </c>
      <c r="E390" s="32" t="s">
        <v>756</v>
      </c>
      <c r="F390" s="40" t="s">
        <v>977</v>
      </c>
      <c r="G390" s="41">
        <v>1250</v>
      </c>
      <c r="H390" s="41"/>
      <c r="I390" s="41">
        <f t="shared" si="26"/>
        <v>1250</v>
      </c>
      <c r="J390" s="41">
        <f t="shared" si="27"/>
        <v>62.5</v>
      </c>
      <c r="K390" s="41">
        <f t="shared" si="28"/>
        <v>1312.5</v>
      </c>
      <c r="L390" s="42" t="s">
        <v>11</v>
      </c>
      <c r="M390" s="10"/>
      <c r="N390" s="10"/>
      <c r="O390" s="10"/>
      <c r="P390" s="10"/>
      <c r="Q390" s="10"/>
      <c r="R390" s="10"/>
      <c r="S390" s="10"/>
      <c r="T390" s="10"/>
    </row>
    <row r="391" spans="2:20" x14ac:dyDescent="0.25">
      <c r="B391" s="58" t="s">
        <v>12</v>
      </c>
      <c r="C391" s="37" t="s">
        <v>978</v>
      </c>
      <c r="D391" s="38">
        <v>45853</v>
      </c>
      <c r="E391" s="32" t="s">
        <v>13</v>
      </c>
      <c r="F391" s="40" t="s">
        <v>979</v>
      </c>
      <c r="G391" s="41">
        <v>476.1</v>
      </c>
      <c r="H391" s="41"/>
      <c r="I391" s="41">
        <f t="shared" si="26"/>
        <v>476.1</v>
      </c>
      <c r="J391" s="41">
        <f t="shared" si="27"/>
        <v>23.805000000000003</v>
      </c>
      <c r="K391" s="41">
        <f t="shared" si="28"/>
        <v>499.90500000000003</v>
      </c>
      <c r="L391" s="42" t="s">
        <v>11</v>
      </c>
      <c r="M391" s="10"/>
      <c r="N391" s="10"/>
      <c r="O391" s="10"/>
      <c r="P391" s="10"/>
      <c r="Q391" s="10"/>
      <c r="R391" s="10"/>
      <c r="S391" s="10"/>
      <c r="T391" s="10"/>
    </row>
    <row r="392" spans="2:20" x14ac:dyDescent="0.25">
      <c r="B392" s="58" t="s">
        <v>757</v>
      </c>
      <c r="C392" s="37" t="s">
        <v>980</v>
      </c>
      <c r="D392" s="38">
        <v>45853</v>
      </c>
      <c r="E392" s="32"/>
      <c r="F392" s="40" t="s">
        <v>983</v>
      </c>
      <c r="G392" s="41">
        <v>565</v>
      </c>
      <c r="H392" s="41"/>
      <c r="I392" s="41">
        <f t="shared" si="26"/>
        <v>565</v>
      </c>
      <c r="J392" s="41">
        <f t="shared" si="27"/>
        <v>28.25</v>
      </c>
      <c r="K392" s="41">
        <f t="shared" si="28"/>
        <v>593.25</v>
      </c>
      <c r="L392" s="42" t="s">
        <v>11</v>
      </c>
      <c r="M392" s="10"/>
      <c r="N392" s="10"/>
      <c r="O392" s="10"/>
      <c r="P392" s="10"/>
      <c r="Q392" s="10"/>
      <c r="R392" s="10"/>
      <c r="S392" s="10"/>
      <c r="T392" s="10"/>
    </row>
    <row r="393" spans="2:20" x14ac:dyDescent="0.25">
      <c r="B393" s="58" t="s">
        <v>155</v>
      </c>
      <c r="C393" s="37" t="s">
        <v>981</v>
      </c>
      <c r="D393" s="38">
        <v>45860</v>
      </c>
      <c r="E393" s="32" t="s">
        <v>157</v>
      </c>
      <c r="F393" s="40" t="s">
        <v>984</v>
      </c>
      <c r="G393" s="41">
        <v>9031.25</v>
      </c>
      <c r="H393" s="41"/>
      <c r="I393" s="41">
        <f t="shared" si="26"/>
        <v>9031.25</v>
      </c>
      <c r="J393" s="41">
        <f t="shared" si="27"/>
        <v>451.5625</v>
      </c>
      <c r="K393" s="41">
        <f t="shared" si="28"/>
        <v>9482.8125</v>
      </c>
      <c r="L393" s="42" t="s">
        <v>11</v>
      </c>
      <c r="M393" s="10"/>
      <c r="N393" s="10"/>
      <c r="O393" s="10"/>
      <c r="P393" s="10"/>
      <c r="Q393" s="10"/>
      <c r="R393" s="10"/>
      <c r="S393" s="10"/>
      <c r="T393" s="10"/>
    </row>
    <row r="394" spans="2:20" x14ac:dyDescent="0.25">
      <c r="B394" s="58" t="s">
        <v>985</v>
      </c>
      <c r="C394" s="37" t="s">
        <v>982</v>
      </c>
      <c r="D394" s="38">
        <v>45854</v>
      </c>
      <c r="E394" s="32" t="s">
        <v>987</v>
      </c>
      <c r="F394" s="40" t="s">
        <v>986</v>
      </c>
      <c r="G394" s="41">
        <v>75</v>
      </c>
      <c r="H394" s="41"/>
      <c r="I394" s="41">
        <f t="shared" si="26"/>
        <v>75</v>
      </c>
      <c r="J394" s="41">
        <f t="shared" si="27"/>
        <v>3.75</v>
      </c>
      <c r="K394" s="41">
        <f t="shared" si="28"/>
        <v>78.75</v>
      </c>
      <c r="L394" s="42" t="s">
        <v>49</v>
      </c>
      <c r="M394" s="10"/>
      <c r="N394" s="10"/>
      <c r="O394" s="10"/>
      <c r="P394" s="10"/>
      <c r="Q394" s="10"/>
      <c r="R394" s="10"/>
      <c r="S394" s="10"/>
      <c r="T394" s="10"/>
    </row>
    <row r="395" spans="2:20" x14ac:dyDescent="0.25">
      <c r="B395" s="58" t="s">
        <v>989</v>
      </c>
      <c r="C395" s="37" t="s">
        <v>988</v>
      </c>
      <c r="D395" s="38">
        <v>45855</v>
      </c>
      <c r="E395" s="32" t="s">
        <v>990</v>
      </c>
      <c r="F395" s="40" t="s">
        <v>591</v>
      </c>
      <c r="G395" s="41">
        <v>435</v>
      </c>
      <c r="H395" s="41"/>
      <c r="I395" s="41">
        <f t="shared" si="26"/>
        <v>435</v>
      </c>
      <c r="J395" s="41">
        <f t="shared" si="27"/>
        <v>21.75</v>
      </c>
      <c r="K395" s="41">
        <f t="shared" si="28"/>
        <v>456.75</v>
      </c>
      <c r="L395" s="42" t="s">
        <v>11</v>
      </c>
      <c r="M395" s="10"/>
      <c r="N395" s="10"/>
      <c r="O395" s="10"/>
      <c r="P395" s="10"/>
      <c r="Q395" s="10"/>
      <c r="R395" s="10"/>
      <c r="S395" s="10"/>
      <c r="T395" s="10"/>
    </row>
    <row r="396" spans="2:20" x14ac:dyDescent="0.25">
      <c r="B396" s="58" t="s">
        <v>12</v>
      </c>
      <c r="C396" s="37" t="s">
        <v>991</v>
      </c>
      <c r="D396" s="38">
        <v>45855</v>
      </c>
      <c r="E396" s="32" t="s">
        <v>13</v>
      </c>
      <c r="F396" s="40" t="s">
        <v>993</v>
      </c>
      <c r="G396" s="41">
        <v>29180.75</v>
      </c>
      <c r="H396" s="41"/>
      <c r="I396" s="41">
        <f t="shared" si="26"/>
        <v>29180.75</v>
      </c>
      <c r="J396" s="41">
        <f t="shared" si="27"/>
        <v>1459.0375000000001</v>
      </c>
      <c r="K396" s="41">
        <f t="shared" si="28"/>
        <v>30639.787499999999</v>
      </c>
      <c r="L396" s="42" t="s">
        <v>11</v>
      </c>
      <c r="M396" s="10"/>
      <c r="N396" s="10"/>
      <c r="O396" s="10"/>
      <c r="P396" s="13"/>
      <c r="Q396" s="10"/>
      <c r="R396" s="10"/>
      <c r="S396" s="10"/>
      <c r="T396" s="10"/>
    </row>
    <row r="397" spans="2:20" x14ac:dyDescent="0.25">
      <c r="B397" s="58" t="s">
        <v>46</v>
      </c>
      <c r="C397" s="37" t="s">
        <v>992</v>
      </c>
      <c r="D397" s="38">
        <v>45856</v>
      </c>
      <c r="E397" s="32"/>
      <c r="F397" s="40" t="s">
        <v>994</v>
      </c>
      <c r="G397" s="41">
        <v>501</v>
      </c>
      <c r="H397" s="41"/>
      <c r="I397" s="41">
        <f t="shared" ref="I397:I460" si="29">G397-H397</f>
        <v>501</v>
      </c>
      <c r="J397" s="41">
        <f t="shared" si="27"/>
        <v>25.05</v>
      </c>
      <c r="K397" s="41">
        <f t="shared" si="28"/>
        <v>526.04999999999995</v>
      </c>
      <c r="L397" s="42" t="s">
        <v>49</v>
      </c>
      <c r="M397" s="10"/>
      <c r="N397" s="10"/>
      <c r="O397" s="10"/>
      <c r="P397" s="14" t="s">
        <v>15</v>
      </c>
      <c r="Q397" s="10"/>
      <c r="R397" s="10"/>
      <c r="S397" s="10"/>
      <c r="T397" s="10"/>
    </row>
    <row r="398" spans="2:20" x14ac:dyDescent="0.25">
      <c r="B398" s="58" t="s">
        <v>996</v>
      </c>
      <c r="C398" s="37" t="s">
        <v>995</v>
      </c>
      <c r="D398" s="38">
        <v>45857</v>
      </c>
      <c r="E398" s="32"/>
      <c r="F398" s="40" t="s">
        <v>997</v>
      </c>
      <c r="G398" s="41">
        <v>185</v>
      </c>
      <c r="H398" s="41"/>
      <c r="I398" s="41">
        <f t="shared" si="29"/>
        <v>185</v>
      </c>
      <c r="J398" s="41">
        <f t="shared" si="27"/>
        <v>9.25</v>
      </c>
      <c r="K398" s="41">
        <f t="shared" si="28"/>
        <v>194.25</v>
      </c>
      <c r="L398" s="42" t="s">
        <v>11</v>
      </c>
      <c r="M398" s="10"/>
      <c r="N398" s="10"/>
      <c r="O398" s="10"/>
      <c r="P398" s="10"/>
      <c r="Q398" s="10"/>
      <c r="R398" s="10"/>
      <c r="S398" s="10"/>
      <c r="T398" s="10"/>
    </row>
    <row r="399" spans="2:20" x14ac:dyDescent="0.25">
      <c r="B399" s="58" t="s">
        <v>999</v>
      </c>
      <c r="C399" s="37" t="s">
        <v>998</v>
      </c>
      <c r="D399" s="38">
        <v>45860</v>
      </c>
      <c r="E399" s="32"/>
      <c r="F399" s="40" t="s">
        <v>1000</v>
      </c>
      <c r="G399" s="41">
        <v>3750</v>
      </c>
      <c r="H399" s="41"/>
      <c r="I399" s="41">
        <f t="shared" si="29"/>
        <v>3750</v>
      </c>
      <c r="J399" s="41">
        <f t="shared" si="27"/>
        <v>187.5</v>
      </c>
      <c r="K399" s="41">
        <f t="shared" si="28"/>
        <v>3937.5</v>
      </c>
      <c r="L399" s="42" t="s">
        <v>11</v>
      </c>
      <c r="M399" s="10"/>
      <c r="N399" s="10"/>
      <c r="O399" s="10"/>
      <c r="P399" s="10"/>
      <c r="Q399" s="10"/>
      <c r="R399" s="10"/>
      <c r="S399" s="10"/>
      <c r="T399" s="10"/>
    </row>
    <row r="400" spans="2:20" x14ac:dyDescent="0.25">
      <c r="B400" s="58" t="s">
        <v>96</v>
      </c>
      <c r="C400" s="37" t="s">
        <v>1001</v>
      </c>
      <c r="D400" s="38">
        <v>45859</v>
      </c>
      <c r="E400" s="32" t="s">
        <v>97</v>
      </c>
      <c r="F400" s="40" t="s">
        <v>1008</v>
      </c>
      <c r="G400" s="41">
        <v>100</v>
      </c>
      <c r="H400" s="41"/>
      <c r="I400" s="41">
        <f t="shared" si="29"/>
        <v>100</v>
      </c>
      <c r="J400" s="41">
        <f t="shared" si="27"/>
        <v>5</v>
      </c>
      <c r="K400" s="41">
        <f t="shared" si="28"/>
        <v>105</v>
      </c>
      <c r="L400" s="42" t="s">
        <v>11</v>
      </c>
      <c r="M400" s="10"/>
      <c r="N400" s="10"/>
      <c r="O400" s="10"/>
      <c r="P400" s="10"/>
      <c r="Q400" s="10"/>
      <c r="R400" s="10"/>
      <c r="S400" s="10"/>
      <c r="T400" s="10"/>
    </row>
    <row r="401" spans="2:20" x14ac:dyDescent="0.25">
      <c r="B401" s="58" t="s">
        <v>155</v>
      </c>
      <c r="C401" s="37" t="s">
        <v>1002</v>
      </c>
      <c r="D401" s="38">
        <v>45860</v>
      </c>
      <c r="E401" s="32" t="s">
        <v>157</v>
      </c>
      <c r="F401" s="40" t="s">
        <v>1009</v>
      </c>
      <c r="G401" s="41">
        <v>322.5</v>
      </c>
      <c r="H401" s="41"/>
      <c r="I401" s="41">
        <f t="shared" si="29"/>
        <v>322.5</v>
      </c>
      <c r="J401" s="41">
        <f t="shared" si="27"/>
        <v>16.125</v>
      </c>
      <c r="K401" s="41">
        <f t="shared" si="28"/>
        <v>338.625</v>
      </c>
      <c r="L401" s="42" t="s">
        <v>11</v>
      </c>
      <c r="M401" s="10"/>
      <c r="N401" s="10"/>
      <c r="O401" s="10"/>
      <c r="P401" s="10"/>
      <c r="Q401" s="10"/>
      <c r="R401" s="10"/>
      <c r="S401" s="10"/>
      <c r="T401" s="10"/>
    </row>
    <row r="402" spans="2:20" x14ac:dyDescent="0.25">
      <c r="B402" s="58" t="s">
        <v>155</v>
      </c>
      <c r="C402" s="37" t="s">
        <v>1003</v>
      </c>
      <c r="D402" s="38">
        <v>45860</v>
      </c>
      <c r="E402" s="32" t="s">
        <v>157</v>
      </c>
      <c r="F402" s="40" t="s">
        <v>1009</v>
      </c>
      <c r="G402" s="41">
        <v>322.5</v>
      </c>
      <c r="H402" s="41"/>
      <c r="I402" s="41">
        <f t="shared" si="29"/>
        <v>322.5</v>
      </c>
      <c r="J402" s="41">
        <f t="shared" si="27"/>
        <v>16.125</v>
      </c>
      <c r="K402" s="41">
        <f t="shared" si="28"/>
        <v>338.625</v>
      </c>
      <c r="L402" s="42" t="s">
        <v>11</v>
      </c>
      <c r="M402" s="10"/>
      <c r="N402" s="10"/>
      <c r="O402" s="10"/>
      <c r="P402" s="10"/>
      <c r="Q402" s="10"/>
      <c r="R402" s="10"/>
      <c r="S402" s="10"/>
      <c r="T402" s="10"/>
    </row>
    <row r="403" spans="2:20" x14ac:dyDescent="0.25">
      <c r="B403" s="58" t="s">
        <v>919</v>
      </c>
      <c r="C403" s="37" t="s">
        <v>1004</v>
      </c>
      <c r="D403" s="38">
        <v>45860</v>
      </c>
      <c r="E403" s="32" t="s">
        <v>920</v>
      </c>
      <c r="F403" s="40" t="s">
        <v>1010</v>
      </c>
      <c r="G403" s="41">
        <v>15212.5</v>
      </c>
      <c r="H403" s="41"/>
      <c r="I403" s="41">
        <f t="shared" si="29"/>
        <v>15212.5</v>
      </c>
      <c r="J403" s="41">
        <f t="shared" si="27"/>
        <v>760.625</v>
      </c>
      <c r="K403" s="41">
        <f t="shared" si="28"/>
        <v>15973.125</v>
      </c>
      <c r="L403" s="42" t="s">
        <v>11</v>
      </c>
      <c r="M403" s="10"/>
      <c r="N403" s="10"/>
      <c r="O403" s="10"/>
      <c r="P403" s="10"/>
      <c r="Q403" s="10"/>
      <c r="R403" s="10"/>
      <c r="S403" s="10"/>
      <c r="T403" s="10"/>
    </row>
    <row r="404" spans="2:20" x14ac:dyDescent="0.25">
      <c r="B404" s="58" t="s">
        <v>885</v>
      </c>
      <c r="C404" s="37" t="s">
        <v>1005</v>
      </c>
      <c r="D404" s="38">
        <v>45861</v>
      </c>
      <c r="E404" s="32"/>
      <c r="F404" s="40" t="s">
        <v>591</v>
      </c>
      <c r="G404" s="41">
        <v>780</v>
      </c>
      <c r="H404" s="41"/>
      <c r="I404" s="41">
        <f t="shared" si="29"/>
        <v>780</v>
      </c>
      <c r="J404" s="41">
        <f t="shared" si="27"/>
        <v>39</v>
      </c>
      <c r="K404" s="41">
        <f t="shared" si="28"/>
        <v>819</v>
      </c>
      <c r="L404" s="42" t="s">
        <v>11</v>
      </c>
      <c r="M404" s="10"/>
      <c r="N404" s="10"/>
      <c r="O404" s="10"/>
      <c r="P404" s="10"/>
      <c r="Q404" s="10"/>
      <c r="R404" s="10"/>
      <c r="S404" s="10"/>
      <c r="T404" s="10"/>
    </row>
    <row r="405" spans="2:20" x14ac:dyDescent="0.25">
      <c r="B405" s="58" t="s">
        <v>1011</v>
      </c>
      <c r="C405" s="37" t="s">
        <v>1006</v>
      </c>
      <c r="D405" s="38">
        <v>45861</v>
      </c>
      <c r="E405" s="32"/>
      <c r="F405" s="40" t="s">
        <v>1012</v>
      </c>
      <c r="G405" s="41">
        <v>285</v>
      </c>
      <c r="H405" s="41"/>
      <c r="I405" s="41">
        <f t="shared" si="29"/>
        <v>285</v>
      </c>
      <c r="J405" s="41">
        <f t="shared" si="27"/>
        <v>14.25</v>
      </c>
      <c r="K405" s="41">
        <f t="shared" si="28"/>
        <v>299.25</v>
      </c>
      <c r="L405" s="42" t="s">
        <v>11</v>
      </c>
      <c r="M405" s="10"/>
      <c r="N405" s="10"/>
      <c r="O405" s="10"/>
      <c r="P405" s="10"/>
      <c r="Q405" s="10"/>
      <c r="R405" s="10"/>
      <c r="S405" s="10"/>
      <c r="T405" s="10"/>
    </row>
    <row r="406" spans="2:20" x14ac:dyDescent="0.25">
      <c r="B406" s="58" t="s">
        <v>757</v>
      </c>
      <c r="C406" s="37" t="s">
        <v>1007</v>
      </c>
      <c r="D406" s="38">
        <v>45861</v>
      </c>
      <c r="E406" s="32"/>
      <c r="F406" s="40" t="s">
        <v>1013</v>
      </c>
      <c r="G406" s="41">
        <v>510</v>
      </c>
      <c r="H406" s="41"/>
      <c r="I406" s="41">
        <f t="shared" si="29"/>
        <v>510</v>
      </c>
      <c r="J406" s="41">
        <f t="shared" si="27"/>
        <v>25.5</v>
      </c>
      <c r="K406" s="41">
        <f t="shared" si="28"/>
        <v>535.5</v>
      </c>
      <c r="L406" s="42" t="s">
        <v>11</v>
      </c>
      <c r="M406" s="10"/>
      <c r="N406" s="10"/>
      <c r="O406" s="10"/>
      <c r="P406" s="10"/>
      <c r="Q406" s="10"/>
      <c r="R406" s="10"/>
      <c r="S406" s="10"/>
      <c r="T406" s="10"/>
    </row>
    <row r="407" spans="2:20" x14ac:dyDescent="0.25">
      <c r="B407" s="58" t="s">
        <v>538</v>
      </c>
      <c r="C407" s="37" t="s">
        <v>1014</v>
      </c>
      <c r="D407" s="38">
        <v>45868</v>
      </c>
      <c r="E407" s="32" t="s">
        <v>539</v>
      </c>
      <c r="F407" s="40" t="s">
        <v>1026</v>
      </c>
      <c r="G407" s="41">
        <v>17308</v>
      </c>
      <c r="H407" s="41"/>
      <c r="I407" s="41">
        <f t="shared" si="29"/>
        <v>17308</v>
      </c>
      <c r="J407" s="41">
        <f t="shared" si="27"/>
        <v>865.40000000000009</v>
      </c>
      <c r="K407" s="41">
        <f t="shared" si="28"/>
        <v>18173.400000000001</v>
      </c>
      <c r="L407" s="42" t="s">
        <v>11</v>
      </c>
      <c r="M407" s="10"/>
      <c r="N407" s="10"/>
      <c r="O407" s="10"/>
      <c r="P407" s="10"/>
      <c r="Q407" s="10"/>
      <c r="R407" s="10"/>
      <c r="S407" s="10"/>
      <c r="T407" s="10"/>
    </row>
    <row r="408" spans="2:20" x14ac:dyDescent="0.25">
      <c r="B408" s="58" t="s">
        <v>96</v>
      </c>
      <c r="C408" s="37" t="s">
        <v>1015</v>
      </c>
      <c r="D408" s="38">
        <v>45869</v>
      </c>
      <c r="E408" s="32" t="s">
        <v>97</v>
      </c>
      <c r="F408" s="40" t="s">
        <v>98</v>
      </c>
      <c r="G408" s="41">
        <v>390</v>
      </c>
      <c r="H408" s="41"/>
      <c r="I408" s="41">
        <f t="shared" si="29"/>
        <v>390</v>
      </c>
      <c r="J408" s="41">
        <f t="shared" si="27"/>
        <v>19.5</v>
      </c>
      <c r="K408" s="41">
        <f t="shared" si="28"/>
        <v>409.5</v>
      </c>
      <c r="L408" s="42" t="s">
        <v>11</v>
      </c>
      <c r="M408" s="10"/>
      <c r="N408" s="10"/>
      <c r="O408" s="10"/>
      <c r="P408" s="10"/>
      <c r="Q408" s="10"/>
      <c r="R408" s="10"/>
      <c r="S408" s="10"/>
      <c r="T408" s="10"/>
    </row>
    <row r="409" spans="2:20" x14ac:dyDescent="0.25">
      <c r="B409" s="58" t="s">
        <v>312</v>
      </c>
      <c r="C409" s="37" t="s">
        <v>1016</v>
      </c>
      <c r="D409" s="38">
        <v>45868</v>
      </c>
      <c r="E409" s="32" t="s">
        <v>313</v>
      </c>
      <c r="F409" s="40" t="s">
        <v>1027</v>
      </c>
      <c r="G409" s="41">
        <v>3300</v>
      </c>
      <c r="H409" s="41"/>
      <c r="I409" s="41">
        <f t="shared" si="29"/>
        <v>3300</v>
      </c>
      <c r="J409" s="41">
        <f t="shared" si="27"/>
        <v>165</v>
      </c>
      <c r="K409" s="41">
        <f t="shared" si="28"/>
        <v>3465</v>
      </c>
      <c r="L409" s="42" t="s">
        <v>11</v>
      </c>
      <c r="M409" s="10"/>
      <c r="N409" s="10"/>
      <c r="O409" s="10"/>
      <c r="P409" s="10"/>
      <c r="Q409" s="10"/>
      <c r="R409" s="10"/>
      <c r="S409" s="10"/>
      <c r="T409" s="10"/>
    </row>
    <row r="410" spans="2:20" x14ac:dyDescent="0.25">
      <c r="B410" s="58" t="s">
        <v>155</v>
      </c>
      <c r="C410" s="37" t="s">
        <v>1017</v>
      </c>
      <c r="D410" s="38">
        <v>45889</v>
      </c>
      <c r="E410" s="32" t="s">
        <v>157</v>
      </c>
      <c r="F410" s="40" t="s">
        <v>984</v>
      </c>
      <c r="G410" s="41">
        <v>9031.25</v>
      </c>
      <c r="H410" s="41"/>
      <c r="I410" s="41">
        <f t="shared" si="29"/>
        <v>9031.25</v>
      </c>
      <c r="J410" s="41">
        <f t="shared" si="27"/>
        <v>451.5625</v>
      </c>
      <c r="K410" s="41">
        <f t="shared" si="28"/>
        <v>9482.8125</v>
      </c>
      <c r="L410" s="42" t="s">
        <v>11</v>
      </c>
      <c r="M410" s="10"/>
      <c r="N410" s="10"/>
      <c r="O410" s="10"/>
      <c r="P410" s="10"/>
      <c r="Q410" s="10"/>
      <c r="R410" s="10"/>
      <c r="S410" s="10"/>
      <c r="T410" s="10"/>
    </row>
    <row r="411" spans="2:20" x14ac:dyDescent="0.25">
      <c r="B411" s="58" t="s">
        <v>240</v>
      </c>
      <c r="C411" s="37" t="s">
        <v>1018</v>
      </c>
      <c r="D411" s="38">
        <v>45869</v>
      </c>
      <c r="E411" s="32" t="s">
        <v>243</v>
      </c>
      <c r="F411" s="40" t="s">
        <v>1028</v>
      </c>
      <c r="G411" s="41">
        <v>30</v>
      </c>
      <c r="H411" s="41"/>
      <c r="I411" s="41">
        <f t="shared" si="29"/>
        <v>30</v>
      </c>
      <c r="J411" s="41">
        <f t="shared" si="27"/>
        <v>1.5</v>
      </c>
      <c r="K411" s="41">
        <f t="shared" si="28"/>
        <v>31.5</v>
      </c>
      <c r="L411" s="42" t="s">
        <v>11</v>
      </c>
      <c r="M411" s="10"/>
      <c r="N411" s="10"/>
      <c r="O411" s="10"/>
      <c r="P411" s="10"/>
      <c r="Q411" s="10"/>
      <c r="R411" s="10"/>
      <c r="S411" s="10"/>
      <c r="T411" s="10"/>
    </row>
    <row r="412" spans="2:20" x14ac:dyDescent="0.25">
      <c r="B412" s="58" t="s">
        <v>242</v>
      </c>
      <c r="C412" s="37" t="s">
        <v>1019</v>
      </c>
      <c r="D412" s="38">
        <v>45869</v>
      </c>
      <c r="E412" s="32" t="s">
        <v>243</v>
      </c>
      <c r="F412" s="40" t="s">
        <v>1028</v>
      </c>
      <c r="G412" s="41">
        <v>210</v>
      </c>
      <c r="H412" s="41"/>
      <c r="I412" s="41">
        <f t="shared" si="29"/>
        <v>210</v>
      </c>
      <c r="J412" s="41">
        <f t="shared" si="27"/>
        <v>10.5</v>
      </c>
      <c r="K412" s="41">
        <f t="shared" si="28"/>
        <v>220.5</v>
      </c>
      <c r="L412" s="42" t="s">
        <v>11</v>
      </c>
      <c r="M412" s="10"/>
      <c r="N412" s="10"/>
      <c r="O412" s="10"/>
      <c r="P412" s="10"/>
      <c r="Q412" s="10"/>
      <c r="R412" s="10"/>
      <c r="S412" s="10"/>
      <c r="T412" s="10"/>
    </row>
    <row r="413" spans="2:20" x14ac:dyDescent="0.25">
      <c r="B413" s="58" t="s">
        <v>148</v>
      </c>
      <c r="C413" s="37" t="s">
        <v>1020</v>
      </c>
      <c r="D413" s="38">
        <v>45869</v>
      </c>
      <c r="E413" s="32" t="s">
        <v>150</v>
      </c>
      <c r="F413" s="40" t="s">
        <v>1029</v>
      </c>
      <c r="G413" s="41">
        <v>235</v>
      </c>
      <c r="H413" s="41"/>
      <c r="I413" s="41">
        <f t="shared" si="29"/>
        <v>235</v>
      </c>
      <c r="J413" s="41">
        <f t="shared" si="27"/>
        <v>11.75</v>
      </c>
      <c r="K413" s="41">
        <f t="shared" si="28"/>
        <v>246.75</v>
      </c>
      <c r="L413" s="42" t="s">
        <v>11</v>
      </c>
      <c r="M413" s="10"/>
      <c r="N413" s="10"/>
      <c r="O413" s="10"/>
      <c r="P413" s="10"/>
      <c r="Q413" s="10"/>
      <c r="R413" s="10"/>
      <c r="S413" s="10"/>
      <c r="T413" s="10"/>
    </row>
    <row r="414" spans="2:20" x14ac:dyDescent="0.25">
      <c r="B414" s="58" t="s">
        <v>1030</v>
      </c>
      <c r="C414" s="37" t="s">
        <v>1021</v>
      </c>
      <c r="D414" s="38">
        <v>45869</v>
      </c>
      <c r="E414" s="32"/>
      <c r="F414" s="40" t="s">
        <v>1031</v>
      </c>
      <c r="G414" s="41">
        <v>333.5</v>
      </c>
      <c r="H414" s="41"/>
      <c r="I414" s="41">
        <f t="shared" si="29"/>
        <v>333.5</v>
      </c>
      <c r="J414" s="41">
        <f t="shared" si="27"/>
        <v>16.675000000000001</v>
      </c>
      <c r="K414" s="41">
        <f t="shared" si="28"/>
        <v>350.17500000000001</v>
      </c>
      <c r="L414" s="42" t="s">
        <v>1032</v>
      </c>
      <c r="M414" s="10"/>
      <c r="N414" s="10"/>
      <c r="O414" s="10"/>
      <c r="P414" s="10"/>
      <c r="Q414" s="10"/>
      <c r="R414" s="10"/>
      <c r="S414" s="10"/>
      <c r="T414" s="10"/>
    </row>
    <row r="415" spans="2:20" x14ac:dyDescent="0.25">
      <c r="B415" s="58" t="s">
        <v>738</v>
      </c>
      <c r="C415" s="37" t="s">
        <v>1022</v>
      </c>
      <c r="D415" s="38">
        <v>45869</v>
      </c>
      <c r="E415" s="32"/>
      <c r="F415" s="40" t="s">
        <v>1033</v>
      </c>
      <c r="G415" s="41">
        <v>600</v>
      </c>
      <c r="H415" s="41"/>
      <c r="I415" s="41">
        <f t="shared" si="29"/>
        <v>600</v>
      </c>
      <c r="J415" s="41">
        <f t="shared" si="27"/>
        <v>30</v>
      </c>
      <c r="K415" s="41">
        <f t="shared" si="28"/>
        <v>630</v>
      </c>
      <c r="L415" s="42" t="s">
        <v>11</v>
      </c>
      <c r="M415" s="10"/>
      <c r="N415" s="10"/>
      <c r="O415" s="10"/>
      <c r="P415" s="10"/>
      <c r="Q415" s="10"/>
      <c r="R415" s="10"/>
      <c r="S415" s="10"/>
      <c r="T415" s="10"/>
    </row>
    <row r="416" spans="2:20" x14ac:dyDescent="0.25">
      <c r="B416" s="58" t="s">
        <v>283</v>
      </c>
      <c r="C416" s="37" t="s">
        <v>1023</v>
      </c>
      <c r="D416" s="38">
        <v>45869</v>
      </c>
      <c r="E416" s="32" t="s">
        <v>284</v>
      </c>
      <c r="F416" s="40" t="s">
        <v>461</v>
      </c>
      <c r="G416" s="41">
        <v>730</v>
      </c>
      <c r="H416" s="41"/>
      <c r="I416" s="41">
        <f t="shared" si="29"/>
        <v>730</v>
      </c>
      <c r="J416" s="41">
        <f t="shared" si="27"/>
        <v>36.5</v>
      </c>
      <c r="K416" s="41">
        <f t="shared" si="28"/>
        <v>766.5</v>
      </c>
      <c r="L416" s="42" t="s">
        <v>11</v>
      </c>
      <c r="M416" s="10"/>
      <c r="N416" s="10"/>
      <c r="O416" s="10"/>
      <c r="P416" s="10"/>
      <c r="Q416" s="10"/>
      <c r="R416" s="10"/>
      <c r="S416" s="10"/>
      <c r="T416" s="10"/>
    </row>
    <row r="417" spans="2:20" x14ac:dyDescent="0.25">
      <c r="B417" s="58" t="s">
        <v>58</v>
      </c>
      <c r="C417" s="37" t="s">
        <v>1024</v>
      </c>
      <c r="D417" s="38">
        <v>45869</v>
      </c>
      <c r="E417" s="32" t="s">
        <v>60</v>
      </c>
      <c r="F417" s="40" t="s">
        <v>1034</v>
      </c>
      <c r="G417" s="41">
        <v>610</v>
      </c>
      <c r="H417" s="41"/>
      <c r="I417" s="41">
        <f t="shared" si="29"/>
        <v>610</v>
      </c>
      <c r="J417" s="41">
        <f t="shared" si="27"/>
        <v>30.5</v>
      </c>
      <c r="K417" s="41">
        <f t="shared" si="28"/>
        <v>640.5</v>
      </c>
      <c r="L417" s="42" t="s">
        <v>11</v>
      </c>
      <c r="M417" s="10"/>
      <c r="N417" s="10"/>
      <c r="O417" s="10"/>
      <c r="P417" s="10"/>
      <c r="Q417" s="10"/>
      <c r="R417" s="10"/>
      <c r="S417" s="10"/>
      <c r="T417" s="10"/>
    </row>
    <row r="418" spans="2:20" x14ac:dyDescent="0.25">
      <c r="B418" s="58" t="s">
        <v>247</v>
      </c>
      <c r="C418" s="37" t="s">
        <v>1025</v>
      </c>
      <c r="D418" s="66">
        <v>45870</v>
      </c>
      <c r="E418" s="32" t="s">
        <v>248</v>
      </c>
      <c r="F418" s="40" t="s">
        <v>1035</v>
      </c>
      <c r="G418" s="41">
        <v>760</v>
      </c>
      <c r="H418" s="41"/>
      <c r="I418" s="41">
        <f t="shared" si="29"/>
        <v>760</v>
      </c>
      <c r="J418" s="41">
        <f t="shared" si="27"/>
        <v>38</v>
      </c>
      <c r="K418" s="41">
        <f t="shared" si="28"/>
        <v>798</v>
      </c>
      <c r="L418" s="42" t="s">
        <v>11</v>
      </c>
      <c r="M418" s="10"/>
      <c r="N418" s="10"/>
      <c r="O418" s="10"/>
      <c r="P418" s="10"/>
      <c r="Q418" s="10"/>
      <c r="R418" s="10"/>
      <c r="S418" s="10"/>
      <c r="T418" s="10"/>
    </row>
    <row r="419" spans="2:20" x14ac:dyDescent="0.25">
      <c r="B419" s="58" t="s">
        <v>490</v>
      </c>
      <c r="C419" s="37" t="s">
        <v>1036</v>
      </c>
      <c r="D419" s="38">
        <v>45877</v>
      </c>
      <c r="E419" s="32" t="s">
        <v>491</v>
      </c>
      <c r="F419" s="40" t="s">
        <v>1047</v>
      </c>
      <c r="G419" s="41">
        <v>2775</v>
      </c>
      <c r="H419" s="41"/>
      <c r="I419" s="41">
        <f t="shared" si="29"/>
        <v>2775</v>
      </c>
      <c r="J419" s="41">
        <f t="shared" si="27"/>
        <v>138.75</v>
      </c>
      <c r="K419" s="41">
        <f t="shared" si="28"/>
        <v>2913.75</v>
      </c>
      <c r="L419" s="42" t="s">
        <v>11</v>
      </c>
      <c r="M419" s="10"/>
      <c r="N419" s="10"/>
      <c r="O419" s="10"/>
      <c r="P419" s="10"/>
      <c r="Q419" s="10"/>
      <c r="R419" s="10"/>
      <c r="S419" s="10"/>
      <c r="T419" s="10"/>
    </row>
    <row r="420" spans="2:20" x14ac:dyDescent="0.25">
      <c r="B420" s="58" t="s">
        <v>155</v>
      </c>
      <c r="C420" s="37" t="s">
        <v>1037</v>
      </c>
      <c r="D420" s="38">
        <v>45874</v>
      </c>
      <c r="E420" s="32" t="s">
        <v>157</v>
      </c>
      <c r="F420" s="40" t="s">
        <v>145</v>
      </c>
      <c r="G420" s="41">
        <v>160</v>
      </c>
      <c r="H420" s="41"/>
      <c r="I420" s="41">
        <f t="shared" si="29"/>
        <v>160</v>
      </c>
      <c r="J420" s="41">
        <f t="shared" si="27"/>
        <v>8</v>
      </c>
      <c r="K420" s="41">
        <f t="shared" si="28"/>
        <v>168</v>
      </c>
      <c r="L420" s="42" t="s">
        <v>11</v>
      </c>
      <c r="M420" s="10"/>
      <c r="N420" s="10"/>
      <c r="O420" s="10"/>
      <c r="P420" s="10"/>
      <c r="Q420" s="10"/>
      <c r="R420" s="10"/>
      <c r="S420" s="10"/>
      <c r="T420" s="10"/>
    </row>
    <row r="421" spans="2:20" x14ac:dyDescent="0.25">
      <c r="B421" s="58" t="s">
        <v>68</v>
      </c>
      <c r="C421" s="37" t="s">
        <v>1038</v>
      </c>
      <c r="D421" s="38">
        <v>45874</v>
      </c>
      <c r="E421" s="32" t="s">
        <v>78</v>
      </c>
      <c r="F421" s="40" t="s">
        <v>1048</v>
      </c>
      <c r="G421" s="41">
        <v>405</v>
      </c>
      <c r="H421" s="41"/>
      <c r="I421" s="41">
        <f t="shared" si="29"/>
        <v>405</v>
      </c>
      <c r="J421" s="41">
        <f t="shared" si="27"/>
        <v>20.25</v>
      </c>
      <c r="K421" s="41">
        <f t="shared" si="28"/>
        <v>425.25</v>
      </c>
      <c r="L421" s="42" t="s">
        <v>11</v>
      </c>
      <c r="M421" s="10"/>
      <c r="N421" s="10"/>
      <c r="O421" s="10"/>
      <c r="P421" s="10"/>
      <c r="Q421" s="10"/>
      <c r="R421" s="10"/>
      <c r="S421" s="10"/>
      <c r="T421" s="10"/>
    </row>
    <row r="422" spans="2:20" x14ac:dyDescent="0.25">
      <c r="B422" s="58" t="s">
        <v>1063</v>
      </c>
      <c r="C422" s="37" t="s">
        <v>1039</v>
      </c>
      <c r="D422" s="38">
        <v>45883</v>
      </c>
      <c r="E422" s="32"/>
      <c r="F422" s="40" t="s">
        <v>1064</v>
      </c>
      <c r="G422" s="41">
        <v>6734</v>
      </c>
      <c r="H422" s="41"/>
      <c r="I422" s="41">
        <f t="shared" si="29"/>
        <v>6734</v>
      </c>
      <c r="J422" s="41">
        <f t="shared" si="27"/>
        <v>336.70000000000005</v>
      </c>
      <c r="K422" s="41">
        <f t="shared" si="28"/>
        <v>7070.7</v>
      </c>
      <c r="L422" s="42" t="s">
        <v>57</v>
      </c>
      <c r="M422" s="10"/>
      <c r="N422" s="10"/>
      <c r="O422" s="10"/>
      <c r="P422" s="10"/>
      <c r="Q422" s="10"/>
      <c r="R422" s="10"/>
      <c r="S422" s="10"/>
      <c r="T422" s="10"/>
    </row>
    <row r="423" spans="2:20" x14ac:dyDescent="0.25">
      <c r="B423" s="58" t="s">
        <v>68</v>
      </c>
      <c r="C423" s="37" t="s">
        <v>1040</v>
      </c>
      <c r="D423" s="38">
        <v>45876</v>
      </c>
      <c r="E423" s="32" t="s">
        <v>78</v>
      </c>
      <c r="F423" s="40" t="s">
        <v>259</v>
      </c>
      <c r="G423" s="41">
        <v>3150</v>
      </c>
      <c r="H423" s="41"/>
      <c r="I423" s="41">
        <f t="shared" si="29"/>
        <v>3150</v>
      </c>
      <c r="J423" s="41">
        <f t="shared" si="27"/>
        <v>157.5</v>
      </c>
      <c r="K423" s="41">
        <f t="shared" si="28"/>
        <v>3307.5</v>
      </c>
      <c r="L423" s="42" t="s">
        <v>11</v>
      </c>
      <c r="M423" s="10"/>
      <c r="N423" s="10"/>
      <c r="O423" s="10"/>
      <c r="P423" s="10"/>
      <c r="Q423" s="10"/>
      <c r="R423" s="10"/>
      <c r="S423" s="10"/>
      <c r="T423" s="10"/>
    </row>
    <row r="424" spans="2:20" x14ac:dyDescent="0.25">
      <c r="B424" s="58" t="s">
        <v>12</v>
      </c>
      <c r="C424" s="37" t="s">
        <v>1041</v>
      </c>
      <c r="D424" s="38">
        <v>45876</v>
      </c>
      <c r="E424" s="32" t="s">
        <v>13</v>
      </c>
      <c r="F424" s="40" t="s">
        <v>1049</v>
      </c>
      <c r="G424" s="41">
        <v>16720</v>
      </c>
      <c r="H424" s="41"/>
      <c r="I424" s="41">
        <f t="shared" si="29"/>
        <v>16720</v>
      </c>
      <c r="J424" s="41">
        <f t="shared" si="27"/>
        <v>836</v>
      </c>
      <c r="K424" s="41">
        <f t="shared" si="28"/>
        <v>17556</v>
      </c>
      <c r="L424" s="42" t="s">
        <v>11</v>
      </c>
      <c r="M424" s="10"/>
      <c r="N424" s="10"/>
      <c r="O424" s="10"/>
      <c r="P424" s="10"/>
      <c r="Q424" s="10"/>
      <c r="R424" s="10"/>
      <c r="S424" s="10"/>
      <c r="T424" s="10"/>
    </row>
    <row r="425" spans="2:20" x14ac:dyDescent="0.25">
      <c r="B425" s="58" t="s">
        <v>310</v>
      </c>
      <c r="C425" s="37" t="s">
        <v>1042</v>
      </c>
      <c r="D425" s="38">
        <v>45876</v>
      </c>
      <c r="E425" s="32" t="s">
        <v>157</v>
      </c>
      <c r="F425" s="40" t="s">
        <v>145</v>
      </c>
      <c r="G425" s="41">
        <v>160</v>
      </c>
      <c r="H425" s="41"/>
      <c r="I425" s="41">
        <f t="shared" si="29"/>
        <v>160</v>
      </c>
      <c r="J425" s="41">
        <f t="shared" si="27"/>
        <v>8</v>
      </c>
      <c r="K425" s="41">
        <f t="shared" si="28"/>
        <v>168</v>
      </c>
      <c r="L425" s="42" t="s">
        <v>11</v>
      </c>
      <c r="M425" s="10"/>
      <c r="N425" s="10"/>
      <c r="O425" s="10"/>
      <c r="P425" s="10"/>
      <c r="Q425" s="10"/>
      <c r="R425" s="10"/>
      <c r="S425" s="10"/>
      <c r="T425" s="10"/>
    </row>
    <row r="426" spans="2:20" x14ac:dyDescent="0.25">
      <c r="B426" s="58" t="s">
        <v>1050</v>
      </c>
      <c r="C426" s="37" t="s">
        <v>1043</v>
      </c>
      <c r="D426" s="38">
        <v>45877</v>
      </c>
      <c r="E426" s="32"/>
      <c r="F426" s="40" t="s">
        <v>1051</v>
      </c>
      <c r="G426" s="41">
        <v>2375</v>
      </c>
      <c r="H426" s="41"/>
      <c r="I426" s="41">
        <f t="shared" si="29"/>
        <v>2375</v>
      </c>
      <c r="J426" s="41">
        <f t="shared" si="27"/>
        <v>118.75</v>
      </c>
      <c r="K426" s="41">
        <f t="shared" si="28"/>
        <v>2493.75</v>
      </c>
      <c r="L426" s="42" t="s">
        <v>774</v>
      </c>
      <c r="M426" s="10"/>
      <c r="N426" s="10"/>
      <c r="O426" s="10"/>
      <c r="P426" s="10"/>
      <c r="Q426" s="10"/>
      <c r="R426" s="10"/>
      <c r="S426" s="10"/>
      <c r="T426" s="10"/>
    </row>
    <row r="427" spans="2:20" x14ac:dyDescent="0.25">
      <c r="B427" s="58" t="s">
        <v>818</v>
      </c>
      <c r="C427" s="37" t="s">
        <v>1044</v>
      </c>
      <c r="D427" s="38">
        <v>45878</v>
      </c>
      <c r="E427" s="32" t="s">
        <v>820</v>
      </c>
      <c r="F427" s="40" t="s">
        <v>1052</v>
      </c>
      <c r="G427" s="41">
        <v>2355</v>
      </c>
      <c r="H427" s="41"/>
      <c r="I427" s="41">
        <f t="shared" si="29"/>
        <v>2355</v>
      </c>
      <c r="J427" s="41">
        <f t="shared" si="27"/>
        <v>117.75</v>
      </c>
      <c r="K427" s="41">
        <f t="shared" si="28"/>
        <v>2472.75</v>
      </c>
      <c r="L427" s="42" t="s">
        <v>49</v>
      </c>
      <c r="M427" s="10"/>
      <c r="N427" s="10"/>
      <c r="O427" s="10"/>
      <c r="P427" s="10"/>
      <c r="Q427" s="10"/>
      <c r="R427" s="10"/>
      <c r="S427" s="10"/>
      <c r="T427" s="10"/>
    </row>
    <row r="428" spans="2:20" x14ac:dyDescent="0.25">
      <c r="B428" s="58" t="s">
        <v>87</v>
      </c>
      <c r="C428" s="37" t="s">
        <v>1045</v>
      </c>
      <c r="D428" s="38">
        <v>45877</v>
      </c>
      <c r="E428" s="32" t="s">
        <v>88</v>
      </c>
      <c r="F428" s="40" t="s">
        <v>1053</v>
      </c>
      <c r="G428" s="41">
        <v>600</v>
      </c>
      <c r="H428" s="41"/>
      <c r="I428" s="41">
        <f t="shared" si="29"/>
        <v>600</v>
      </c>
      <c r="J428" s="41">
        <f t="shared" si="27"/>
        <v>30</v>
      </c>
      <c r="K428" s="41">
        <f t="shared" si="28"/>
        <v>630</v>
      </c>
      <c r="L428" s="42" t="s">
        <v>11</v>
      </c>
      <c r="M428" s="10"/>
      <c r="N428" s="10"/>
      <c r="O428" s="10"/>
      <c r="P428" s="10"/>
      <c r="Q428" s="10"/>
      <c r="R428" s="10"/>
      <c r="S428" s="10"/>
      <c r="T428" s="10"/>
    </row>
    <row r="429" spans="2:20" x14ac:dyDescent="0.25">
      <c r="B429" s="58" t="s">
        <v>46</v>
      </c>
      <c r="C429" s="37" t="s">
        <v>1046</v>
      </c>
      <c r="D429" s="38">
        <v>45877</v>
      </c>
      <c r="E429" s="32"/>
      <c r="F429" s="40" t="s">
        <v>1054</v>
      </c>
      <c r="G429" s="41">
        <v>717</v>
      </c>
      <c r="H429" s="41"/>
      <c r="I429" s="41">
        <f t="shared" si="29"/>
        <v>717</v>
      </c>
      <c r="J429" s="41">
        <f t="shared" si="27"/>
        <v>35.85</v>
      </c>
      <c r="K429" s="41">
        <f t="shared" si="28"/>
        <v>752.85</v>
      </c>
      <c r="L429" s="42" t="s">
        <v>49</v>
      </c>
      <c r="M429" s="10"/>
      <c r="N429" s="10"/>
      <c r="O429" s="10"/>
      <c r="P429" s="10"/>
      <c r="Q429" s="10"/>
      <c r="R429" s="10"/>
      <c r="S429" s="10"/>
      <c r="T429" s="10"/>
    </row>
    <row r="430" spans="2:20" x14ac:dyDescent="0.25">
      <c r="B430" s="58" t="s">
        <v>1055</v>
      </c>
      <c r="C430" s="37" t="s">
        <v>1056</v>
      </c>
      <c r="D430" s="38">
        <v>45880</v>
      </c>
      <c r="E430" s="32"/>
      <c r="F430" s="40" t="s">
        <v>1057</v>
      </c>
      <c r="G430" s="41">
        <v>4500</v>
      </c>
      <c r="H430" s="41"/>
      <c r="I430" s="41">
        <f t="shared" si="29"/>
        <v>4500</v>
      </c>
      <c r="J430" s="41">
        <f t="shared" si="27"/>
        <v>225</v>
      </c>
      <c r="K430" s="41">
        <f t="shared" si="28"/>
        <v>4725</v>
      </c>
      <c r="L430" s="42" t="s">
        <v>11</v>
      </c>
      <c r="M430" s="10"/>
      <c r="N430" s="10"/>
      <c r="O430" s="10"/>
      <c r="P430" s="10"/>
      <c r="Q430" s="10"/>
      <c r="R430" s="10"/>
      <c r="S430" s="10"/>
      <c r="T430" s="10"/>
    </row>
    <row r="431" spans="2:20" x14ac:dyDescent="0.25">
      <c r="B431" s="58" t="s">
        <v>38</v>
      </c>
      <c r="C431" s="37" t="s">
        <v>1058</v>
      </c>
      <c r="D431" s="38">
        <v>45881</v>
      </c>
      <c r="E431" s="32" t="s">
        <v>40</v>
      </c>
      <c r="F431" s="40" t="s">
        <v>986</v>
      </c>
      <c r="G431" s="41">
        <v>9812.5</v>
      </c>
      <c r="H431" s="41"/>
      <c r="I431" s="41">
        <f t="shared" si="29"/>
        <v>9812.5</v>
      </c>
      <c r="J431" s="41">
        <f t="shared" si="27"/>
        <v>490.625</v>
      </c>
      <c r="K431" s="41">
        <f t="shared" si="28"/>
        <v>10303.125</v>
      </c>
      <c r="L431" s="42" t="s">
        <v>774</v>
      </c>
      <c r="M431" s="10"/>
      <c r="N431" s="10"/>
      <c r="O431" s="10"/>
      <c r="P431" s="10"/>
      <c r="Q431" s="10"/>
      <c r="R431" s="10"/>
      <c r="S431" s="10"/>
      <c r="T431" s="10"/>
    </row>
    <row r="432" spans="2:20" x14ac:dyDescent="0.25">
      <c r="B432" s="58" t="s">
        <v>12</v>
      </c>
      <c r="C432" s="37" t="s">
        <v>1061</v>
      </c>
      <c r="D432" s="38">
        <v>45883</v>
      </c>
      <c r="E432" s="32" t="s">
        <v>13</v>
      </c>
      <c r="F432" s="40" t="s">
        <v>1062</v>
      </c>
      <c r="G432" s="41">
        <v>25753.75</v>
      </c>
      <c r="H432" s="41"/>
      <c r="I432" s="41">
        <f t="shared" si="29"/>
        <v>25753.75</v>
      </c>
      <c r="J432" s="41">
        <f t="shared" si="27"/>
        <v>1287.6875</v>
      </c>
      <c r="K432" s="41">
        <f t="shared" si="28"/>
        <v>27041.4375</v>
      </c>
      <c r="L432" s="42" t="s">
        <v>11</v>
      </c>
      <c r="M432" s="10"/>
      <c r="N432" s="10"/>
      <c r="O432" s="10"/>
      <c r="P432" s="10"/>
      <c r="Q432" s="10"/>
      <c r="R432" s="10"/>
      <c r="S432" s="10"/>
      <c r="T432" s="10"/>
    </row>
    <row r="433" spans="2:20" x14ac:dyDescent="0.25">
      <c r="B433" s="58" t="s">
        <v>1059</v>
      </c>
      <c r="C433" s="37" t="s">
        <v>1065</v>
      </c>
      <c r="D433" s="38">
        <v>45883</v>
      </c>
      <c r="E433" s="32"/>
      <c r="F433" s="40" t="s">
        <v>1060</v>
      </c>
      <c r="G433" s="41">
        <v>310</v>
      </c>
      <c r="H433" s="41"/>
      <c r="I433" s="41">
        <f t="shared" si="29"/>
        <v>310</v>
      </c>
      <c r="J433" s="41">
        <f t="shared" si="27"/>
        <v>15.5</v>
      </c>
      <c r="K433" s="41">
        <f t="shared" si="28"/>
        <v>325.5</v>
      </c>
      <c r="L433" s="42" t="s">
        <v>57</v>
      </c>
      <c r="M433" s="10"/>
      <c r="N433" s="10"/>
      <c r="O433" s="10"/>
      <c r="P433" s="10"/>
      <c r="Q433" s="10"/>
      <c r="R433" s="10"/>
      <c r="S433" s="10"/>
      <c r="T433" s="10"/>
    </row>
    <row r="434" spans="2:20" x14ac:dyDescent="0.25">
      <c r="B434" s="58" t="s">
        <v>1063</v>
      </c>
      <c r="C434" s="37" t="s">
        <v>1066</v>
      </c>
      <c r="D434" s="38">
        <v>45883</v>
      </c>
      <c r="E434" s="32"/>
      <c r="F434" s="40" t="s">
        <v>140</v>
      </c>
      <c r="G434" s="41">
        <v>180</v>
      </c>
      <c r="H434" s="41"/>
      <c r="I434" s="41">
        <f t="shared" si="29"/>
        <v>180</v>
      </c>
      <c r="J434" s="41">
        <f t="shared" si="27"/>
        <v>9</v>
      </c>
      <c r="K434" s="41">
        <f t="shared" si="28"/>
        <v>189</v>
      </c>
      <c r="L434" s="42" t="s">
        <v>57</v>
      </c>
      <c r="M434" s="10"/>
      <c r="N434" s="10"/>
      <c r="O434" s="10"/>
      <c r="P434" s="10"/>
      <c r="Q434" s="10"/>
      <c r="R434" s="10"/>
      <c r="S434" s="10"/>
      <c r="T434" s="10"/>
    </row>
    <row r="435" spans="2:20" x14ac:dyDescent="0.25">
      <c r="B435" s="58" t="s">
        <v>46</v>
      </c>
      <c r="C435" s="37" t="s">
        <v>1067</v>
      </c>
      <c r="D435" s="38">
        <v>45885</v>
      </c>
      <c r="E435" s="32"/>
      <c r="F435" s="40" t="s">
        <v>1069</v>
      </c>
      <c r="G435" s="41">
        <v>406.5</v>
      </c>
      <c r="H435" s="41"/>
      <c r="I435" s="41">
        <f t="shared" si="29"/>
        <v>406.5</v>
      </c>
      <c r="J435" s="41">
        <f t="shared" si="27"/>
        <v>20.325000000000003</v>
      </c>
      <c r="K435" s="41">
        <f t="shared" si="28"/>
        <v>426.82499999999999</v>
      </c>
      <c r="L435" s="42" t="s">
        <v>49</v>
      </c>
      <c r="M435" s="10"/>
      <c r="N435" s="10"/>
      <c r="O435" s="10"/>
      <c r="P435" s="10"/>
      <c r="Q435" s="10"/>
      <c r="R435" s="10"/>
      <c r="S435" s="10"/>
      <c r="T435" s="10"/>
    </row>
    <row r="436" spans="2:20" x14ac:dyDescent="0.25">
      <c r="B436" s="58" t="s">
        <v>919</v>
      </c>
      <c r="C436" s="37" t="s">
        <v>1068</v>
      </c>
      <c r="D436" s="38">
        <v>45887</v>
      </c>
      <c r="E436" s="32" t="s">
        <v>920</v>
      </c>
      <c r="F436" s="40" t="s">
        <v>1010</v>
      </c>
      <c r="G436" s="41">
        <v>1850</v>
      </c>
      <c r="H436" s="41"/>
      <c r="I436" s="41">
        <f t="shared" si="29"/>
        <v>1850</v>
      </c>
      <c r="J436" s="41">
        <f t="shared" si="27"/>
        <v>92.5</v>
      </c>
      <c r="K436" s="41">
        <f t="shared" si="28"/>
        <v>1942.5</v>
      </c>
      <c r="L436" s="42" t="s">
        <v>11</v>
      </c>
      <c r="M436" s="10"/>
      <c r="N436" s="10"/>
      <c r="O436" s="10"/>
      <c r="P436" s="10"/>
      <c r="Q436" s="10"/>
      <c r="R436" s="10"/>
      <c r="S436" s="10"/>
      <c r="T436" s="10"/>
    </row>
    <row r="437" spans="2:20" x14ac:dyDescent="0.25">
      <c r="B437" s="58" t="s">
        <v>42</v>
      </c>
      <c r="C437" s="37" t="s">
        <v>1070</v>
      </c>
      <c r="D437" s="38">
        <v>45888</v>
      </c>
      <c r="E437" s="32" t="s">
        <v>44</v>
      </c>
      <c r="F437" s="40" t="s">
        <v>1080</v>
      </c>
      <c r="G437" s="41">
        <v>975</v>
      </c>
      <c r="H437" s="41"/>
      <c r="I437" s="41">
        <f t="shared" si="29"/>
        <v>975</v>
      </c>
      <c r="J437" s="41">
        <f t="shared" si="27"/>
        <v>48.75</v>
      </c>
      <c r="K437" s="41">
        <f t="shared" si="28"/>
        <v>1023.75</v>
      </c>
      <c r="L437" s="42" t="s">
        <v>49</v>
      </c>
      <c r="M437" s="10"/>
      <c r="N437" s="10"/>
      <c r="O437" s="10"/>
      <c r="P437" s="10"/>
      <c r="Q437" s="10"/>
      <c r="R437" s="10"/>
      <c r="S437" s="10"/>
      <c r="T437" s="10"/>
    </row>
    <row r="438" spans="2:20" x14ac:dyDescent="0.25">
      <c r="B438" s="58" t="s">
        <v>784</v>
      </c>
      <c r="C438" s="37" t="s">
        <v>1071</v>
      </c>
      <c r="D438" s="38">
        <v>45889</v>
      </c>
      <c r="E438" s="32"/>
      <c r="F438" s="40" t="s">
        <v>1081</v>
      </c>
      <c r="G438" s="41">
        <v>312.5</v>
      </c>
      <c r="H438" s="41"/>
      <c r="I438" s="41">
        <f t="shared" si="29"/>
        <v>312.5</v>
      </c>
      <c r="J438" s="41">
        <f t="shared" si="27"/>
        <v>15.625</v>
      </c>
      <c r="K438" s="41">
        <f t="shared" si="28"/>
        <v>328.125</v>
      </c>
      <c r="L438" s="42" t="s">
        <v>11</v>
      </c>
      <c r="M438" s="10"/>
      <c r="N438" s="10"/>
      <c r="O438" s="10"/>
      <c r="P438" s="10"/>
      <c r="Q438" s="10"/>
      <c r="R438" s="10"/>
      <c r="S438" s="10"/>
      <c r="T438" s="10"/>
    </row>
    <row r="439" spans="2:20" x14ac:dyDescent="0.25">
      <c r="B439" s="58" t="s">
        <v>919</v>
      </c>
      <c r="C439" s="37" t="s">
        <v>1072</v>
      </c>
      <c r="D439" s="38">
        <v>45889</v>
      </c>
      <c r="E439" s="32" t="s">
        <v>920</v>
      </c>
      <c r="F439" s="40" t="s">
        <v>921</v>
      </c>
      <c r="G439" s="41">
        <v>1125</v>
      </c>
      <c r="H439" s="41"/>
      <c r="I439" s="41">
        <f t="shared" si="29"/>
        <v>1125</v>
      </c>
      <c r="J439" s="41">
        <f t="shared" si="27"/>
        <v>56.25</v>
      </c>
      <c r="K439" s="41">
        <f t="shared" si="28"/>
        <v>1181.25</v>
      </c>
      <c r="L439" s="42" t="s">
        <v>11</v>
      </c>
      <c r="M439" s="10"/>
      <c r="N439" s="10"/>
      <c r="O439" s="10"/>
      <c r="P439" s="10"/>
      <c r="Q439" s="10"/>
      <c r="R439" s="10"/>
      <c r="S439" s="10"/>
      <c r="T439" s="10"/>
    </row>
    <row r="440" spans="2:20" x14ac:dyDescent="0.25">
      <c r="B440" s="58" t="s">
        <v>1082</v>
      </c>
      <c r="C440" s="37" t="s">
        <v>1073</v>
      </c>
      <c r="D440" s="38">
        <v>45889</v>
      </c>
      <c r="E440" s="32"/>
      <c r="F440" s="40" t="s">
        <v>1083</v>
      </c>
      <c r="G440" s="41">
        <v>1779</v>
      </c>
      <c r="H440" s="41"/>
      <c r="I440" s="41">
        <f t="shared" si="29"/>
        <v>1779</v>
      </c>
      <c r="J440" s="41">
        <f t="shared" si="27"/>
        <v>88.95</v>
      </c>
      <c r="K440" s="41">
        <f t="shared" si="28"/>
        <v>1867.95</v>
      </c>
      <c r="L440" s="42" t="s">
        <v>774</v>
      </c>
      <c r="M440" s="10"/>
      <c r="N440" s="10"/>
      <c r="O440" s="10"/>
      <c r="P440" s="10"/>
      <c r="Q440" s="10"/>
      <c r="R440" s="10"/>
      <c r="S440" s="10"/>
      <c r="T440" s="10"/>
    </row>
    <row r="441" spans="2:20" x14ac:dyDescent="0.25">
      <c r="B441" s="58" t="s">
        <v>96</v>
      </c>
      <c r="C441" s="37" t="s">
        <v>1074</v>
      </c>
      <c r="D441" s="38">
        <v>45890</v>
      </c>
      <c r="E441" s="32" t="s">
        <v>97</v>
      </c>
      <c r="F441" s="40" t="s">
        <v>1084</v>
      </c>
      <c r="G441" s="41">
        <v>13710.5</v>
      </c>
      <c r="H441" s="41"/>
      <c r="I441" s="41">
        <f t="shared" si="29"/>
        <v>13710.5</v>
      </c>
      <c r="J441" s="41">
        <f t="shared" si="27"/>
        <v>685.52500000000009</v>
      </c>
      <c r="K441" s="41">
        <f t="shared" si="28"/>
        <v>14396.025</v>
      </c>
      <c r="L441" s="42" t="s">
        <v>11</v>
      </c>
      <c r="M441" s="10"/>
      <c r="N441" s="10"/>
      <c r="O441" s="10"/>
      <c r="P441" s="10"/>
      <c r="Q441" s="10"/>
      <c r="R441" s="10"/>
      <c r="S441" s="10"/>
      <c r="T441" s="10"/>
    </row>
    <row r="442" spans="2:20" x14ac:dyDescent="0.25">
      <c r="B442" s="58" t="s">
        <v>12</v>
      </c>
      <c r="C442" s="37" t="s">
        <v>1075</v>
      </c>
      <c r="D442" s="38">
        <v>45890</v>
      </c>
      <c r="E442" s="32" t="s">
        <v>13</v>
      </c>
      <c r="F442" s="40" t="s">
        <v>1085</v>
      </c>
      <c r="G442" s="41">
        <v>8875</v>
      </c>
      <c r="H442" s="41"/>
      <c r="I442" s="41">
        <f t="shared" si="29"/>
        <v>8875</v>
      </c>
      <c r="J442" s="41">
        <f t="shared" si="27"/>
        <v>443.75</v>
      </c>
      <c r="K442" s="41">
        <f t="shared" si="28"/>
        <v>9318.75</v>
      </c>
      <c r="L442" s="42" t="s">
        <v>11</v>
      </c>
      <c r="M442" s="10"/>
      <c r="N442" s="10"/>
      <c r="O442" s="10"/>
      <c r="P442" s="10"/>
      <c r="Q442" s="10"/>
      <c r="R442" s="10"/>
      <c r="S442" s="10"/>
      <c r="T442" s="10"/>
    </row>
    <row r="443" spans="2:20" x14ac:dyDescent="0.25">
      <c r="B443" s="63" t="s">
        <v>919</v>
      </c>
      <c r="C443" s="37" t="s">
        <v>1076</v>
      </c>
      <c r="D443" s="38">
        <v>45890</v>
      </c>
      <c r="E443" s="32" t="s">
        <v>920</v>
      </c>
      <c r="F443" s="40" t="s">
        <v>1086</v>
      </c>
      <c r="G443" s="41">
        <v>8750</v>
      </c>
      <c r="H443" s="41"/>
      <c r="I443" s="41">
        <f t="shared" si="29"/>
        <v>8750</v>
      </c>
      <c r="J443" s="41">
        <f t="shared" si="27"/>
        <v>437.5</v>
      </c>
      <c r="K443" s="41">
        <f t="shared" si="28"/>
        <v>9187.5</v>
      </c>
      <c r="L443" s="42" t="s">
        <v>11</v>
      </c>
      <c r="M443" s="10"/>
      <c r="N443" s="10"/>
      <c r="O443" s="10"/>
      <c r="P443" s="10"/>
      <c r="Q443" s="10"/>
      <c r="R443" s="10"/>
      <c r="S443" s="10"/>
      <c r="T443" s="10"/>
    </row>
    <row r="444" spans="2:20" x14ac:dyDescent="0.25">
      <c r="B444" s="58" t="s">
        <v>413</v>
      </c>
      <c r="C444" s="37" t="s">
        <v>1077</v>
      </c>
      <c r="D444" s="38">
        <v>45880</v>
      </c>
      <c r="E444" s="32"/>
      <c r="F444" s="40" t="s">
        <v>1087</v>
      </c>
      <c r="G444" s="41">
        <v>24525</v>
      </c>
      <c r="H444" s="41"/>
      <c r="I444" s="41">
        <f t="shared" si="29"/>
        <v>24525</v>
      </c>
      <c r="J444" s="41">
        <f t="shared" ref="J444:J472" si="30">G444*5%</f>
        <v>1226.25</v>
      </c>
      <c r="K444" s="41">
        <f t="shared" ref="K444:K472" si="31">G444+J444</f>
        <v>25751.25</v>
      </c>
      <c r="L444" s="42" t="s">
        <v>11</v>
      </c>
      <c r="M444" s="10"/>
      <c r="N444" s="10"/>
      <c r="O444" s="10"/>
      <c r="P444" s="10"/>
      <c r="Q444" s="10"/>
      <c r="R444" s="10"/>
      <c r="S444" s="10"/>
      <c r="T444" s="10"/>
    </row>
    <row r="445" spans="2:20" x14ac:dyDescent="0.25">
      <c r="B445" s="58" t="s">
        <v>155</v>
      </c>
      <c r="C445" s="37" t="s">
        <v>1078</v>
      </c>
      <c r="D445" s="38">
        <v>45891</v>
      </c>
      <c r="E445" s="32" t="s">
        <v>157</v>
      </c>
      <c r="F445" s="40" t="s">
        <v>1088</v>
      </c>
      <c r="G445" s="41">
        <v>640</v>
      </c>
      <c r="H445" s="41"/>
      <c r="I445" s="41">
        <f t="shared" si="29"/>
        <v>640</v>
      </c>
      <c r="J445" s="41">
        <f t="shared" si="30"/>
        <v>32</v>
      </c>
      <c r="K445" s="41">
        <f t="shared" si="31"/>
        <v>672</v>
      </c>
      <c r="L445" s="42" t="s">
        <v>11</v>
      </c>
      <c r="M445" s="10"/>
      <c r="N445" s="10"/>
      <c r="O445" s="10"/>
      <c r="P445" s="10"/>
      <c r="Q445" s="10"/>
      <c r="R445" s="10"/>
      <c r="S445" s="10"/>
      <c r="T445" s="10"/>
    </row>
    <row r="446" spans="2:20" x14ac:dyDescent="0.25">
      <c r="B446" s="58" t="s">
        <v>46</v>
      </c>
      <c r="C446" s="37" t="s">
        <v>1079</v>
      </c>
      <c r="D446" s="38">
        <v>45892</v>
      </c>
      <c r="E446" s="32"/>
      <c r="F446" s="40" t="s">
        <v>1089</v>
      </c>
      <c r="G446" s="41">
        <v>497</v>
      </c>
      <c r="H446" s="41"/>
      <c r="I446" s="41">
        <f t="shared" si="29"/>
        <v>497</v>
      </c>
      <c r="J446" s="41">
        <f t="shared" si="30"/>
        <v>24.85</v>
      </c>
      <c r="K446" s="41">
        <f t="shared" si="31"/>
        <v>521.85</v>
      </c>
      <c r="L446" s="42" t="s">
        <v>49</v>
      </c>
      <c r="M446" s="10"/>
      <c r="N446" s="10"/>
      <c r="O446" s="10"/>
      <c r="P446" s="10"/>
      <c r="Q446" s="10"/>
      <c r="R446" s="10"/>
      <c r="S446" s="10"/>
      <c r="T446" s="10"/>
    </row>
    <row r="447" spans="2:20" x14ac:dyDescent="0.25">
      <c r="B447" s="58" t="s">
        <v>1090</v>
      </c>
      <c r="C447" s="37" t="s">
        <v>1091</v>
      </c>
      <c r="D447" s="38">
        <v>45892</v>
      </c>
      <c r="E447" s="32"/>
      <c r="F447" s="40" t="s">
        <v>1092</v>
      </c>
      <c r="G447" s="41">
        <v>2475</v>
      </c>
      <c r="H447" s="41"/>
      <c r="I447" s="41">
        <f t="shared" si="29"/>
        <v>2475</v>
      </c>
      <c r="J447" s="41">
        <f t="shared" si="30"/>
        <v>123.75</v>
      </c>
      <c r="K447" s="41">
        <f t="shared" si="31"/>
        <v>2598.75</v>
      </c>
      <c r="L447" s="42" t="s">
        <v>11</v>
      </c>
      <c r="M447" s="10"/>
      <c r="N447" s="10"/>
      <c r="O447" s="10"/>
      <c r="P447" s="10"/>
      <c r="Q447" s="10"/>
      <c r="R447" s="10"/>
      <c r="S447" s="10"/>
      <c r="T447" s="10"/>
    </row>
    <row r="448" spans="2:20" x14ac:dyDescent="0.25">
      <c r="B448" s="58" t="s">
        <v>96</v>
      </c>
      <c r="C448" s="37" t="s">
        <v>1093</v>
      </c>
      <c r="D448" s="38">
        <v>45894</v>
      </c>
      <c r="E448" s="32" t="s">
        <v>97</v>
      </c>
      <c r="F448" s="40" t="s">
        <v>1095</v>
      </c>
      <c r="G448" s="41">
        <v>3475</v>
      </c>
      <c r="H448" s="41"/>
      <c r="I448" s="41">
        <f>G448-H448</f>
        <v>3475</v>
      </c>
      <c r="J448" s="41">
        <f>G448*5%</f>
        <v>173.75</v>
      </c>
      <c r="K448" s="41">
        <f>G448+J448</f>
        <v>3648.75</v>
      </c>
      <c r="L448" s="42" t="s">
        <v>11</v>
      </c>
      <c r="M448" s="10"/>
      <c r="N448" s="10"/>
      <c r="O448" s="10"/>
      <c r="P448" s="10"/>
      <c r="Q448" s="10"/>
      <c r="R448" s="10"/>
      <c r="S448" s="10"/>
      <c r="T448" s="10"/>
    </row>
    <row r="449" spans="2:20" x14ac:dyDescent="0.25">
      <c r="B449" s="58" t="s">
        <v>1096</v>
      </c>
      <c r="C449" s="37" t="s">
        <v>1094</v>
      </c>
      <c r="D449" s="38">
        <v>45894</v>
      </c>
      <c r="E449" s="32" t="s">
        <v>1097</v>
      </c>
      <c r="F449" s="40" t="s">
        <v>1098</v>
      </c>
      <c r="G449" s="41">
        <v>9950</v>
      </c>
      <c r="H449" s="41"/>
      <c r="I449" s="41">
        <f>G449-H449</f>
        <v>9950</v>
      </c>
      <c r="J449" s="41">
        <f>G449*5%</f>
        <v>497.5</v>
      </c>
      <c r="K449" s="41">
        <f>G449+J449</f>
        <v>10447.5</v>
      </c>
      <c r="L449" s="42" t="s">
        <v>11</v>
      </c>
      <c r="M449" s="10"/>
      <c r="N449" s="10"/>
      <c r="O449" s="10"/>
      <c r="P449" s="10"/>
      <c r="Q449" s="10"/>
      <c r="R449" s="10"/>
      <c r="S449" s="10"/>
      <c r="T449" s="10"/>
    </row>
    <row r="450" spans="2:20" x14ac:dyDescent="0.25">
      <c r="B450" s="58" t="s">
        <v>96</v>
      </c>
      <c r="C450" s="37" t="s">
        <v>1099</v>
      </c>
      <c r="D450" s="38">
        <v>45894</v>
      </c>
      <c r="E450" s="32" t="s">
        <v>97</v>
      </c>
      <c r="F450" s="40" t="s">
        <v>1100</v>
      </c>
      <c r="G450" s="41">
        <v>1200</v>
      </c>
      <c r="H450" s="41"/>
      <c r="I450" s="41">
        <f t="shared" si="29"/>
        <v>1200</v>
      </c>
      <c r="J450" s="41">
        <f t="shared" si="30"/>
        <v>60</v>
      </c>
      <c r="K450" s="41">
        <f t="shared" si="31"/>
        <v>1260</v>
      </c>
      <c r="L450" s="42" t="s">
        <v>11</v>
      </c>
      <c r="M450" s="10"/>
      <c r="N450" s="10"/>
      <c r="O450" s="10"/>
      <c r="P450" s="10"/>
      <c r="Q450" s="10"/>
      <c r="R450" s="10"/>
      <c r="S450" s="10"/>
      <c r="T450" s="10"/>
    </row>
    <row r="451" spans="2:20" x14ac:dyDescent="0.25">
      <c r="B451" s="58" t="s">
        <v>68</v>
      </c>
      <c r="C451" s="37" t="s">
        <v>1101</v>
      </c>
      <c r="D451" s="38">
        <v>45895</v>
      </c>
      <c r="E451" s="32" t="s">
        <v>78</v>
      </c>
      <c r="F451" s="40" t="s">
        <v>1106</v>
      </c>
      <c r="G451" s="41">
        <v>405</v>
      </c>
      <c r="H451" s="41"/>
      <c r="I451" s="41">
        <f t="shared" si="29"/>
        <v>405</v>
      </c>
      <c r="J451" s="41">
        <f t="shared" si="30"/>
        <v>20.25</v>
      </c>
      <c r="K451" s="41">
        <f t="shared" si="31"/>
        <v>425.25</v>
      </c>
      <c r="L451" s="42" t="s">
        <v>11</v>
      </c>
      <c r="M451" s="10"/>
      <c r="N451" s="10"/>
      <c r="O451" s="10"/>
      <c r="P451" s="10"/>
      <c r="Q451" s="10"/>
      <c r="R451" s="10"/>
      <c r="S451" s="10"/>
      <c r="T451" s="10"/>
    </row>
    <row r="452" spans="2:20" x14ac:dyDescent="0.25">
      <c r="B452" s="58" t="s">
        <v>312</v>
      </c>
      <c r="C452" s="37" t="s">
        <v>1102</v>
      </c>
      <c r="D452" s="38">
        <v>45897</v>
      </c>
      <c r="E452" s="32" t="s">
        <v>313</v>
      </c>
      <c r="F452" s="40" t="s">
        <v>1107</v>
      </c>
      <c r="G452" s="41">
        <v>1930</v>
      </c>
      <c r="H452" s="41"/>
      <c r="I452" s="41">
        <f t="shared" si="29"/>
        <v>1930</v>
      </c>
      <c r="J452" s="41">
        <f t="shared" si="30"/>
        <v>96.5</v>
      </c>
      <c r="K452" s="41">
        <f t="shared" si="31"/>
        <v>2026.5</v>
      </c>
      <c r="L452" s="42" t="s">
        <v>1108</v>
      </c>
      <c r="M452" s="10"/>
      <c r="N452" s="10"/>
      <c r="O452" s="10"/>
      <c r="P452" s="10"/>
      <c r="Q452" s="10"/>
      <c r="R452" s="10"/>
      <c r="S452" s="10"/>
      <c r="T452" s="10"/>
    </row>
    <row r="453" spans="2:20" x14ac:dyDescent="0.25">
      <c r="B453" s="58" t="s">
        <v>271</v>
      </c>
      <c r="C453" s="37" t="s">
        <v>1103</v>
      </c>
      <c r="D453" s="38">
        <v>45889</v>
      </c>
      <c r="E453" s="32" t="s">
        <v>273</v>
      </c>
      <c r="F453" s="40" t="s">
        <v>1109</v>
      </c>
      <c r="G453" s="41">
        <v>6750</v>
      </c>
      <c r="H453" s="41"/>
      <c r="I453" s="41">
        <f t="shared" si="29"/>
        <v>6750</v>
      </c>
      <c r="J453" s="41">
        <f t="shared" si="30"/>
        <v>337.5</v>
      </c>
      <c r="K453" s="41">
        <f t="shared" si="31"/>
        <v>7087.5</v>
      </c>
      <c r="L453" s="42" t="s">
        <v>11</v>
      </c>
      <c r="M453" s="10"/>
      <c r="N453" s="10"/>
      <c r="O453" s="10"/>
      <c r="P453" s="10"/>
      <c r="Q453" s="10"/>
      <c r="R453" s="10"/>
      <c r="S453" s="10"/>
      <c r="T453" s="10"/>
    </row>
    <row r="454" spans="2:20" x14ac:dyDescent="0.25">
      <c r="B454" s="58" t="s">
        <v>338</v>
      </c>
      <c r="C454" s="37" t="s">
        <v>1104</v>
      </c>
      <c r="D454" s="38">
        <v>45897</v>
      </c>
      <c r="E454" s="32" t="s">
        <v>339</v>
      </c>
      <c r="F454" s="40" t="s">
        <v>1110</v>
      </c>
      <c r="G454" s="41">
        <v>775</v>
      </c>
      <c r="H454" s="41"/>
      <c r="I454" s="41">
        <f t="shared" si="29"/>
        <v>775</v>
      </c>
      <c r="J454" s="41">
        <f t="shared" si="30"/>
        <v>38.75</v>
      </c>
      <c r="K454" s="41">
        <f t="shared" si="31"/>
        <v>813.75</v>
      </c>
      <c r="L454" s="42" t="s">
        <v>11</v>
      </c>
      <c r="M454" s="10"/>
      <c r="N454" s="10"/>
      <c r="O454" s="10"/>
      <c r="P454" s="10"/>
      <c r="Q454" s="10"/>
      <c r="R454" s="10"/>
      <c r="S454" s="10"/>
      <c r="T454" s="10"/>
    </row>
    <row r="455" spans="2:20" x14ac:dyDescent="0.25">
      <c r="B455" s="58" t="s">
        <v>12</v>
      </c>
      <c r="C455" s="37" t="s">
        <v>1105</v>
      </c>
      <c r="D455" s="38">
        <v>45897</v>
      </c>
      <c r="E455" s="32" t="s">
        <v>13</v>
      </c>
      <c r="F455" s="40" t="s">
        <v>1111</v>
      </c>
      <c r="G455" s="41">
        <v>325</v>
      </c>
      <c r="H455" s="41"/>
      <c r="I455" s="41">
        <f t="shared" si="29"/>
        <v>325</v>
      </c>
      <c r="J455" s="41">
        <f t="shared" si="30"/>
        <v>16.25</v>
      </c>
      <c r="K455" s="41">
        <f t="shared" si="31"/>
        <v>341.25</v>
      </c>
      <c r="L455" s="42" t="s">
        <v>11</v>
      </c>
      <c r="M455" s="10"/>
      <c r="N455" s="10"/>
      <c r="O455" s="10"/>
      <c r="P455" s="10"/>
      <c r="Q455" s="10"/>
      <c r="R455" s="10"/>
      <c r="S455" s="10"/>
      <c r="T455" s="10"/>
    </row>
    <row r="456" spans="2:20" x14ac:dyDescent="0.25">
      <c r="B456" s="58" t="s">
        <v>1118</v>
      </c>
      <c r="C456" s="37" t="s">
        <v>1112</v>
      </c>
      <c r="D456" s="38">
        <v>45934</v>
      </c>
      <c r="E456" s="32"/>
      <c r="F456" s="40" t="s">
        <v>1119</v>
      </c>
      <c r="G456" s="41">
        <v>3300</v>
      </c>
      <c r="H456" s="41"/>
      <c r="I456" s="41">
        <f t="shared" si="29"/>
        <v>3300</v>
      </c>
      <c r="J456" s="41">
        <f t="shared" si="30"/>
        <v>165</v>
      </c>
      <c r="K456" s="41">
        <f t="shared" si="31"/>
        <v>3465</v>
      </c>
      <c r="L456" s="42" t="s">
        <v>11</v>
      </c>
      <c r="M456" s="10"/>
      <c r="N456" s="10"/>
      <c r="O456" s="10"/>
      <c r="P456" s="10"/>
      <c r="Q456" s="10"/>
      <c r="R456" s="10"/>
      <c r="S456" s="10"/>
      <c r="T456" s="10"/>
    </row>
    <row r="457" spans="2:20" x14ac:dyDescent="0.25">
      <c r="B457" s="58" t="s">
        <v>1120</v>
      </c>
      <c r="C457" s="37" t="s">
        <v>1113</v>
      </c>
      <c r="D457" s="38">
        <v>45898</v>
      </c>
      <c r="E457" s="32"/>
      <c r="F457" s="40" t="s">
        <v>850</v>
      </c>
      <c r="G457" s="41">
        <v>735</v>
      </c>
      <c r="H457" s="41"/>
      <c r="I457" s="41">
        <f t="shared" si="29"/>
        <v>735</v>
      </c>
      <c r="J457" s="41">
        <f t="shared" si="30"/>
        <v>36.75</v>
      </c>
      <c r="K457" s="41">
        <f t="shared" si="31"/>
        <v>771.75</v>
      </c>
      <c r="L457" s="42" t="s">
        <v>49</v>
      </c>
      <c r="M457" s="10"/>
      <c r="N457" s="10"/>
      <c r="O457" s="10"/>
      <c r="P457" s="10"/>
      <c r="Q457" s="10"/>
      <c r="R457" s="10"/>
      <c r="S457" s="10"/>
      <c r="T457" s="10"/>
    </row>
    <row r="458" spans="2:20" x14ac:dyDescent="0.25">
      <c r="B458" s="58" t="s">
        <v>46</v>
      </c>
      <c r="C458" s="37" t="s">
        <v>1114</v>
      </c>
      <c r="D458" s="38">
        <v>45898</v>
      </c>
      <c r="E458" s="32"/>
      <c r="F458" s="40" t="s">
        <v>1121</v>
      </c>
      <c r="G458" s="41">
        <v>360</v>
      </c>
      <c r="H458" s="41"/>
      <c r="I458" s="41">
        <f t="shared" si="29"/>
        <v>360</v>
      </c>
      <c r="J458" s="41">
        <f t="shared" si="30"/>
        <v>18</v>
      </c>
      <c r="K458" s="41">
        <f t="shared" si="31"/>
        <v>378</v>
      </c>
      <c r="L458" s="42" t="s">
        <v>49</v>
      </c>
      <c r="M458" s="10"/>
      <c r="N458" s="10"/>
      <c r="O458" s="10"/>
      <c r="P458" s="10"/>
      <c r="Q458" s="10"/>
      <c r="R458" s="10"/>
      <c r="S458" s="10"/>
      <c r="T458" s="10"/>
    </row>
    <row r="459" spans="2:20" x14ac:dyDescent="0.25">
      <c r="B459" s="58" t="s">
        <v>262</v>
      </c>
      <c r="C459" s="67" t="s">
        <v>1115</v>
      </c>
      <c r="D459" s="38">
        <v>45898</v>
      </c>
      <c r="E459" s="32"/>
      <c r="F459" s="40" t="s">
        <v>1122</v>
      </c>
      <c r="G459" s="41">
        <v>10243</v>
      </c>
      <c r="H459" s="41"/>
      <c r="I459" s="41">
        <f t="shared" si="29"/>
        <v>10243</v>
      </c>
      <c r="J459" s="41">
        <f t="shared" si="30"/>
        <v>512.15</v>
      </c>
      <c r="K459" s="41">
        <f t="shared" si="31"/>
        <v>10755.15</v>
      </c>
      <c r="L459" s="42" t="s">
        <v>11</v>
      </c>
      <c r="M459" s="10"/>
      <c r="N459" s="10"/>
      <c r="O459" s="10"/>
      <c r="P459" s="10"/>
      <c r="Q459" s="10"/>
      <c r="R459" s="10"/>
      <c r="S459" s="10"/>
      <c r="T459" s="10"/>
    </row>
    <row r="460" spans="2:20" x14ac:dyDescent="0.25">
      <c r="B460" s="58" t="s">
        <v>262</v>
      </c>
      <c r="C460" s="67" t="s">
        <v>1116</v>
      </c>
      <c r="D460" s="38">
        <v>45898</v>
      </c>
      <c r="E460" s="32"/>
      <c r="F460" s="40" t="s">
        <v>1123</v>
      </c>
      <c r="G460" s="41">
        <v>5215</v>
      </c>
      <c r="H460" s="41"/>
      <c r="I460" s="41">
        <f t="shared" si="29"/>
        <v>5215</v>
      </c>
      <c r="J460" s="41">
        <f t="shared" si="30"/>
        <v>260.75</v>
      </c>
      <c r="K460" s="41">
        <f t="shared" si="31"/>
        <v>5475.75</v>
      </c>
      <c r="L460" s="42" t="s">
        <v>11</v>
      </c>
      <c r="M460" s="10"/>
      <c r="N460" s="10"/>
      <c r="O460" s="10"/>
      <c r="P460" s="10"/>
      <c r="Q460" s="10"/>
      <c r="R460" s="10"/>
      <c r="S460" s="10"/>
      <c r="T460" s="10"/>
    </row>
    <row r="461" spans="2:20" x14ac:dyDescent="0.25">
      <c r="B461" s="58" t="s">
        <v>262</v>
      </c>
      <c r="C461" s="67" t="s">
        <v>1117</v>
      </c>
      <c r="D461" s="38">
        <v>45898</v>
      </c>
      <c r="E461" s="32"/>
      <c r="F461" s="40" t="s">
        <v>1124</v>
      </c>
      <c r="G461" s="41">
        <v>2945</v>
      </c>
      <c r="H461" s="41"/>
      <c r="I461" s="41">
        <f t="shared" ref="I461:I472" si="32">G461-H461</f>
        <v>2945</v>
      </c>
      <c r="J461" s="41">
        <f t="shared" si="30"/>
        <v>147.25</v>
      </c>
      <c r="K461" s="41">
        <f t="shared" si="31"/>
        <v>3092.25</v>
      </c>
      <c r="L461" s="42" t="s">
        <v>11</v>
      </c>
      <c r="M461" s="10"/>
      <c r="N461" s="10"/>
      <c r="O461" s="10"/>
      <c r="P461" s="10"/>
      <c r="Q461" s="10"/>
      <c r="R461" s="10"/>
      <c r="S461" s="10"/>
      <c r="T461" s="10"/>
    </row>
    <row r="462" spans="2:20" x14ac:dyDescent="0.25">
      <c r="B462" s="58" t="s">
        <v>58</v>
      </c>
      <c r="C462" s="37" t="s">
        <v>1125</v>
      </c>
      <c r="D462" s="38">
        <v>45899</v>
      </c>
      <c r="E462" s="32" t="s">
        <v>60</v>
      </c>
      <c r="F462" s="40" t="s">
        <v>1135</v>
      </c>
      <c r="G462" s="41">
        <v>6615</v>
      </c>
      <c r="H462" s="41"/>
      <c r="I462" s="41">
        <f t="shared" si="32"/>
        <v>6615</v>
      </c>
      <c r="J462" s="41">
        <f t="shared" si="30"/>
        <v>330.75</v>
      </c>
      <c r="K462" s="41">
        <f t="shared" si="31"/>
        <v>6945.75</v>
      </c>
      <c r="L462" s="42" t="s">
        <v>11</v>
      </c>
      <c r="M462" s="10"/>
      <c r="N462" s="10"/>
      <c r="O462" s="10"/>
      <c r="P462" s="10"/>
      <c r="Q462" s="10"/>
      <c r="R462" s="10"/>
      <c r="S462" s="10"/>
      <c r="T462" s="10"/>
    </row>
    <row r="463" spans="2:20" x14ac:dyDescent="0.25">
      <c r="B463" s="58" t="s">
        <v>68</v>
      </c>
      <c r="C463" s="37" t="s">
        <v>1126</v>
      </c>
      <c r="D463" s="38">
        <v>45899</v>
      </c>
      <c r="E463" s="32" t="s">
        <v>78</v>
      </c>
      <c r="F463" s="40" t="s">
        <v>1136</v>
      </c>
      <c r="G463" s="41">
        <v>405</v>
      </c>
      <c r="H463" s="41"/>
      <c r="I463" s="41">
        <f t="shared" si="32"/>
        <v>405</v>
      </c>
      <c r="J463" s="41">
        <f t="shared" si="30"/>
        <v>20.25</v>
      </c>
      <c r="K463" s="41">
        <f t="shared" si="31"/>
        <v>425.25</v>
      </c>
      <c r="L463" s="42" t="s">
        <v>11</v>
      </c>
      <c r="M463" s="10"/>
      <c r="N463" s="10"/>
      <c r="O463" s="10"/>
      <c r="P463" s="10"/>
      <c r="Q463" s="10"/>
    </row>
    <row r="464" spans="2:20" x14ac:dyDescent="0.25">
      <c r="B464" s="58" t="s">
        <v>12</v>
      </c>
      <c r="C464" s="37" t="s">
        <v>1127</v>
      </c>
      <c r="D464" s="38">
        <v>45899</v>
      </c>
      <c r="E464" s="32" t="s">
        <v>13</v>
      </c>
      <c r="F464" s="40" t="s">
        <v>1137</v>
      </c>
      <c r="G464" s="41">
        <v>1503.5</v>
      </c>
      <c r="H464" s="41"/>
      <c r="I464" s="41">
        <f t="shared" si="32"/>
        <v>1503.5</v>
      </c>
      <c r="J464" s="41">
        <f t="shared" si="30"/>
        <v>75.174999999999997</v>
      </c>
      <c r="K464" s="41">
        <f t="shared" si="31"/>
        <v>1578.675</v>
      </c>
      <c r="L464" s="42" t="s">
        <v>11</v>
      </c>
      <c r="M464" s="10"/>
      <c r="N464" s="10"/>
      <c r="O464" s="10"/>
      <c r="P464" s="10"/>
      <c r="Q464" s="10"/>
    </row>
    <row r="465" spans="2:17" x14ac:dyDescent="0.25">
      <c r="B465" s="58" t="s">
        <v>12</v>
      </c>
      <c r="C465" s="37" t="s">
        <v>1128</v>
      </c>
      <c r="D465" s="38">
        <v>45899</v>
      </c>
      <c r="E465" s="32" t="s">
        <v>13</v>
      </c>
      <c r="F465" s="40" t="s">
        <v>1138</v>
      </c>
      <c r="G465" s="41">
        <v>2375</v>
      </c>
      <c r="H465" s="41"/>
      <c r="I465" s="41">
        <f t="shared" si="32"/>
        <v>2375</v>
      </c>
      <c r="J465" s="41">
        <f t="shared" si="30"/>
        <v>118.75</v>
      </c>
      <c r="K465" s="41">
        <f t="shared" si="31"/>
        <v>2493.75</v>
      </c>
      <c r="L465" s="42" t="s">
        <v>11</v>
      </c>
      <c r="M465" s="10"/>
      <c r="N465" s="10"/>
      <c r="O465" s="10"/>
      <c r="P465" s="10"/>
      <c r="Q465" s="10"/>
    </row>
    <row r="466" spans="2:17" x14ac:dyDescent="0.25">
      <c r="B466" s="58" t="s">
        <v>155</v>
      </c>
      <c r="C466" s="37" t="s">
        <v>1129</v>
      </c>
      <c r="D466" s="38">
        <v>45899</v>
      </c>
      <c r="E466" s="32" t="s">
        <v>157</v>
      </c>
      <c r="F466" s="40" t="s">
        <v>1139</v>
      </c>
      <c r="G466" s="41">
        <v>160</v>
      </c>
      <c r="H466" s="41"/>
      <c r="I466" s="41">
        <f t="shared" si="32"/>
        <v>160</v>
      </c>
      <c r="J466" s="41">
        <f t="shared" si="30"/>
        <v>8</v>
      </c>
      <c r="K466" s="41">
        <f t="shared" si="31"/>
        <v>168</v>
      </c>
      <c r="L466" s="42" t="s">
        <v>11</v>
      </c>
      <c r="M466" s="10"/>
      <c r="N466" s="10"/>
      <c r="O466" s="10"/>
      <c r="P466" s="10"/>
      <c r="Q466" s="10"/>
    </row>
    <row r="467" spans="2:17" x14ac:dyDescent="0.25">
      <c r="B467" s="58" t="s">
        <v>155</v>
      </c>
      <c r="C467" s="37" t="s">
        <v>1130</v>
      </c>
      <c r="D467" s="38">
        <v>45899</v>
      </c>
      <c r="E467" s="32" t="s">
        <v>157</v>
      </c>
      <c r="F467" s="40" t="s">
        <v>1140</v>
      </c>
      <c r="G467" s="41">
        <v>320</v>
      </c>
      <c r="H467" s="41"/>
      <c r="I467" s="41">
        <f t="shared" si="32"/>
        <v>320</v>
      </c>
      <c r="J467" s="41">
        <f t="shared" si="30"/>
        <v>16</v>
      </c>
      <c r="K467" s="41">
        <f t="shared" si="31"/>
        <v>336</v>
      </c>
      <c r="L467" s="42" t="s">
        <v>11</v>
      </c>
      <c r="M467" s="10"/>
      <c r="N467" s="10"/>
      <c r="O467" s="10"/>
      <c r="P467" s="10"/>
      <c r="Q467" s="10"/>
    </row>
    <row r="468" spans="2:17" x14ac:dyDescent="0.25">
      <c r="B468" s="58" t="s">
        <v>155</v>
      </c>
      <c r="C468" s="37" t="s">
        <v>1131</v>
      </c>
      <c r="D468" s="38">
        <v>45912</v>
      </c>
      <c r="E468" s="32" t="s">
        <v>157</v>
      </c>
      <c r="F468" s="40" t="s">
        <v>1141</v>
      </c>
      <c r="G468" s="41">
        <v>775</v>
      </c>
      <c r="H468" s="41"/>
      <c r="I468" s="41">
        <f t="shared" si="32"/>
        <v>775</v>
      </c>
      <c r="J468" s="41">
        <f t="shared" si="30"/>
        <v>38.75</v>
      </c>
      <c r="K468" s="41">
        <f t="shared" si="31"/>
        <v>813.75</v>
      </c>
      <c r="L468" s="42" t="s">
        <v>11</v>
      </c>
      <c r="M468" s="10"/>
      <c r="N468" s="10"/>
      <c r="O468" s="10"/>
      <c r="P468" s="10"/>
      <c r="Q468" s="10"/>
    </row>
    <row r="469" spans="2:17" x14ac:dyDescent="0.25">
      <c r="B469" s="58" t="s">
        <v>58</v>
      </c>
      <c r="C469" s="37" t="s">
        <v>1132</v>
      </c>
      <c r="D469" s="38">
        <v>45911</v>
      </c>
      <c r="E469" s="32" t="s">
        <v>60</v>
      </c>
      <c r="F469" s="40" t="s">
        <v>938</v>
      </c>
      <c r="G469" s="41">
        <v>347.5</v>
      </c>
      <c r="H469" s="41"/>
      <c r="I469" s="41">
        <f t="shared" si="32"/>
        <v>347.5</v>
      </c>
      <c r="J469" s="41">
        <f t="shared" si="30"/>
        <v>17.375</v>
      </c>
      <c r="K469" s="41">
        <f t="shared" si="31"/>
        <v>364.875</v>
      </c>
      <c r="L469" s="42" t="s">
        <v>11</v>
      </c>
      <c r="M469" s="10"/>
      <c r="N469" s="10"/>
      <c r="O469" s="10"/>
      <c r="P469" s="10"/>
      <c r="Q469" s="10"/>
    </row>
    <row r="470" spans="2:17" x14ac:dyDescent="0.25">
      <c r="B470" s="53" t="s">
        <v>58</v>
      </c>
      <c r="C470" s="68" t="s">
        <v>1133</v>
      </c>
      <c r="D470" s="69">
        <v>45899</v>
      </c>
      <c r="E470" s="70"/>
      <c r="F470" s="71" t="s">
        <v>1205</v>
      </c>
      <c r="G470" s="72"/>
      <c r="H470" s="72"/>
      <c r="I470" s="72"/>
      <c r="J470" s="72"/>
      <c r="K470" s="72"/>
      <c r="L470" s="73"/>
      <c r="M470" s="10"/>
      <c r="N470" s="10"/>
      <c r="O470" s="10"/>
      <c r="P470" s="10"/>
      <c r="Q470" s="10"/>
    </row>
    <row r="471" spans="2:17" x14ac:dyDescent="0.25">
      <c r="B471" s="58" t="s">
        <v>58</v>
      </c>
      <c r="C471" s="37" t="s">
        <v>1134</v>
      </c>
      <c r="D471" s="38">
        <v>45899</v>
      </c>
      <c r="E471" s="32" t="s">
        <v>60</v>
      </c>
      <c r="F471" s="40" t="s">
        <v>1206</v>
      </c>
      <c r="G471" s="41">
        <v>421.25</v>
      </c>
      <c r="H471" s="41"/>
      <c r="I471" s="41">
        <f t="shared" si="32"/>
        <v>421.25</v>
      </c>
      <c r="J471" s="41">
        <f t="shared" si="30"/>
        <v>21.0625</v>
      </c>
      <c r="K471" s="41">
        <f t="shared" si="31"/>
        <v>442.3125</v>
      </c>
      <c r="L471" s="42" t="s">
        <v>11</v>
      </c>
      <c r="M471" s="10"/>
      <c r="N471" s="10"/>
      <c r="O471" s="10"/>
      <c r="P471" s="10"/>
      <c r="Q471" s="10"/>
    </row>
    <row r="472" spans="2:17" x14ac:dyDescent="0.25">
      <c r="B472" s="64" t="s">
        <v>96</v>
      </c>
      <c r="C472" s="37" t="s">
        <v>1143</v>
      </c>
      <c r="D472" s="38">
        <v>45901</v>
      </c>
      <c r="E472" s="32" t="s">
        <v>97</v>
      </c>
      <c r="F472" s="40" t="s">
        <v>171</v>
      </c>
      <c r="G472" s="41">
        <v>390</v>
      </c>
      <c r="H472" s="41"/>
      <c r="I472" s="41">
        <f t="shared" si="32"/>
        <v>390</v>
      </c>
      <c r="J472" s="41">
        <f t="shared" si="30"/>
        <v>19.5</v>
      </c>
      <c r="K472" s="41">
        <f t="shared" si="31"/>
        <v>409.5</v>
      </c>
      <c r="L472" s="42" t="s">
        <v>11</v>
      </c>
      <c r="M472" s="10"/>
      <c r="N472" s="10"/>
      <c r="O472" s="10"/>
      <c r="P472" s="10"/>
      <c r="Q472" s="10"/>
    </row>
    <row r="473" spans="2:17" x14ac:dyDescent="0.25">
      <c r="B473" s="64" t="s">
        <v>791</v>
      </c>
      <c r="C473" s="37" t="s">
        <v>1144</v>
      </c>
      <c r="D473" s="38">
        <v>45901</v>
      </c>
      <c r="E473" s="32" t="s">
        <v>336</v>
      </c>
      <c r="F473" s="40" t="s">
        <v>1155</v>
      </c>
      <c r="G473" s="41">
        <v>350</v>
      </c>
      <c r="H473" s="41"/>
      <c r="I473" s="41">
        <f t="shared" ref="I473:I510" si="33">G473-H473</f>
        <v>350</v>
      </c>
      <c r="J473" s="41">
        <f t="shared" ref="J473:J510" si="34">G473*5%</f>
        <v>17.5</v>
      </c>
      <c r="K473" s="41">
        <f t="shared" ref="K473:K510" si="35">G473+J473</f>
        <v>367.5</v>
      </c>
      <c r="L473" s="42" t="s">
        <v>49</v>
      </c>
      <c r="M473" s="10"/>
      <c r="N473" s="10"/>
      <c r="O473" s="10"/>
      <c r="P473" s="10"/>
      <c r="Q473" s="10"/>
    </row>
    <row r="474" spans="2:17" x14ac:dyDescent="0.25">
      <c r="B474" s="64" t="s">
        <v>1156</v>
      </c>
      <c r="C474" s="37" t="s">
        <v>1145</v>
      </c>
      <c r="D474" s="38">
        <v>45904</v>
      </c>
      <c r="E474" s="32" t="s">
        <v>1158</v>
      </c>
      <c r="F474" s="40" t="s">
        <v>1157</v>
      </c>
      <c r="G474" s="41">
        <v>4077.5</v>
      </c>
      <c r="H474" s="41"/>
      <c r="I474" s="41">
        <f t="shared" si="33"/>
        <v>4077.5</v>
      </c>
      <c r="J474" s="41">
        <f t="shared" si="34"/>
        <v>203.875</v>
      </c>
      <c r="K474" s="41">
        <f t="shared" si="35"/>
        <v>4281.375</v>
      </c>
      <c r="L474" s="42" t="s">
        <v>11</v>
      </c>
      <c r="M474" s="10"/>
      <c r="N474" s="10"/>
      <c r="O474" s="10"/>
      <c r="P474" s="10"/>
      <c r="Q474" s="10"/>
    </row>
    <row r="475" spans="2:17" x14ac:dyDescent="0.25">
      <c r="B475" s="64" t="s">
        <v>12</v>
      </c>
      <c r="C475" s="37" t="s">
        <v>1146</v>
      </c>
      <c r="D475" s="38">
        <v>45903</v>
      </c>
      <c r="E475" s="32" t="s">
        <v>13</v>
      </c>
      <c r="F475" s="40" t="s">
        <v>1159</v>
      </c>
      <c r="G475" s="41">
        <v>12400</v>
      </c>
      <c r="H475" s="41"/>
      <c r="I475" s="41">
        <f t="shared" si="33"/>
        <v>12400</v>
      </c>
      <c r="J475" s="41">
        <f t="shared" si="34"/>
        <v>620</v>
      </c>
      <c r="K475" s="41">
        <f t="shared" si="35"/>
        <v>13020</v>
      </c>
      <c r="L475" s="42" t="s">
        <v>11</v>
      </c>
      <c r="M475" s="10"/>
      <c r="N475" s="10"/>
      <c r="O475" s="10"/>
      <c r="P475" s="10"/>
      <c r="Q475" s="10"/>
    </row>
    <row r="476" spans="2:17" x14ac:dyDescent="0.25">
      <c r="B476" s="64" t="s">
        <v>12</v>
      </c>
      <c r="C476" s="37" t="s">
        <v>1147</v>
      </c>
      <c r="D476" s="38">
        <v>45903</v>
      </c>
      <c r="E476" s="32" t="s">
        <v>13</v>
      </c>
      <c r="F476" s="40" t="s">
        <v>1160</v>
      </c>
      <c r="G476" s="41">
        <v>22775</v>
      </c>
      <c r="H476" s="41"/>
      <c r="I476" s="41">
        <f t="shared" si="33"/>
        <v>22775</v>
      </c>
      <c r="J476" s="41">
        <f t="shared" si="34"/>
        <v>1138.75</v>
      </c>
      <c r="K476" s="41">
        <f t="shared" si="35"/>
        <v>23913.75</v>
      </c>
      <c r="L476" s="42" t="s">
        <v>11</v>
      </c>
      <c r="M476" s="10"/>
      <c r="N476" s="10"/>
      <c r="O476" s="10"/>
      <c r="P476" s="10"/>
      <c r="Q476" s="10"/>
    </row>
    <row r="477" spans="2:17" x14ac:dyDescent="0.25">
      <c r="B477" s="64" t="s">
        <v>312</v>
      </c>
      <c r="C477" s="37" t="s">
        <v>1148</v>
      </c>
      <c r="D477" s="38">
        <v>45908</v>
      </c>
      <c r="E477" s="32" t="s">
        <v>313</v>
      </c>
      <c r="F477" s="40" t="s">
        <v>1161</v>
      </c>
      <c r="G477" s="41">
        <v>785</v>
      </c>
      <c r="H477" s="41"/>
      <c r="I477" s="41">
        <f t="shared" si="33"/>
        <v>785</v>
      </c>
      <c r="J477" s="41">
        <f t="shared" si="34"/>
        <v>39.25</v>
      </c>
      <c r="K477" s="41">
        <f t="shared" si="35"/>
        <v>824.25</v>
      </c>
      <c r="L477" s="42" t="s">
        <v>11</v>
      </c>
      <c r="M477" s="10"/>
      <c r="N477" s="10"/>
      <c r="O477" s="10"/>
      <c r="P477" s="10"/>
      <c r="Q477" s="10"/>
    </row>
    <row r="478" spans="2:17" x14ac:dyDescent="0.25">
      <c r="B478" s="64" t="s">
        <v>1162</v>
      </c>
      <c r="C478" s="37" t="s">
        <v>1149</v>
      </c>
      <c r="D478" s="38">
        <v>45909</v>
      </c>
      <c r="E478" s="32"/>
      <c r="F478" s="40" t="s">
        <v>1163</v>
      </c>
      <c r="G478" s="41">
        <v>2990</v>
      </c>
      <c r="H478" s="41"/>
      <c r="I478" s="41">
        <f t="shared" si="33"/>
        <v>2990</v>
      </c>
      <c r="J478" s="41">
        <f t="shared" si="34"/>
        <v>149.5</v>
      </c>
      <c r="K478" s="41">
        <f t="shared" si="35"/>
        <v>3139.5</v>
      </c>
      <c r="L478" s="42" t="s">
        <v>11</v>
      </c>
      <c r="M478" s="10"/>
      <c r="N478" s="10"/>
      <c r="O478" s="10"/>
      <c r="P478" s="10"/>
      <c r="Q478" s="10"/>
    </row>
    <row r="479" spans="2:17" x14ac:dyDescent="0.25">
      <c r="B479" s="64" t="s">
        <v>12</v>
      </c>
      <c r="C479" s="37" t="s">
        <v>1150</v>
      </c>
      <c r="D479" s="38">
        <v>45903</v>
      </c>
      <c r="E479" s="32" t="s">
        <v>13</v>
      </c>
      <c r="F479" s="40" t="s">
        <v>1164</v>
      </c>
      <c r="G479" s="41">
        <v>325</v>
      </c>
      <c r="H479" s="41"/>
      <c r="I479" s="41">
        <f t="shared" si="33"/>
        <v>325</v>
      </c>
      <c r="J479" s="41">
        <f t="shared" si="34"/>
        <v>16.25</v>
      </c>
      <c r="K479" s="41">
        <f t="shared" si="35"/>
        <v>341.25</v>
      </c>
      <c r="L479" s="42" t="s">
        <v>11</v>
      </c>
      <c r="M479" s="10"/>
      <c r="N479" s="10"/>
      <c r="O479" s="10"/>
      <c r="P479" s="10"/>
      <c r="Q479" s="10"/>
    </row>
    <row r="480" spans="2:17" x14ac:dyDescent="0.25">
      <c r="B480" s="64" t="s">
        <v>851</v>
      </c>
      <c r="C480" s="37" t="s">
        <v>1151</v>
      </c>
      <c r="D480" s="38">
        <v>45903</v>
      </c>
      <c r="E480" s="32"/>
      <c r="F480" s="40" t="s">
        <v>1276</v>
      </c>
      <c r="G480" s="41">
        <v>300</v>
      </c>
      <c r="H480" s="41"/>
      <c r="I480" s="41">
        <f t="shared" si="33"/>
        <v>300</v>
      </c>
      <c r="J480" s="41">
        <f t="shared" si="34"/>
        <v>15</v>
      </c>
      <c r="K480" s="41">
        <f t="shared" si="35"/>
        <v>315</v>
      </c>
      <c r="L480" s="42" t="s">
        <v>49</v>
      </c>
      <c r="M480" s="10"/>
      <c r="N480" s="10"/>
      <c r="O480" s="10"/>
      <c r="P480" s="10"/>
      <c r="Q480" s="10"/>
    </row>
    <row r="481" spans="2:17" x14ac:dyDescent="0.25">
      <c r="B481" s="64" t="s">
        <v>1165</v>
      </c>
      <c r="C481" s="37" t="s">
        <v>1152</v>
      </c>
      <c r="D481" s="38">
        <v>45911</v>
      </c>
      <c r="E481" s="32"/>
      <c r="F481" s="40" t="s">
        <v>1166</v>
      </c>
      <c r="G481" s="41">
        <v>1775</v>
      </c>
      <c r="H481" s="41"/>
      <c r="I481" s="41">
        <f t="shared" si="33"/>
        <v>1775</v>
      </c>
      <c r="J481" s="41">
        <f t="shared" si="34"/>
        <v>88.75</v>
      </c>
      <c r="K481" s="41">
        <f t="shared" si="35"/>
        <v>1863.75</v>
      </c>
      <c r="L481" s="42" t="s">
        <v>11</v>
      </c>
      <c r="M481" s="10"/>
      <c r="N481" s="10"/>
      <c r="O481" s="10"/>
      <c r="P481" s="10"/>
      <c r="Q481" s="10"/>
    </row>
    <row r="482" spans="2:17" x14ac:dyDescent="0.25">
      <c r="B482" s="64" t="s">
        <v>242</v>
      </c>
      <c r="C482" s="37" t="s">
        <v>1153</v>
      </c>
      <c r="D482" s="38">
        <v>45904</v>
      </c>
      <c r="E482" s="32" t="s">
        <v>243</v>
      </c>
      <c r="F482" s="40" t="s">
        <v>1168</v>
      </c>
      <c r="G482" s="41">
        <v>285</v>
      </c>
      <c r="H482" s="41"/>
      <c r="I482" s="41">
        <f t="shared" si="33"/>
        <v>285</v>
      </c>
      <c r="J482" s="41">
        <f t="shared" si="34"/>
        <v>14.25</v>
      </c>
      <c r="K482" s="41">
        <f t="shared" si="35"/>
        <v>299.25</v>
      </c>
      <c r="L482" s="42" t="s">
        <v>11</v>
      </c>
      <c r="M482" s="10"/>
      <c r="N482" s="10"/>
      <c r="O482" s="10"/>
      <c r="P482" s="10"/>
      <c r="Q482" s="10"/>
    </row>
    <row r="483" spans="2:17" x14ac:dyDescent="0.25">
      <c r="B483" s="64" t="s">
        <v>1167</v>
      </c>
      <c r="C483" s="37" t="s">
        <v>1154</v>
      </c>
      <c r="D483" s="38">
        <v>45904</v>
      </c>
      <c r="E483" s="32" t="s">
        <v>243</v>
      </c>
      <c r="F483" s="40" t="s">
        <v>1168</v>
      </c>
      <c r="G483" s="41">
        <v>30</v>
      </c>
      <c r="H483" s="41"/>
      <c r="I483" s="41">
        <f t="shared" si="33"/>
        <v>30</v>
      </c>
      <c r="J483" s="41">
        <f t="shared" si="34"/>
        <v>1.5</v>
      </c>
      <c r="K483" s="41">
        <f t="shared" si="35"/>
        <v>31.5</v>
      </c>
      <c r="L483" s="42" t="s">
        <v>11</v>
      </c>
      <c r="M483" s="10"/>
      <c r="N483" s="10"/>
      <c r="O483" s="10"/>
      <c r="P483" s="10"/>
      <c r="Q483" s="10"/>
    </row>
    <row r="484" spans="2:17" x14ac:dyDescent="0.25">
      <c r="B484" s="64" t="s">
        <v>1186</v>
      </c>
      <c r="C484" s="37" t="s">
        <v>1169</v>
      </c>
      <c r="D484" s="38">
        <v>45908</v>
      </c>
      <c r="E484" s="32"/>
      <c r="F484" s="40" t="s">
        <v>1187</v>
      </c>
      <c r="G484" s="41">
        <v>930</v>
      </c>
      <c r="H484" s="41"/>
      <c r="I484" s="41">
        <f t="shared" si="33"/>
        <v>930</v>
      </c>
      <c r="J484" s="41">
        <f t="shared" si="34"/>
        <v>46.5</v>
      </c>
      <c r="K484" s="41">
        <f t="shared" si="35"/>
        <v>976.5</v>
      </c>
      <c r="L484" s="42" t="s">
        <v>49</v>
      </c>
      <c r="M484" s="10"/>
      <c r="N484" s="10"/>
      <c r="O484" s="10"/>
      <c r="P484" s="10"/>
      <c r="Q484" s="10"/>
    </row>
    <row r="485" spans="2:17" x14ac:dyDescent="0.25">
      <c r="B485" s="64" t="s">
        <v>12</v>
      </c>
      <c r="C485" s="37" t="s">
        <v>1170</v>
      </c>
      <c r="D485" s="38">
        <v>45908</v>
      </c>
      <c r="E485" s="32" t="s">
        <v>13</v>
      </c>
      <c r="F485" s="40" t="s">
        <v>1188</v>
      </c>
      <c r="G485" s="41">
        <v>350</v>
      </c>
      <c r="H485" s="41"/>
      <c r="I485" s="41">
        <f t="shared" si="33"/>
        <v>350</v>
      </c>
      <c r="J485" s="41">
        <f t="shared" si="34"/>
        <v>17.5</v>
      </c>
      <c r="K485" s="41">
        <f t="shared" si="35"/>
        <v>367.5</v>
      </c>
      <c r="L485" s="42" t="s">
        <v>11</v>
      </c>
      <c r="M485" s="10"/>
      <c r="N485" s="10"/>
      <c r="O485" s="10"/>
      <c r="P485" s="10"/>
      <c r="Q485" s="10"/>
    </row>
    <row r="486" spans="2:17" x14ac:dyDescent="0.25">
      <c r="B486" s="64" t="s">
        <v>12</v>
      </c>
      <c r="C486" s="37" t="s">
        <v>1171</v>
      </c>
      <c r="D486" s="38">
        <v>45908</v>
      </c>
      <c r="E486" s="32" t="s">
        <v>13</v>
      </c>
      <c r="F486" s="40" t="s">
        <v>342</v>
      </c>
      <c r="G486" s="41">
        <v>9460</v>
      </c>
      <c r="H486" s="41"/>
      <c r="I486" s="41">
        <f t="shared" si="33"/>
        <v>9460</v>
      </c>
      <c r="J486" s="41">
        <f t="shared" si="34"/>
        <v>473</v>
      </c>
      <c r="K486" s="41">
        <f t="shared" si="35"/>
        <v>9933</v>
      </c>
      <c r="L486" s="42" t="s">
        <v>11</v>
      </c>
      <c r="M486" s="10"/>
      <c r="N486" s="10"/>
      <c r="O486" s="10"/>
      <c r="P486" s="10"/>
      <c r="Q486" s="10"/>
    </row>
    <row r="487" spans="2:17" x14ac:dyDescent="0.25">
      <c r="B487" s="64" t="s">
        <v>12</v>
      </c>
      <c r="C487" s="37" t="s">
        <v>1172</v>
      </c>
      <c r="D487" s="38">
        <v>45908</v>
      </c>
      <c r="E487" s="32" t="s">
        <v>13</v>
      </c>
      <c r="F487" s="40" t="s">
        <v>1189</v>
      </c>
      <c r="G487" s="41">
        <v>1520</v>
      </c>
      <c r="H487" s="41"/>
      <c r="I487" s="41">
        <f t="shared" si="33"/>
        <v>1520</v>
      </c>
      <c r="J487" s="41">
        <f t="shared" si="34"/>
        <v>76</v>
      </c>
      <c r="K487" s="41">
        <f t="shared" si="35"/>
        <v>1596</v>
      </c>
      <c r="L487" s="42" t="s">
        <v>11</v>
      </c>
      <c r="M487" s="10"/>
      <c r="N487" s="10"/>
      <c r="O487" s="10"/>
      <c r="P487" s="10"/>
      <c r="Q487" s="10"/>
    </row>
    <row r="488" spans="2:17" x14ac:dyDescent="0.25">
      <c r="B488" s="64" t="s">
        <v>12</v>
      </c>
      <c r="C488" s="37" t="s">
        <v>1173</v>
      </c>
      <c r="D488" s="38">
        <v>45908</v>
      </c>
      <c r="E488" s="32" t="s">
        <v>13</v>
      </c>
      <c r="F488" s="40" t="s">
        <v>668</v>
      </c>
      <c r="G488" s="41">
        <v>2362.5</v>
      </c>
      <c r="H488" s="41"/>
      <c r="I488" s="41">
        <f t="shared" si="33"/>
        <v>2362.5</v>
      </c>
      <c r="J488" s="41">
        <f t="shared" si="34"/>
        <v>118.125</v>
      </c>
      <c r="K488" s="41">
        <f t="shared" si="35"/>
        <v>2480.625</v>
      </c>
      <c r="L488" s="42" t="s">
        <v>11</v>
      </c>
      <c r="M488" s="10"/>
      <c r="N488" s="10"/>
      <c r="O488" s="10"/>
      <c r="P488" s="10"/>
      <c r="Q488" s="10"/>
    </row>
    <row r="489" spans="2:17" x14ac:dyDescent="0.25">
      <c r="B489" s="64" t="s">
        <v>1190</v>
      </c>
      <c r="C489" s="37" t="s">
        <v>1174</v>
      </c>
      <c r="D489" s="38">
        <v>45908</v>
      </c>
      <c r="E489" s="32" t="s">
        <v>1191</v>
      </c>
      <c r="F489" s="40" t="s">
        <v>1193</v>
      </c>
      <c r="G489" s="41">
        <v>694.75</v>
      </c>
      <c r="H489" s="41"/>
      <c r="I489" s="41">
        <f t="shared" si="33"/>
        <v>694.75</v>
      </c>
      <c r="J489" s="41">
        <f t="shared" si="34"/>
        <v>34.737500000000004</v>
      </c>
      <c r="K489" s="41">
        <f t="shared" si="35"/>
        <v>729.48749999999995</v>
      </c>
      <c r="L489" s="42" t="s">
        <v>11</v>
      </c>
      <c r="M489" s="10"/>
      <c r="N489" s="10"/>
      <c r="O489" s="10"/>
      <c r="P489" s="10"/>
      <c r="Q489" s="10"/>
    </row>
    <row r="490" spans="2:17" x14ac:dyDescent="0.25">
      <c r="B490" s="64" t="s">
        <v>524</v>
      </c>
      <c r="C490" s="37" t="s">
        <v>1175</v>
      </c>
      <c r="D490" s="38">
        <v>45909</v>
      </c>
      <c r="E490" s="32" t="s">
        <v>525</v>
      </c>
      <c r="F490" s="40" t="s">
        <v>1192</v>
      </c>
      <c r="G490" s="41">
        <v>366.67</v>
      </c>
      <c r="H490" s="41"/>
      <c r="I490" s="41">
        <f t="shared" si="33"/>
        <v>366.67</v>
      </c>
      <c r="J490" s="41">
        <f t="shared" si="34"/>
        <v>18.333500000000001</v>
      </c>
      <c r="K490" s="41">
        <f t="shared" si="35"/>
        <v>385.00350000000003</v>
      </c>
      <c r="L490" s="42" t="s">
        <v>49</v>
      </c>
      <c r="M490" s="10"/>
      <c r="N490" s="10"/>
      <c r="O490" s="10"/>
      <c r="P490" s="10"/>
      <c r="Q490" s="10"/>
    </row>
    <row r="491" spans="2:17" x14ac:dyDescent="0.25">
      <c r="B491" s="64" t="s">
        <v>262</v>
      </c>
      <c r="C491" s="37" t="s">
        <v>1176</v>
      </c>
      <c r="D491" s="38">
        <v>45911</v>
      </c>
      <c r="E491" s="32"/>
      <c r="F491" s="40" t="s">
        <v>1194</v>
      </c>
      <c r="G491" s="41">
        <v>13600</v>
      </c>
      <c r="H491" s="41"/>
      <c r="I491" s="41">
        <f t="shared" si="33"/>
        <v>13600</v>
      </c>
      <c r="J491" s="41">
        <f t="shared" si="34"/>
        <v>680</v>
      </c>
      <c r="K491" s="41">
        <f t="shared" si="35"/>
        <v>14280</v>
      </c>
      <c r="L491" s="42" t="s">
        <v>11</v>
      </c>
      <c r="M491" s="10"/>
      <c r="N491" s="10"/>
      <c r="O491" s="10"/>
      <c r="P491" s="10"/>
      <c r="Q491" s="10"/>
    </row>
    <row r="492" spans="2:17" x14ac:dyDescent="0.25">
      <c r="B492" s="64" t="s">
        <v>1195</v>
      </c>
      <c r="C492" s="37" t="s">
        <v>1177</v>
      </c>
      <c r="D492" s="38">
        <v>45911</v>
      </c>
      <c r="E492" s="32" t="s">
        <v>1196</v>
      </c>
      <c r="F492" s="40" t="s">
        <v>1197</v>
      </c>
      <c r="G492" s="41">
        <v>565</v>
      </c>
      <c r="H492" s="41"/>
      <c r="I492" s="41">
        <f t="shared" si="33"/>
        <v>565</v>
      </c>
      <c r="J492" s="41">
        <f t="shared" si="34"/>
        <v>28.25</v>
      </c>
      <c r="K492" s="41">
        <f t="shared" si="35"/>
        <v>593.25</v>
      </c>
      <c r="L492" s="42" t="s">
        <v>11</v>
      </c>
      <c r="M492" s="10"/>
      <c r="N492" s="10"/>
      <c r="O492" s="10"/>
      <c r="P492" s="10"/>
      <c r="Q492" s="10"/>
    </row>
    <row r="493" spans="2:17" x14ac:dyDescent="0.25">
      <c r="B493" s="64" t="s">
        <v>413</v>
      </c>
      <c r="C493" s="37" t="s">
        <v>1178</v>
      </c>
      <c r="D493" s="38">
        <v>45906</v>
      </c>
      <c r="E493" s="32"/>
      <c r="F493" s="40" t="s">
        <v>1198</v>
      </c>
      <c r="G493" s="41">
        <v>1287.5</v>
      </c>
      <c r="H493" s="41"/>
      <c r="I493" s="41">
        <f t="shared" si="33"/>
        <v>1287.5</v>
      </c>
      <c r="J493" s="41">
        <f t="shared" si="34"/>
        <v>64.375</v>
      </c>
      <c r="K493" s="41">
        <f t="shared" si="35"/>
        <v>1351.875</v>
      </c>
      <c r="L493" s="42" t="s">
        <v>11</v>
      </c>
      <c r="M493" s="10"/>
      <c r="N493" s="10"/>
      <c r="O493" s="10"/>
      <c r="P493" s="10"/>
      <c r="Q493" s="10"/>
    </row>
    <row r="494" spans="2:17" x14ac:dyDescent="0.25">
      <c r="B494" s="64" t="s">
        <v>155</v>
      </c>
      <c r="C494" s="37" t="s">
        <v>1179</v>
      </c>
      <c r="D494" s="38">
        <v>45912</v>
      </c>
      <c r="E494" s="32" t="s">
        <v>157</v>
      </c>
      <c r="F494" s="40" t="s">
        <v>1199</v>
      </c>
      <c r="G494" s="41">
        <v>160</v>
      </c>
      <c r="H494" s="41"/>
      <c r="I494" s="41">
        <f t="shared" si="33"/>
        <v>160</v>
      </c>
      <c r="J494" s="41">
        <f t="shared" si="34"/>
        <v>8</v>
      </c>
      <c r="K494" s="41">
        <f t="shared" si="35"/>
        <v>168</v>
      </c>
      <c r="L494" s="42" t="s">
        <v>11</v>
      </c>
      <c r="M494" s="10"/>
      <c r="N494" s="10"/>
      <c r="O494" s="10"/>
      <c r="P494" s="10"/>
      <c r="Q494" s="10"/>
    </row>
    <row r="495" spans="2:17" x14ac:dyDescent="0.25">
      <c r="B495" s="64" t="s">
        <v>310</v>
      </c>
      <c r="C495" s="37" t="s">
        <v>1180</v>
      </c>
      <c r="D495" s="38">
        <v>45912</v>
      </c>
      <c r="E495" s="32" t="s">
        <v>157</v>
      </c>
      <c r="F495" s="40" t="s">
        <v>1200</v>
      </c>
      <c r="G495" s="41">
        <v>160</v>
      </c>
      <c r="H495" s="41"/>
      <c r="I495" s="41">
        <f t="shared" si="33"/>
        <v>160</v>
      </c>
      <c r="J495" s="41">
        <f t="shared" si="34"/>
        <v>8</v>
      </c>
      <c r="K495" s="41">
        <f t="shared" si="35"/>
        <v>168</v>
      </c>
      <c r="L495" s="42" t="s">
        <v>11</v>
      </c>
      <c r="M495" s="10"/>
      <c r="N495" s="10"/>
      <c r="O495" s="10"/>
      <c r="P495" s="10"/>
      <c r="Q495" s="10"/>
    </row>
    <row r="496" spans="2:17" x14ac:dyDescent="0.25">
      <c r="B496" s="64" t="s">
        <v>155</v>
      </c>
      <c r="C496" s="37" t="s">
        <v>1181</v>
      </c>
      <c r="D496" s="38">
        <v>45912</v>
      </c>
      <c r="E496" s="32" t="s">
        <v>157</v>
      </c>
      <c r="F496" s="40" t="s">
        <v>1201</v>
      </c>
      <c r="G496" s="41">
        <v>320</v>
      </c>
      <c r="H496" s="41"/>
      <c r="I496" s="41">
        <f t="shared" si="33"/>
        <v>320</v>
      </c>
      <c r="J496" s="41">
        <f t="shared" si="34"/>
        <v>16</v>
      </c>
      <c r="K496" s="41">
        <f t="shared" si="35"/>
        <v>336</v>
      </c>
      <c r="L496" s="42" t="s">
        <v>11</v>
      </c>
      <c r="M496" s="10"/>
      <c r="N496" s="10"/>
      <c r="O496" s="10"/>
      <c r="P496" s="10"/>
      <c r="Q496" s="10"/>
    </row>
    <row r="497" spans="2:17" x14ac:dyDescent="0.25">
      <c r="B497" s="64" t="s">
        <v>310</v>
      </c>
      <c r="C497" s="37" t="s">
        <v>1182</v>
      </c>
      <c r="D497" s="38">
        <v>45912</v>
      </c>
      <c r="E497" s="32" t="s">
        <v>157</v>
      </c>
      <c r="F497" s="40" t="s">
        <v>1202</v>
      </c>
      <c r="G497" s="41">
        <v>160</v>
      </c>
      <c r="H497" s="41"/>
      <c r="I497" s="41">
        <f t="shared" si="33"/>
        <v>160</v>
      </c>
      <c r="J497" s="41">
        <f t="shared" si="34"/>
        <v>8</v>
      </c>
      <c r="K497" s="41">
        <f t="shared" si="35"/>
        <v>168</v>
      </c>
      <c r="L497" s="42" t="s">
        <v>11</v>
      </c>
      <c r="M497" s="10"/>
      <c r="N497" s="10"/>
      <c r="O497" s="10"/>
      <c r="P497" s="10"/>
      <c r="Q497" s="10"/>
    </row>
    <row r="498" spans="2:17" x14ac:dyDescent="0.25">
      <c r="B498" s="64" t="s">
        <v>155</v>
      </c>
      <c r="C498" s="37" t="s">
        <v>1183</v>
      </c>
      <c r="D498" s="38">
        <v>45912</v>
      </c>
      <c r="E498" s="32" t="s">
        <v>157</v>
      </c>
      <c r="F498" s="40" t="s">
        <v>1203</v>
      </c>
      <c r="G498" s="41">
        <v>160</v>
      </c>
      <c r="H498" s="41"/>
      <c r="I498" s="41">
        <f t="shared" ref="I498" si="36">G498-H498</f>
        <v>160</v>
      </c>
      <c r="J498" s="41">
        <f t="shared" ref="J498" si="37">G498*5%</f>
        <v>8</v>
      </c>
      <c r="K498" s="41">
        <f t="shared" ref="K498" si="38">G498+J498</f>
        <v>168</v>
      </c>
      <c r="L498" s="42" t="s">
        <v>11</v>
      </c>
      <c r="M498" s="10"/>
      <c r="N498" s="10"/>
      <c r="O498" s="10"/>
      <c r="P498" s="10"/>
      <c r="Q498" s="10"/>
    </row>
    <row r="499" spans="2:17" x14ac:dyDescent="0.25">
      <c r="B499" s="64" t="s">
        <v>12</v>
      </c>
      <c r="C499" s="37" t="s">
        <v>1184</v>
      </c>
      <c r="D499" s="38">
        <v>45912</v>
      </c>
      <c r="E499" s="32" t="s">
        <v>13</v>
      </c>
      <c r="F499" s="40" t="s">
        <v>98</v>
      </c>
      <c r="G499" s="41">
        <v>225</v>
      </c>
      <c r="H499" s="41"/>
      <c r="I499" s="41">
        <f t="shared" si="33"/>
        <v>225</v>
      </c>
      <c r="J499" s="41">
        <f t="shared" si="34"/>
        <v>11.25</v>
      </c>
      <c r="K499" s="41">
        <f t="shared" si="35"/>
        <v>236.25</v>
      </c>
      <c r="L499" s="42" t="s">
        <v>11</v>
      </c>
      <c r="M499" s="10"/>
      <c r="N499" s="10"/>
      <c r="O499" s="10"/>
      <c r="P499" s="10"/>
      <c r="Q499" s="10"/>
    </row>
    <row r="500" spans="2:17" x14ac:dyDescent="0.25">
      <c r="B500" s="64" t="s">
        <v>46</v>
      </c>
      <c r="C500" s="37" t="s">
        <v>1185</v>
      </c>
      <c r="D500" s="38">
        <v>45912</v>
      </c>
      <c r="E500" s="32"/>
      <c r="F500" s="40" t="s">
        <v>1204</v>
      </c>
      <c r="G500" s="41">
        <v>105</v>
      </c>
      <c r="H500" s="41"/>
      <c r="I500" s="41">
        <f t="shared" si="33"/>
        <v>105</v>
      </c>
      <c r="J500" s="41">
        <f t="shared" si="34"/>
        <v>5.25</v>
      </c>
      <c r="K500" s="41">
        <f t="shared" si="35"/>
        <v>110.25</v>
      </c>
      <c r="L500" s="42" t="s">
        <v>49</v>
      </c>
      <c r="M500" s="10"/>
      <c r="N500" s="10"/>
      <c r="O500" s="10"/>
      <c r="P500" s="10"/>
      <c r="Q500" s="10"/>
    </row>
    <row r="501" spans="2:17" x14ac:dyDescent="0.25">
      <c r="B501" s="64" t="s">
        <v>579</v>
      </c>
      <c r="C501" s="37" t="s">
        <v>1207</v>
      </c>
      <c r="D501" s="38">
        <v>45913</v>
      </c>
      <c r="E501" s="32" t="s">
        <v>52</v>
      </c>
      <c r="F501" s="40" t="s">
        <v>1209</v>
      </c>
      <c r="G501" s="41">
        <v>2695</v>
      </c>
      <c r="H501" s="41"/>
      <c r="I501" s="41">
        <f t="shared" si="33"/>
        <v>2695</v>
      </c>
      <c r="J501" s="41">
        <f t="shared" si="34"/>
        <v>134.75</v>
      </c>
      <c r="K501" s="41">
        <f t="shared" si="35"/>
        <v>2829.75</v>
      </c>
      <c r="L501" s="42" t="s">
        <v>11</v>
      </c>
      <c r="M501" s="10"/>
      <c r="N501" s="10"/>
      <c r="O501" s="10"/>
      <c r="P501" s="10"/>
      <c r="Q501" s="10"/>
    </row>
    <row r="502" spans="2:17" x14ac:dyDescent="0.25">
      <c r="B502" s="64" t="s">
        <v>579</v>
      </c>
      <c r="C502" s="37" t="s">
        <v>1208</v>
      </c>
      <c r="D502" s="38">
        <v>45915</v>
      </c>
      <c r="E502" s="32" t="s">
        <v>52</v>
      </c>
      <c r="F502" s="40" t="s">
        <v>1210</v>
      </c>
      <c r="G502" s="41">
        <v>125</v>
      </c>
      <c r="H502" s="41"/>
      <c r="I502" s="41">
        <f t="shared" si="33"/>
        <v>125</v>
      </c>
      <c r="J502" s="41">
        <f t="shared" si="34"/>
        <v>6.25</v>
      </c>
      <c r="K502" s="41">
        <f t="shared" si="35"/>
        <v>131.25</v>
      </c>
      <c r="L502" s="42" t="s">
        <v>11</v>
      </c>
      <c r="M502" s="10"/>
      <c r="N502" s="10"/>
      <c r="O502" s="10"/>
      <c r="P502" s="10"/>
      <c r="Q502" s="10"/>
    </row>
    <row r="503" spans="2:17" x14ac:dyDescent="0.25">
      <c r="B503" s="64" t="s">
        <v>12</v>
      </c>
      <c r="C503" s="37" t="s">
        <v>1211</v>
      </c>
      <c r="D503" s="38">
        <v>45915</v>
      </c>
      <c r="E503" s="32" t="s">
        <v>13</v>
      </c>
      <c r="F503" s="40" t="s">
        <v>1228</v>
      </c>
      <c r="G503" s="41">
        <v>650</v>
      </c>
      <c r="H503" s="41"/>
      <c r="I503" s="41">
        <f t="shared" si="33"/>
        <v>650</v>
      </c>
      <c r="J503" s="41">
        <f t="shared" si="34"/>
        <v>32.5</v>
      </c>
      <c r="K503" s="41">
        <f t="shared" si="35"/>
        <v>682.5</v>
      </c>
      <c r="L503" s="42" t="s">
        <v>11</v>
      </c>
      <c r="M503" s="10"/>
      <c r="N503" s="10"/>
      <c r="O503" s="10"/>
      <c r="P503" s="10"/>
      <c r="Q503" s="10"/>
    </row>
    <row r="504" spans="2:17" x14ac:dyDescent="0.25">
      <c r="B504" s="64" t="s">
        <v>338</v>
      </c>
      <c r="C504" s="37" t="s">
        <v>1212</v>
      </c>
      <c r="D504" s="38">
        <v>45915</v>
      </c>
      <c r="E504" s="32" t="s">
        <v>339</v>
      </c>
      <c r="F504" s="40" t="s">
        <v>340</v>
      </c>
      <c r="G504" s="41">
        <v>4200</v>
      </c>
      <c r="H504" s="41"/>
      <c r="I504" s="41">
        <f t="shared" si="33"/>
        <v>4200</v>
      </c>
      <c r="J504" s="41">
        <f t="shared" si="34"/>
        <v>210</v>
      </c>
      <c r="K504" s="41">
        <f t="shared" si="35"/>
        <v>4410</v>
      </c>
      <c r="L504" s="42" t="s">
        <v>11</v>
      </c>
      <c r="M504" s="10"/>
      <c r="N504" s="10"/>
      <c r="O504" s="10"/>
      <c r="P504" s="10"/>
      <c r="Q504" s="10"/>
    </row>
    <row r="505" spans="2:17" x14ac:dyDescent="0.25">
      <c r="B505" s="64" t="s">
        <v>293</v>
      </c>
      <c r="C505" s="37" t="s">
        <v>1213</v>
      </c>
      <c r="D505" s="38">
        <v>45916</v>
      </c>
      <c r="E505" s="32" t="s">
        <v>294</v>
      </c>
      <c r="F505" s="40" t="s">
        <v>140</v>
      </c>
      <c r="G505" s="41">
        <v>400</v>
      </c>
      <c r="H505" s="41"/>
      <c r="I505" s="41">
        <f t="shared" si="33"/>
        <v>400</v>
      </c>
      <c r="J505" s="41">
        <f t="shared" si="34"/>
        <v>20</v>
      </c>
      <c r="K505" s="41">
        <f t="shared" si="35"/>
        <v>420</v>
      </c>
      <c r="L505" s="42" t="s">
        <v>49</v>
      </c>
      <c r="M505" s="10"/>
      <c r="N505" s="10"/>
      <c r="O505" s="10"/>
      <c r="P505" s="10"/>
      <c r="Q505" s="10"/>
    </row>
    <row r="506" spans="2:17" x14ac:dyDescent="0.25">
      <c r="B506" s="64" t="s">
        <v>538</v>
      </c>
      <c r="C506" s="37" t="s">
        <v>1214</v>
      </c>
      <c r="D506" s="38">
        <v>45925</v>
      </c>
      <c r="E506" s="32" t="s">
        <v>539</v>
      </c>
      <c r="F506" s="40" t="s">
        <v>1229</v>
      </c>
      <c r="G506" s="41">
        <v>4455</v>
      </c>
      <c r="H506" s="41"/>
      <c r="I506" s="41">
        <f t="shared" si="33"/>
        <v>4455</v>
      </c>
      <c r="J506" s="41">
        <f t="shared" si="34"/>
        <v>222.75</v>
      </c>
      <c r="K506" s="41">
        <f t="shared" si="35"/>
        <v>4677.75</v>
      </c>
      <c r="L506" s="42" t="s">
        <v>11</v>
      </c>
      <c r="M506" s="10"/>
      <c r="N506" s="10"/>
      <c r="O506" s="10"/>
      <c r="P506" s="10"/>
      <c r="Q506" s="10"/>
    </row>
    <row r="507" spans="2:17" x14ac:dyDescent="0.25">
      <c r="B507" s="64" t="s">
        <v>58</v>
      </c>
      <c r="C507" s="37" t="s">
        <v>1215</v>
      </c>
      <c r="D507" s="38">
        <v>45916</v>
      </c>
      <c r="E507" s="32" t="s">
        <v>60</v>
      </c>
      <c r="F507" s="40" t="s">
        <v>1230</v>
      </c>
      <c r="G507" s="41">
        <v>630</v>
      </c>
      <c r="H507" s="41"/>
      <c r="I507" s="41">
        <f t="shared" si="33"/>
        <v>630</v>
      </c>
      <c r="J507" s="41">
        <f t="shared" si="34"/>
        <v>31.5</v>
      </c>
      <c r="K507" s="41">
        <f t="shared" si="35"/>
        <v>661.5</v>
      </c>
      <c r="L507" s="42" t="s">
        <v>11</v>
      </c>
      <c r="M507" s="10"/>
      <c r="N507" s="10"/>
      <c r="O507" s="10"/>
      <c r="P507" s="10"/>
      <c r="Q507" s="10"/>
    </row>
    <row r="508" spans="2:17" x14ac:dyDescent="0.25">
      <c r="B508" s="36" t="s">
        <v>58</v>
      </c>
      <c r="C508" s="37" t="s">
        <v>1216</v>
      </c>
      <c r="D508" s="38">
        <v>45916</v>
      </c>
      <c r="E508" s="32" t="s">
        <v>60</v>
      </c>
      <c r="F508" s="40" t="s">
        <v>1231</v>
      </c>
      <c r="G508" s="41">
        <v>3133.75</v>
      </c>
      <c r="H508" s="41"/>
      <c r="I508" s="41">
        <f t="shared" si="33"/>
        <v>3133.75</v>
      </c>
      <c r="J508" s="41">
        <f t="shared" si="34"/>
        <v>156.6875</v>
      </c>
      <c r="K508" s="41">
        <f t="shared" si="35"/>
        <v>3290.4375</v>
      </c>
      <c r="L508" s="42" t="s">
        <v>11</v>
      </c>
      <c r="M508" s="10"/>
      <c r="N508" s="10"/>
      <c r="O508" s="10"/>
      <c r="P508" s="10"/>
      <c r="Q508" s="10"/>
    </row>
    <row r="509" spans="2:17" x14ac:dyDescent="0.25">
      <c r="B509" s="64" t="s">
        <v>1232</v>
      </c>
      <c r="C509" s="37" t="s">
        <v>1217</v>
      </c>
      <c r="D509" s="38">
        <v>45920</v>
      </c>
      <c r="E509" s="32"/>
      <c r="F509" s="40" t="s">
        <v>1233</v>
      </c>
      <c r="G509" s="41">
        <v>9135.02</v>
      </c>
      <c r="H509" s="41"/>
      <c r="I509" s="41">
        <f t="shared" si="33"/>
        <v>9135.02</v>
      </c>
      <c r="J509" s="41">
        <f t="shared" si="34"/>
        <v>456.75100000000003</v>
      </c>
      <c r="K509" s="41">
        <f t="shared" si="35"/>
        <v>9591.7710000000006</v>
      </c>
      <c r="L509" s="42" t="s">
        <v>49</v>
      </c>
      <c r="M509" s="10"/>
      <c r="N509" s="10"/>
      <c r="O509" s="10"/>
      <c r="P509" s="10"/>
      <c r="Q509" s="10"/>
    </row>
    <row r="510" spans="2:17" x14ac:dyDescent="0.25">
      <c r="B510" s="36" t="s">
        <v>262</v>
      </c>
      <c r="C510" s="37" t="s">
        <v>1218</v>
      </c>
      <c r="D510" s="38">
        <v>45917</v>
      </c>
      <c r="E510" s="32"/>
      <c r="F510" s="40" t="s">
        <v>461</v>
      </c>
      <c r="G510" s="41">
        <v>730</v>
      </c>
      <c r="H510" s="41"/>
      <c r="I510" s="41">
        <f t="shared" si="33"/>
        <v>730</v>
      </c>
      <c r="J510" s="41">
        <f t="shared" si="34"/>
        <v>36.5</v>
      </c>
      <c r="K510" s="41">
        <f t="shared" si="35"/>
        <v>766.5</v>
      </c>
      <c r="L510" s="42" t="s">
        <v>11</v>
      </c>
      <c r="M510" s="10"/>
      <c r="N510" s="10"/>
      <c r="O510" s="10"/>
      <c r="P510" s="10"/>
      <c r="Q510" s="10"/>
    </row>
    <row r="511" spans="2:17" x14ac:dyDescent="0.25">
      <c r="B511" s="36" t="s">
        <v>1059</v>
      </c>
      <c r="C511" s="37" t="s">
        <v>1219</v>
      </c>
      <c r="D511" s="38">
        <v>45918</v>
      </c>
      <c r="E511" s="32"/>
      <c r="F511" s="40" t="s">
        <v>145</v>
      </c>
      <c r="G511" s="41">
        <v>700</v>
      </c>
      <c r="H511" s="41"/>
      <c r="I511" s="41">
        <f t="shared" ref="I511:I518" si="39">G511-H511</f>
        <v>700</v>
      </c>
      <c r="J511" s="41">
        <f t="shared" ref="J511:J518" si="40">G511*5%</f>
        <v>35</v>
      </c>
      <c r="K511" s="41">
        <f t="shared" ref="K511:K518" si="41">G511+J511</f>
        <v>735</v>
      </c>
      <c r="L511" s="42" t="s">
        <v>57</v>
      </c>
      <c r="M511" s="10"/>
      <c r="N511" s="10"/>
      <c r="O511" s="10"/>
      <c r="P511" s="10"/>
      <c r="Q511" s="10"/>
    </row>
    <row r="512" spans="2:17" x14ac:dyDescent="0.25">
      <c r="B512" s="36" t="s">
        <v>1186</v>
      </c>
      <c r="C512" s="37" t="s">
        <v>1220</v>
      </c>
      <c r="D512" s="38">
        <v>45920</v>
      </c>
      <c r="E512" s="32"/>
      <c r="F512" s="40" t="s">
        <v>1234</v>
      </c>
      <c r="G512" s="41">
        <v>1065</v>
      </c>
      <c r="H512" s="41"/>
      <c r="I512" s="41">
        <f t="shared" si="39"/>
        <v>1065</v>
      </c>
      <c r="J512" s="41">
        <f t="shared" si="40"/>
        <v>53.25</v>
      </c>
      <c r="K512" s="41">
        <f t="shared" si="41"/>
        <v>1118.25</v>
      </c>
      <c r="L512" s="42" t="s">
        <v>49</v>
      </c>
      <c r="M512" s="10"/>
      <c r="N512" s="10"/>
      <c r="O512" s="10"/>
      <c r="P512" s="10"/>
      <c r="Q512" s="10"/>
    </row>
    <row r="513" spans="2:20" x14ac:dyDescent="0.25">
      <c r="B513" s="64" t="s">
        <v>46</v>
      </c>
      <c r="C513" s="37" t="s">
        <v>1221</v>
      </c>
      <c r="D513" s="38">
        <v>45920</v>
      </c>
      <c r="E513" s="32"/>
      <c r="F513" s="40" t="s">
        <v>1227</v>
      </c>
      <c r="G513" s="41">
        <v>520</v>
      </c>
      <c r="H513" s="41"/>
      <c r="I513" s="41">
        <f t="shared" si="39"/>
        <v>520</v>
      </c>
      <c r="J513" s="41">
        <f t="shared" si="40"/>
        <v>26</v>
      </c>
      <c r="K513" s="41">
        <f t="shared" si="41"/>
        <v>546</v>
      </c>
      <c r="L513" s="42" t="s">
        <v>49</v>
      </c>
      <c r="M513" s="10"/>
      <c r="N513" s="10"/>
      <c r="O513" s="10"/>
      <c r="P513" s="10"/>
      <c r="Q513" s="10"/>
      <c r="R513" s="10"/>
      <c r="S513" s="10"/>
      <c r="T513" s="10"/>
    </row>
    <row r="514" spans="2:20" x14ac:dyDescent="0.25">
      <c r="B514" s="36" t="s">
        <v>490</v>
      </c>
      <c r="C514" s="37" t="s">
        <v>1222</v>
      </c>
      <c r="D514" s="38">
        <v>45922</v>
      </c>
      <c r="E514" s="32" t="s">
        <v>491</v>
      </c>
      <c r="F514" s="40" t="s">
        <v>1240</v>
      </c>
      <c r="G514" s="41">
        <v>2135</v>
      </c>
      <c r="H514" s="41"/>
      <c r="I514" s="41">
        <f t="shared" si="39"/>
        <v>2135</v>
      </c>
      <c r="J514" s="41">
        <f t="shared" si="40"/>
        <v>106.75</v>
      </c>
      <c r="K514" s="41">
        <f t="shared" si="41"/>
        <v>2241.75</v>
      </c>
      <c r="L514" s="42" t="s">
        <v>11</v>
      </c>
    </row>
    <row r="515" spans="2:20" x14ac:dyDescent="0.25">
      <c r="B515" s="64" t="s">
        <v>58</v>
      </c>
      <c r="C515" s="37" t="s">
        <v>1223</v>
      </c>
      <c r="D515" s="38">
        <v>45924</v>
      </c>
      <c r="E515" s="32" t="s">
        <v>60</v>
      </c>
      <c r="F515" s="40" t="s">
        <v>1241</v>
      </c>
      <c r="G515" s="41">
        <v>94085</v>
      </c>
      <c r="H515" s="41"/>
      <c r="I515" s="41">
        <f t="shared" si="39"/>
        <v>94085</v>
      </c>
      <c r="J515" s="41">
        <f t="shared" si="40"/>
        <v>4704.25</v>
      </c>
      <c r="K515" s="41">
        <f t="shared" si="41"/>
        <v>98789.25</v>
      </c>
      <c r="L515" s="42" t="s">
        <v>11</v>
      </c>
    </row>
    <row r="516" spans="2:20" x14ac:dyDescent="0.25">
      <c r="B516" s="64" t="s">
        <v>58</v>
      </c>
      <c r="C516" s="37" t="s">
        <v>1224</v>
      </c>
      <c r="D516" s="38">
        <v>45924</v>
      </c>
      <c r="E516" s="32" t="s">
        <v>60</v>
      </c>
      <c r="F516" s="40" t="s">
        <v>1242</v>
      </c>
      <c r="G516" s="41">
        <v>75705</v>
      </c>
      <c r="H516" s="41"/>
      <c r="I516" s="41">
        <f t="shared" si="39"/>
        <v>75705</v>
      </c>
      <c r="J516" s="41">
        <f t="shared" si="40"/>
        <v>3785.25</v>
      </c>
      <c r="K516" s="41">
        <f t="shared" si="41"/>
        <v>79490.25</v>
      </c>
      <c r="L516" s="42" t="s">
        <v>11</v>
      </c>
    </row>
    <row r="517" spans="2:20" x14ac:dyDescent="0.25">
      <c r="B517" s="64" t="s">
        <v>58</v>
      </c>
      <c r="C517" s="37" t="s">
        <v>1225</v>
      </c>
      <c r="D517" s="38">
        <v>45922</v>
      </c>
      <c r="E517" s="32" t="s">
        <v>60</v>
      </c>
      <c r="F517" s="40" t="s">
        <v>1243</v>
      </c>
      <c r="G517" s="41">
        <v>420</v>
      </c>
      <c r="H517" s="41"/>
      <c r="I517" s="41">
        <f t="shared" si="39"/>
        <v>420</v>
      </c>
      <c r="J517" s="41">
        <f t="shared" si="40"/>
        <v>21</v>
      </c>
      <c r="K517" s="41">
        <f t="shared" si="41"/>
        <v>441</v>
      </c>
      <c r="L517" s="42" t="s">
        <v>11</v>
      </c>
    </row>
    <row r="518" spans="2:20" x14ac:dyDescent="0.25">
      <c r="B518" s="36" t="s">
        <v>286</v>
      </c>
      <c r="C518" s="37" t="s">
        <v>1226</v>
      </c>
      <c r="D518" s="38">
        <v>45923</v>
      </c>
      <c r="E518" s="32"/>
      <c r="F518" s="40" t="s">
        <v>1244</v>
      </c>
      <c r="G518" s="41">
        <v>120</v>
      </c>
      <c r="H518" s="41"/>
      <c r="I518" s="41">
        <f t="shared" si="39"/>
        <v>120</v>
      </c>
      <c r="J518" s="41">
        <f t="shared" si="40"/>
        <v>6</v>
      </c>
      <c r="K518" s="41">
        <f t="shared" si="41"/>
        <v>126</v>
      </c>
      <c r="L518" s="42" t="s">
        <v>11</v>
      </c>
    </row>
    <row r="519" spans="2:20" x14ac:dyDescent="0.25">
      <c r="B519" s="64" t="s">
        <v>58</v>
      </c>
      <c r="C519" s="37" t="s">
        <v>1235</v>
      </c>
      <c r="D519" s="38">
        <v>45924</v>
      </c>
      <c r="E519" s="32" t="s">
        <v>60</v>
      </c>
      <c r="F519" s="40" t="s">
        <v>1245</v>
      </c>
      <c r="G519" s="41">
        <v>375</v>
      </c>
      <c r="H519" s="41"/>
      <c r="I519" s="41">
        <f t="shared" ref="I519:I547" si="42">G519-H519</f>
        <v>375</v>
      </c>
      <c r="J519" s="41">
        <f t="shared" ref="J519:J547" si="43">G519*5%</f>
        <v>18.75</v>
      </c>
      <c r="K519" s="41">
        <f t="shared" ref="K519:K547" si="44">G519+J519</f>
        <v>393.75</v>
      </c>
      <c r="L519" s="42" t="s">
        <v>11</v>
      </c>
    </row>
    <row r="520" spans="2:20" x14ac:dyDescent="0.25">
      <c r="B520" s="36" t="s">
        <v>58</v>
      </c>
      <c r="C520" s="37" t="s">
        <v>1236</v>
      </c>
      <c r="D520" s="38">
        <v>45924</v>
      </c>
      <c r="E520" s="32" t="s">
        <v>60</v>
      </c>
      <c r="F520" s="40" t="s">
        <v>1246</v>
      </c>
      <c r="G520" s="41">
        <v>2487.25</v>
      </c>
      <c r="H520" s="41"/>
      <c r="I520" s="41">
        <f t="shared" si="42"/>
        <v>2487.25</v>
      </c>
      <c r="J520" s="41">
        <f t="shared" si="43"/>
        <v>124.36250000000001</v>
      </c>
      <c r="K520" s="41">
        <f t="shared" si="44"/>
        <v>2611.6125000000002</v>
      </c>
      <c r="L520" s="42" t="s">
        <v>11</v>
      </c>
    </row>
    <row r="521" spans="2:20" x14ac:dyDescent="0.25">
      <c r="B521" s="36" t="s">
        <v>1247</v>
      </c>
      <c r="C521" s="37" t="s">
        <v>1237</v>
      </c>
      <c r="D521" s="38">
        <v>45925</v>
      </c>
      <c r="E521" s="32"/>
      <c r="F521" s="40" t="s">
        <v>1248</v>
      </c>
      <c r="G521" s="41">
        <v>7125</v>
      </c>
      <c r="H521" s="41"/>
      <c r="I521" s="41">
        <f t="shared" si="42"/>
        <v>7125</v>
      </c>
      <c r="J521" s="41">
        <f t="shared" si="43"/>
        <v>356.25</v>
      </c>
      <c r="K521" s="41">
        <f t="shared" si="44"/>
        <v>7481.25</v>
      </c>
      <c r="L521" s="42" t="s">
        <v>774</v>
      </c>
    </row>
    <row r="522" spans="2:20" x14ac:dyDescent="0.25">
      <c r="B522" s="36" t="s">
        <v>518</v>
      </c>
      <c r="C522" s="37" t="s">
        <v>1238</v>
      </c>
      <c r="D522" s="38">
        <v>45925</v>
      </c>
      <c r="E522" s="32" t="s">
        <v>519</v>
      </c>
      <c r="F522" s="40" t="s">
        <v>1249</v>
      </c>
      <c r="G522" s="41">
        <v>345</v>
      </c>
      <c r="H522" s="41"/>
      <c r="I522" s="41">
        <f t="shared" si="42"/>
        <v>345</v>
      </c>
      <c r="J522" s="41">
        <f t="shared" si="43"/>
        <v>17.25</v>
      </c>
      <c r="K522" s="41">
        <f t="shared" si="44"/>
        <v>362.25</v>
      </c>
      <c r="L522" s="42" t="s">
        <v>774</v>
      </c>
    </row>
    <row r="523" spans="2:20" x14ac:dyDescent="0.25">
      <c r="B523" s="36" t="s">
        <v>12</v>
      </c>
      <c r="C523" s="37" t="s">
        <v>1239</v>
      </c>
      <c r="D523" s="38">
        <v>45924</v>
      </c>
      <c r="E523" s="32" t="s">
        <v>13</v>
      </c>
      <c r="F523" s="40" t="s">
        <v>1250</v>
      </c>
      <c r="G523" s="41">
        <v>26656</v>
      </c>
      <c r="H523" s="41"/>
      <c r="I523" s="41">
        <f t="shared" si="42"/>
        <v>26656</v>
      </c>
      <c r="J523" s="41">
        <f t="shared" si="43"/>
        <v>1332.8000000000002</v>
      </c>
      <c r="K523" s="41">
        <f t="shared" si="44"/>
        <v>27988.799999999999</v>
      </c>
      <c r="L523" s="42" t="s">
        <v>11</v>
      </c>
    </row>
    <row r="524" spans="2:20" x14ac:dyDescent="0.25">
      <c r="B524" s="36" t="s">
        <v>1186</v>
      </c>
      <c r="C524" s="37" t="s">
        <v>1251</v>
      </c>
      <c r="D524" s="38">
        <v>45926</v>
      </c>
      <c r="E524" s="32"/>
      <c r="F524" s="40" t="s">
        <v>1275</v>
      </c>
      <c r="G524" s="41">
        <v>2460</v>
      </c>
      <c r="H524" s="41"/>
      <c r="I524" s="41">
        <f t="shared" si="42"/>
        <v>2460</v>
      </c>
      <c r="J524" s="41">
        <f t="shared" si="43"/>
        <v>123</v>
      </c>
      <c r="K524" s="41">
        <f t="shared" si="44"/>
        <v>2583</v>
      </c>
      <c r="L524" s="42" t="s">
        <v>49</v>
      </c>
    </row>
    <row r="525" spans="2:20" x14ac:dyDescent="0.25">
      <c r="B525" s="36" t="s">
        <v>96</v>
      </c>
      <c r="C525" s="37" t="s">
        <v>1252</v>
      </c>
      <c r="D525" s="38">
        <v>45926</v>
      </c>
      <c r="E525" s="32" t="s">
        <v>97</v>
      </c>
      <c r="F525" s="40" t="s">
        <v>1255</v>
      </c>
      <c r="G525" s="41">
        <v>1559.52</v>
      </c>
      <c r="H525" s="41"/>
      <c r="I525" s="41">
        <f t="shared" si="42"/>
        <v>1559.52</v>
      </c>
      <c r="J525" s="41">
        <f t="shared" si="43"/>
        <v>77.975999999999999</v>
      </c>
      <c r="K525" s="41">
        <f t="shared" si="44"/>
        <v>1637.4960000000001</v>
      </c>
      <c r="L525" s="42" t="s">
        <v>11</v>
      </c>
    </row>
    <row r="526" spans="2:20" x14ac:dyDescent="0.25">
      <c r="B526" s="36" t="s">
        <v>1257</v>
      </c>
      <c r="C526" s="37" t="s">
        <v>1253</v>
      </c>
      <c r="D526" s="38">
        <v>45926</v>
      </c>
      <c r="E526" s="32"/>
      <c r="F526" s="40" t="s">
        <v>1256</v>
      </c>
      <c r="G526" s="41">
        <v>271.14999999999998</v>
      </c>
      <c r="H526" s="41"/>
      <c r="I526" s="41">
        <f t="shared" si="42"/>
        <v>271.14999999999998</v>
      </c>
      <c r="J526" s="41">
        <f t="shared" si="43"/>
        <v>13.557499999999999</v>
      </c>
      <c r="K526" s="41">
        <f t="shared" si="44"/>
        <v>284.70749999999998</v>
      </c>
      <c r="L526" s="42" t="s">
        <v>49</v>
      </c>
    </row>
    <row r="527" spans="2:20" x14ac:dyDescent="0.25">
      <c r="B527" s="36" t="s">
        <v>791</v>
      </c>
      <c r="C527" s="37" t="s">
        <v>1254</v>
      </c>
      <c r="D527" s="38">
        <v>45926</v>
      </c>
      <c r="E527" s="32" t="s">
        <v>336</v>
      </c>
      <c r="F527" s="40" t="s">
        <v>1258</v>
      </c>
      <c r="G527" s="41">
        <v>435</v>
      </c>
      <c r="H527" s="41"/>
      <c r="I527" s="41">
        <f t="shared" si="42"/>
        <v>435</v>
      </c>
      <c r="J527" s="41">
        <f t="shared" si="43"/>
        <v>21.75</v>
      </c>
      <c r="K527" s="41">
        <f t="shared" si="44"/>
        <v>456.75</v>
      </c>
      <c r="L527" s="42" t="s">
        <v>49</v>
      </c>
    </row>
    <row r="528" spans="2:20" x14ac:dyDescent="0.25">
      <c r="B528" s="36" t="s">
        <v>692</v>
      </c>
      <c r="C528" s="37" t="s">
        <v>1259</v>
      </c>
      <c r="D528" s="38">
        <v>45927</v>
      </c>
      <c r="E528" s="32" t="s">
        <v>694</v>
      </c>
      <c r="F528" s="40" t="s">
        <v>693</v>
      </c>
      <c r="G528" s="41">
        <v>316</v>
      </c>
      <c r="H528" s="41"/>
      <c r="I528" s="41">
        <f t="shared" si="42"/>
        <v>316</v>
      </c>
      <c r="J528" s="41">
        <f t="shared" si="43"/>
        <v>15.8</v>
      </c>
      <c r="K528" s="41">
        <f t="shared" si="44"/>
        <v>331.8</v>
      </c>
      <c r="L528" s="42" t="s">
        <v>11</v>
      </c>
    </row>
    <row r="529" spans="2:12" x14ac:dyDescent="0.25">
      <c r="B529" s="36" t="s">
        <v>46</v>
      </c>
      <c r="C529" s="37" t="s">
        <v>1260</v>
      </c>
      <c r="D529" s="38">
        <v>45927</v>
      </c>
      <c r="E529" s="32"/>
      <c r="F529" s="40" t="s">
        <v>1261</v>
      </c>
      <c r="G529" s="41">
        <v>1260</v>
      </c>
      <c r="H529" s="41"/>
      <c r="I529" s="41">
        <f t="shared" si="42"/>
        <v>1260</v>
      </c>
      <c r="J529" s="41">
        <f t="shared" si="43"/>
        <v>63</v>
      </c>
      <c r="K529" s="41">
        <f t="shared" si="44"/>
        <v>1323</v>
      </c>
      <c r="L529" s="42" t="s">
        <v>49</v>
      </c>
    </row>
    <row r="530" spans="2:12" x14ac:dyDescent="0.25">
      <c r="B530" s="36" t="s">
        <v>240</v>
      </c>
      <c r="C530" s="37" t="s">
        <v>1262</v>
      </c>
      <c r="D530" s="38">
        <v>45929</v>
      </c>
      <c r="E530" s="32" t="s">
        <v>243</v>
      </c>
      <c r="F530" s="40" t="s">
        <v>1270</v>
      </c>
      <c r="G530" s="41">
        <v>15</v>
      </c>
      <c r="H530" s="41"/>
      <c r="I530" s="41">
        <f t="shared" si="42"/>
        <v>15</v>
      </c>
      <c r="J530" s="41">
        <f t="shared" si="43"/>
        <v>0.75</v>
      </c>
      <c r="K530" s="41">
        <f t="shared" si="44"/>
        <v>15.75</v>
      </c>
      <c r="L530" s="42" t="s">
        <v>11</v>
      </c>
    </row>
    <row r="531" spans="2:12" x14ac:dyDescent="0.25">
      <c r="B531" s="64" t="s">
        <v>242</v>
      </c>
      <c r="C531" s="37" t="s">
        <v>1263</v>
      </c>
      <c r="D531" s="38">
        <v>45929</v>
      </c>
      <c r="E531" s="32" t="s">
        <v>243</v>
      </c>
      <c r="F531" s="40" t="s">
        <v>1270</v>
      </c>
      <c r="G531" s="41">
        <v>135</v>
      </c>
      <c r="H531" s="41"/>
      <c r="I531" s="41">
        <f t="shared" si="42"/>
        <v>135</v>
      </c>
      <c r="J531" s="41">
        <f t="shared" si="43"/>
        <v>6.75</v>
      </c>
      <c r="K531" s="41">
        <f t="shared" si="44"/>
        <v>141.75</v>
      </c>
      <c r="L531" s="42" t="s">
        <v>11</v>
      </c>
    </row>
    <row r="532" spans="2:12" x14ac:dyDescent="0.25">
      <c r="B532" s="36" t="s">
        <v>312</v>
      </c>
      <c r="C532" s="37" t="s">
        <v>1264</v>
      </c>
      <c r="D532" s="38">
        <v>45929</v>
      </c>
      <c r="E532" s="32" t="s">
        <v>313</v>
      </c>
      <c r="F532" s="40" t="s">
        <v>633</v>
      </c>
      <c r="G532" s="41">
        <v>375</v>
      </c>
      <c r="H532" s="41"/>
      <c r="I532" s="41">
        <f t="shared" si="42"/>
        <v>375</v>
      </c>
      <c r="J532" s="41">
        <f t="shared" si="43"/>
        <v>18.75</v>
      </c>
      <c r="K532" s="41">
        <f t="shared" si="44"/>
        <v>393.75</v>
      </c>
      <c r="L532" s="42" t="s">
        <v>11</v>
      </c>
    </row>
    <row r="533" spans="2:12" x14ac:dyDescent="0.25">
      <c r="B533" s="64" t="s">
        <v>12</v>
      </c>
      <c r="C533" s="37" t="s">
        <v>1265</v>
      </c>
      <c r="D533" s="38">
        <v>45929</v>
      </c>
      <c r="E533" s="32" t="s">
        <v>13</v>
      </c>
      <c r="F533" s="40" t="s">
        <v>1271</v>
      </c>
      <c r="G533" s="41">
        <v>650</v>
      </c>
      <c r="H533" s="41"/>
      <c r="I533" s="41">
        <f t="shared" si="42"/>
        <v>650</v>
      </c>
      <c r="J533" s="41">
        <f t="shared" si="43"/>
        <v>32.5</v>
      </c>
      <c r="K533" s="41">
        <f t="shared" si="44"/>
        <v>682.5</v>
      </c>
      <c r="L533" s="42" t="s">
        <v>11</v>
      </c>
    </row>
    <row r="534" spans="2:12" x14ac:dyDescent="0.25">
      <c r="B534" s="36" t="s">
        <v>155</v>
      </c>
      <c r="C534" s="37" t="s">
        <v>1266</v>
      </c>
      <c r="D534" s="38">
        <v>45929</v>
      </c>
      <c r="E534" s="32" t="s">
        <v>157</v>
      </c>
      <c r="F534" s="40" t="s">
        <v>1272</v>
      </c>
      <c r="G534" s="41">
        <v>300</v>
      </c>
      <c r="H534" s="41"/>
      <c r="I534" s="41">
        <f t="shared" si="42"/>
        <v>300</v>
      </c>
      <c r="J534" s="41">
        <f t="shared" si="43"/>
        <v>15</v>
      </c>
      <c r="K534" s="41">
        <f t="shared" si="44"/>
        <v>315</v>
      </c>
      <c r="L534" s="42" t="s">
        <v>11</v>
      </c>
    </row>
    <row r="535" spans="2:12" x14ac:dyDescent="0.25">
      <c r="B535" s="36" t="s">
        <v>58</v>
      </c>
      <c r="C535" s="37" t="s">
        <v>1267</v>
      </c>
      <c r="D535" s="38">
        <v>45929</v>
      </c>
      <c r="E535" s="32" t="s">
        <v>60</v>
      </c>
      <c r="F535" s="40" t="s">
        <v>1273</v>
      </c>
      <c r="G535" s="41">
        <v>1555</v>
      </c>
      <c r="H535" s="41"/>
      <c r="I535" s="41">
        <f t="shared" si="42"/>
        <v>1555</v>
      </c>
      <c r="J535" s="41">
        <f t="shared" si="43"/>
        <v>77.75</v>
      </c>
      <c r="K535" s="41">
        <f t="shared" si="44"/>
        <v>1632.75</v>
      </c>
      <c r="L535" s="42" t="s">
        <v>11</v>
      </c>
    </row>
    <row r="536" spans="2:12" x14ac:dyDescent="0.25">
      <c r="B536" s="36" t="s">
        <v>538</v>
      </c>
      <c r="C536" s="37" t="s">
        <v>1268</v>
      </c>
      <c r="D536" s="38">
        <v>45930</v>
      </c>
      <c r="E536" s="32" t="s">
        <v>539</v>
      </c>
      <c r="F536" s="40" t="s">
        <v>817</v>
      </c>
      <c r="G536" s="41">
        <v>162</v>
      </c>
      <c r="H536" s="41"/>
      <c r="I536" s="41">
        <f t="shared" si="42"/>
        <v>162</v>
      </c>
      <c r="J536" s="41">
        <f t="shared" si="43"/>
        <v>8.1</v>
      </c>
      <c r="K536" s="41">
        <f t="shared" si="44"/>
        <v>170.1</v>
      </c>
      <c r="L536" s="42" t="s">
        <v>11</v>
      </c>
    </row>
    <row r="537" spans="2:12" x14ac:dyDescent="0.25">
      <c r="B537" s="36" t="s">
        <v>579</v>
      </c>
      <c r="C537" s="37" t="s">
        <v>1269</v>
      </c>
      <c r="D537" s="38">
        <v>45930</v>
      </c>
      <c r="E537" s="32" t="s">
        <v>52</v>
      </c>
      <c r="F537" s="40" t="s">
        <v>1274</v>
      </c>
      <c r="G537" s="41">
        <v>2583.0500000000002</v>
      </c>
      <c r="H537" s="41"/>
      <c r="I537" s="41">
        <f t="shared" si="42"/>
        <v>2583.0500000000002</v>
      </c>
      <c r="J537" s="41">
        <f t="shared" si="43"/>
        <v>129.1525</v>
      </c>
      <c r="K537" s="41">
        <f t="shared" si="44"/>
        <v>2712.2025000000003</v>
      </c>
      <c r="L537" s="42" t="s">
        <v>11</v>
      </c>
    </row>
    <row r="538" spans="2:12" x14ac:dyDescent="0.25">
      <c r="B538" s="36" t="s">
        <v>1287</v>
      </c>
      <c r="C538" s="37" t="s">
        <v>1277</v>
      </c>
      <c r="D538" s="38">
        <v>45931</v>
      </c>
      <c r="E538" s="32" t="s">
        <v>1288</v>
      </c>
      <c r="F538" s="40" t="s">
        <v>1289</v>
      </c>
      <c r="G538" s="41">
        <v>640</v>
      </c>
      <c r="H538" s="41"/>
      <c r="I538" s="41">
        <f t="shared" si="42"/>
        <v>640</v>
      </c>
      <c r="J538" s="41">
        <f t="shared" si="43"/>
        <v>32</v>
      </c>
      <c r="K538" s="41">
        <f t="shared" si="44"/>
        <v>672</v>
      </c>
      <c r="L538" s="42" t="s">
        <v>49</v>
      </c>
    </row>
    <row r="539" spans="2:12" x14ac:dyDescent="0.25">
      <c r="B539" s="36" t="s">
        <v>1290</v>
      </c>
      <c r="C539" s="37" t="s">
        <v>1278</v>
      </c>
      <c r="D539" s="38">
        <v>45940</v>
      </c>
      <c r="E539" s="32" t="s">
        <v>1291</v>
      </c>
      <c r="F539" s="40" t="s">
        <v>591</v>
      </c>
      <c r="G539" s="41">
        <v>720</v>
      </c>
      <c r="H539" s="41"/>
      <c r="I539" s="41">
        <f t="shared" si="42"/>
        <v>720</v>
      </c>
      <c r="J539" s="41">
        <f t="shared" si="43"/>
        <v>36</v>
      </c>
      <c r="K539" s="41">
        <f t="shared" si="44"/>
        <v>756</v>
      </c>
      <c r="L539" s="42" t="s">
        <v>11</v>
      </c>
    </row>
    <row r="540" spans="2:12" x14ac:dyDescent="0.25">
      <c r="B540" s="36" t="s">
        <v>1292</v>
      </c>
      <c r="C540" s="37" t="s">
        <v>1279</v>
      </c>
      <c r="D540" s="38">
        <v>45931</v>
      </c>
      <c r="E540" s="32" t="s">
        <v>1294</v>
      </c>
      <c r="F540" s="40" t="s">
        <v>1293</v>
      </c>
      <c r="G540" s="41">
        <v>3675</v>
      </c>
      <c r="H540" s="41"/>
      <c r="I540" s="41">
        <f t="shared" si="42"/>
        <v>3675</v>
      </c>
      <c r="J540" s="41">
        <f t="shared" si="43"/>
        <v>183.75</v>
      </c>
      <c r="K540" s="41">
        <f t="shared" si="44"/>
        <v>3858.75</v>
      </c>
      <c r="L540" s="42" t="s">
        <v>11</v>
      </c>
    </row>
    <row r="541" spans="2:12" x14ac:dyDescent="0.25">
      <c r="B541" s="36" t="s">
        <v>155</v>
      </c>
      <c r="C541" s="37" t="s">
        <v>1280</v>
      </c>
      <c r="D541" s="38">
        <v>45932</v>
      </c>
      <c r="E541" s="32" t="s">
        <v>157</v>
      </c>
      <c r="F541" s="40" t="s">
        <v>1295</v>
      </c>
      <c r="G541" s="41">
        <v>160</v>
      </c>
      <c r="H541" s="41"/>
      <c r="I541" s="41">
        <f t="shared" si="42"/>
        <v>160</v>
      </c>
      <c r="J541" s="41">
        <f t="shared" si="43"/>
        <v>8</v>
      </c>
      <c r="K541" s="41">
        <f t="shared" si="44"/>
        <v>168</v>
      </c>
      <c r="L541" s="42" t="s">
        <v>11</v>
      </c>
    </row>
    <row r="542" spans="2:12" x14ac:dyDescent="0.25">
      <c r="B542" s="36" t="s">
        <v>155</v>
      </c>
      <c r="C542" s="37" t="s">
        <v>1281</v>
      </c>
      <c r="D542" s="38">
        <v>45932</v>
      </c>
      <c r="E542" s="32" t="s">
        <v>157</v>
      </c>
      <c r="F542" s="40" t="s">
        <v>1296</v>
      </c>
      <c r="G542" s="41">
        <v>235</v>
      </c>
      <c r="H542" s="41"/>
      <c r="I542" s="41">
        <f t="shared" si="42"/>
        <v>235</v>
      </c>
      <c r="J542" s="41">
        <f t="shared" si="43"/>
        <v>11.75</v>
      </c>
      <c r="K542" s="41">
        <f t="shared" si="44"/>
        <v>246.75</v>
      </c>
      <c r="L542" s="42" t="s">
        <v>11</v>
      </c>
    </row>
    <row r="543" spans="2:12" x14ac:dyDescent="0.25">
      <c r="B543" s="36" t="s">
        <v>481</v>
      </c>
      <c r="C543" s="37" t="s">
        <v>1282</v>
      </c>
      <c r="D543" s="38">
        <v>45932</v>
      </c>
      <c r="E543" s="32" t="s">
        <v>482</v>
      </c>
      <c r="F543" s="40" t="s">
        <v>140</v>
      </c>
      <c r="G543" s="41">
        <v>165</v>
      </c>
      <c r="H543" s="41"/>
      <c r="I543" s="41">
        <f t="shared" si="42"/>
        <v>165</v>
      </c>
      <c r="J543" s="41">
        <f t="shared" si="43"/>
        <v>8.25</v>
      </c>
      <c r="K543" s="41">
        <f t="shared" si="44"/>
        <v>173.25</v>
      </c>
      <c r="L543" s="42" t="s">
        <v>49</v>
      </c>
    </row>
    <row r="544" spans="2:12" x14ac:dyDescent="0.25">
      <c r="B544" s="36" t="s">
        <v>601</v>
      </c>
      <c r="C544" s="37" t="s">
        <v>1283</v>
      </c>
      <c r="D544" s="38">
        <v>45932</v>
      </c>
      <c r="E544" s="32" t="s">
        <v>603</v>
      </c>
      <c r="F544" s="40" t="s">
        <v>171</v>
      </c>
      <c r="G544" s="41">
        <v>675</v>
      </c>
      <c r="H544" s="41"/>
      <c r="I544" s="41">
        <f t="shared" si="42"/>
        <v>675</v>
      </c>
      <c r="J544" s="41">
        <f t="shared" si="43"/>
        <v>33.75</v>
      </c>
      <c r="K544" s="41">
        <f t="shared" si="44"/>
        <v>708.75</v>
      </c>
      <c r="L544" s="42" t="s">
        <v>49</v>
      </c>
    </row>
    <row r="545" spans="2:12" x14ac:dyDescent="0.25">
      <c r="B545" s="36" t="s">
        <v>262</v>
      </c>
      <c r="C545" s="37" t="s">
        <v>1284</v>
      </c>
      <c r="D545" s="38">
        <v>45932</v>
      </c>
      <c r="E545" s="32"/>
      <c r="F545" s="40" t="s">
        <v>1297</v>
      </c>
      <c r="G545" s="41">
        <v>175</v>
      </c>
      <c r="H545" s="41"/>
      <c r="I545" s="41">
        <f t="shared" si="42"/>
        <v>175</v>
      </c>
      <c r="J545" s="41">
        <f t="shared" si="43"/>
        <v>8.75</v>
      </c>
      <c r="K545" s="41">
        <f t="shared" si="44"/>
        <v>183.75</v>
      </c>
      <c r="L545" s="42" t="s">
        <v>11</v>
      </c>
    </row>
    <row r="546" spans="2:12" x14ac:dyDescent="0.25">
      <c r="B546" s="36" t="s">
        <v>46</v>
      </c>
      <c r="C546" s="37" t="s">
        <v>1285</v>
      </c>
      <c r="D546" s="38">
        <v>45933</v>
      </c>
      <c r="E546" s="32"/>
      <c r="F546" s="40" t="s">
        <v>1298</v>
      </c>
      <c r="G546" s="41">
        <v>187.5</v>
      </c>
      <c r="H546" s="41"/>
      <c r="I546" s="41">
        <f t="shared" si="42"/>
        <v>187.5</v>
      </c>
      <c r="J546" s="41">
        <f t="shared" si="43"/>
        <v>9.375</v>
      </c>
      <c r="K546" s="41">
        <f t="shared" si="44"/>
        <v>196.875</v>
      </c>
      <c r="L546" s="42" t="s">
        <v>49</v>
      </c>
    </row>
    <row r="547" spans="2:12" x14ac:dyDescent="0.25">
      <c r="B547" s="36" t="s">
        <v>666</v>
      </c>
      <c r="C547" s="37" t="s">
        <v>1286</v>
      </c>
      <c r="D547" s="38">
        <v>45933</v>
      </c>
      <c r="E547" s="32" t="s">
        <v>669</v>
      </c>
      <c r="F547" s="40" t="s">
        <v>1299</v>
      </c>
      <c r="G547" s="41">
        <v>215</v>
      </c>
      <c r="H547" s="41"/>
      <c r="I547" s="41">
        <f t="shared" si="42"/>
        <v>215</v>
      </c>
      <c r="J547" s="41">
        <f t="shared" si="43"/>
        <v>10.75</v>
      </c>
      <c r="K547" s="41">
        <f t="shared" si="44"/>
        <v>225.75</v>
      </c>
      <c r="L547" s="42" t="s">
        <v>11</v>
      </c>
    </row>
    <row r="548" spans="2:12" x14ac:dyDescent="0.25">
      <c r="B548" s="36" t="s">
        <v>818</v>
      </c>
      <c r="C548" s="37" t="s">
        <v>1300</v>
      </c>
      <c r="D548" s="38">
        <v>45933</v>
      </c>
      <c r="E548" s="32" t="s">
        <v>820</v>
      </c>
      <c r="F548" s="40" t="s">
        <v>1310</v>
      </c>
      <c r="G548" s="41">
        <v>114</v>
      </c>
      <c r="H548" s="41"/>
      <c r="I548" s="41">
        <f t="shared" ref="I548:I550" si="45">G548-H548</f>
        <v>114</v>
      </c>
      <c r="J548" s="41">
        <f t="shared" ref="J548:J550" si="46">G548*5%</f>
        <v>5.7</v>
      </c>
      <c r="K548" s="41">
        <f t="shared" ref="K548:K550" si="47">G548+J548</f>
        <v>119.7</v>
      </c>
      <c r="L548" s="42" t="s">
        <v>49</v>
      </c>
    </row>
    <row r="549" spans="2:12" x14ac:dyDescent="0.25">
      <c r="B549" s="36" t="s">
        <v>312</v>
      </c>
      <c r="C549" s="37" t="s">
        <v>1301</v>
      </c>
      <c r="D549" s="38">
        <v>45936</v>
      </c>
      <c r="E549" s="32" t="s">
        <v>313</v>
      </c>
      <c r="F549" s="40" t="s">
        <v>1311</v>
      </c>
      <c r="G549" s="41">
        <v>375</v>
      </c>
      <c r="H549" s="41"/>
      <c r="I549" s="41">
        <f t="shared" si="45"/>
        <v>375</v>
      </c>
      <c r="J549" s="41">
        <f t="shared" si="46"/>
        <v>18.75</v>
      </c>
      <c r="K549" s="41">
        <f t="shared" si="47"/>
        <v>393.75</v>
      </c>
      <c r="L549" s="42" t="s">
        <v>11</v>
      </c>
    </row>
    <row r="550" spans="2:12" x14ac:dyDescent="0.25">
      <c r="B550" s="36" t="s">
        <v>262</v>
      </c>
      <c r="C550" s="37" t="s">
        <v>1302</v>
      </c>
      <c r="D550" s="38">
        <v>45936</v>
      </c>
      <c r="E550" s="32"/>
      <c r="F550" s="40" t="s">
        <v>1312</v>
      </c>
      <c r="G550" s="41">
        <v>8770</v>
      </c>
      <c r="H550" s="41"/>
      <c r="I550" s="41">
        <f t="shared" si="45"/>
        <v>8770</v>
      </c>
      <c r="J550" s="41">
        <f t="shared" si="46"/>
        <v>438.5</v>
      </c>
      <c r="K550" s="41">
        <f t="shared" si="47"/>
        <v>9208.5</v>
      </c>
      <c r="L550" s="42" t="s">
        <v>11</v>
      </c>
    </row>
    <row r="551" spans="2:12" x14ac:dyDescent="0.25">
      <c r="B551" s="36" t="s">
        <v>96</v>
      </c>
      <c r="C551" s="37" t="s">
        <v>1303</v>
      </c>
      <c r="D551" s="38">
        <v>45936</v>
      </c>
      <c r="E551" s="32" t="s">
        <v>97</v>
      </c>
      <c r="F551" s="40" t="s">
        <v>1313</v>
      </c>
      <c r="G551" s="41">
        <v>560</v>
      </c>
      <c r="H551" s="41"/>
      <c r="I551" s="41">
        <f t="shared" ref="I551:I592" si="48">G551-H551</f>
        <v>560</v>
      </c>
      <c r="J551" s="41">
        <f t="shared" ref="J551:J592" si="49">G551*5%</f>
        <v>28</v>
      </c>
      <c r="K551" s="41">
        <f t="shared" ref="K551:K592" si="50">G551+J551</f>
        <v>588</v>
      </c>
      <c r="L551" s="42" t="s">
        <v>11</v>
      </c>
    </row>
    <row r="552" spans="2:12" x14ac:dyDescent="0.25">
      <c r="B552" s="36" t="s">
        <v>1314</v>
      </c>
      <c r="C552" s="37" t="s">
        <v>1304</v>
      </c>
      <c r="D552" s="38">
        <v>45937</v>
      </c>
      <c r="E552" s="32" t="s">
        <v>1315</v>
      </c>
      <c r="F552" s="40" t="s">
        <v>145</v>
      </c>
      <c r="G552" s="41">
        <v>1200</v>
      </c>
      <c r="H552" s="41"/>
      <c r="I552" s="41">
        <f t="shared" si="48"/>
        <v>1200</v>
      </c>
      <c r="J552" s="41">
        <f t="shared" si="49"/>
        <v>60</v>
      </c>
      <c r="K552" s="41">
        <f t="shared" si="50"/>
        <v>1260</v>
      </c>
      <c r="L552" s="42" t="s">
        <v>11</v>
      </c>
    </row>
    <row r="553" spans="2:12" x14ac:dyDescent="0.25">
      <c r="B553" s="36" t="s">
        <v>1316</v>
      </c>
      <c r="C553" s="37" t="s">
        <v>1305</v>
      </c>
      <c r="D553" s="38">
        <v>45937</v>
      </c>
      <c r="E553" s="32" t="s">
        <v>1317</v>
      </c>
      <c r="F553" s="40" t="s">
        <v>1318</v>
      </c>
      <c r="G553" s="41">
        <v>510</v>
      </c>
      <c r="H553" s="41"/>
      <c r="I553" s="41">
        <f t="shared" si="48"/>
        <v>510</v>
      </c>
      <c r="J553" s="41">
        <f t="shared" si="49"/>
        <v>25.5</v>
      </c>
      <c r="K553" s="41">
        <f t="shared" si="50"/>
        <v>535.5</v>
      </c>
      <c r="L553" s="42" t="s">
        <v>49</v>
      </c>
    </row>
    <row r="554" spans="2:12" x14ac:dyDescent="0.25">
      <c r="B554" s="36" t="s">
        <v>885</v>
      </c>
      <c r="C554" s="37" t="s">
        <v>1306</v>
      </c>
      <c r="D554" s="38">
        <v>45945</v>
      </c>
      <c r="E554" s="32"/>
      <c r="F554" s="40" t="s">
        <v>1319</v>
      </c>
      <c r="G554" s="41">
        <v>8210</v>
      </c>
      <c r="H554" s="41"/>
      <c r="I554" s="41">
        <f t="shared" si="48"/>
        <v>8210</v>
      </c>
      <c r="J554" s="41">
        <f t="shared" si="49"/>
        <v>410.5</v>
      </c>
      <c r="K554" s="41">
        <f t="shared" si="50"/>
        <v>8620.5</v>
      </c>
      <c r="L554" s="42" t="s">
        <v>11</v>
      </c>
    </row>
    <row r="555" spans="2:12" x14ac:dyDescent="0.25">
      <c r="B555" s="36" t="s">
        <v>310</v>
      </c>
      <c r="C555" s="37" t="s">
        <v>1307</v>
      </c>
      <c r="D555" s="38">
        <v>45938</v>
      </c>
      <c r="E555" s="32" t="s">
        <v>157</v>
      </c>
      <c r="F555" s="40" t="s">
        <v>1320</v>
      </c>
      <c r="G555" s="41">
        <v>160</v>
      </c>
      <c r="H555" s="41"/>
      <c r="I555" s="41">
        <f t="shared" si="48"/>
        <v>160</v>
      </c>
      <c r="J555" s="41">
        <f t="shared" si="49"/>
        <v>8</v>
      </c>
      <c r="K555" s="41">
        <f t="shared" si="50"/>
        <v>168</v>
      </c>
      <c r="L555" s="42" t="s">
        <v>11</v>
      </c>
    </row>
    <row r="556" spans="2:12" x14ac:dyDescent="0.25">
      <c r="B556" s="36" t="s">
        <v>564</v>
      </c>
      <c r="C556" s="37" t="s">
        <v>1308</v>
      </c>
      <c r="D556" s="38">
        <v>45938</v>
      </c>
      <c r="E556" s="32" t="s">
        <v>566</v>
      </c>
      <c r="F556" s="40" t="s">
        <v>1321</v>
      </c>
      <c r="G556" s="41">
        <v>180</v>
      </c>
      <c r="H556" s="41"/>
      <c r="I556" s="41">
        <f t="shared" si="48"/>
        <v>180</v>
      </c>
      <c r="J556" s="41">
        <f t="shared" si="49"/>
        <v>9</v>
      </c>
      <c r="K556" s="41">
        <f t="shared" si="50"/>
        <v>189</v>
      </c>
      <c r="L556" s="42" t="s">
        <v>11</v>
      </c>
    </row>
    <row r="557" spans="2:12" x14ac:dyDescent="0.25">
      <c r="B557" s="36" t="s">
        <v>1322</v>
      </c>
      <c r="C557" s="37" t="s">
        <v>1309</v>
      </c>
      <c r="D557" s="38">
        <v>45938</v>
      </c>
      <c r="E557" s="32" t="s">
        <v>1323</v>
      </c>
      <c r="F557" s="40" t="s">
        <v>1324</v>
      </c>
      <c r="G557" s="41">
        <v>892.5</v>
      </c>
      <c r="H557" s="41"/>
      <c r="I557" s="41">
        <f t="shared" si="48"/>
        <v>892.5</v>
      </c>
      <c r="J557" s="41">
        <f t="shared" si="49"/>
        <v>44.625</v>
      </c>
      <c r="K557" s="41">
        <f t="shared" si="50"/>
        <v>937.125</v>
      </c>
      <c r="L557" s="42" t="s">
        <v>11</v>
      </c>
    </row>
    <row r="558" spans="2:12" x14ac:dyDescent="0.25">
      <c r="B558" s="36" t="s">
        <v>155</v>
      </c>
      <c r="C558" s="74" t="s">
        <v>1325</v>
      </c>
      <c r="D558" s="38">
        <v>45939</v>
      </c>
      <c r="E558" s="32" t="s">
        <v>157</v>
      </c>
      <c r="F558" s="40" t="s">
        <v>984</v>
      </c>
      <c r="G558" s="41">
        <v>23875</v>
      </c>
      <c r="H558" s="41"/>
      <c r="I558" s="41">
        <f t="shared" si="48"/>
        <v>23875</v>
      </c>
      <c r="J558" s="41">
        <f t="shared" si="49"/>
        <v>1193.75</v>
      </c>
      <c r="K558" s="41">
        <f t="shared" si="50"/>
        <v>25068.75</v>
      </c>
      <c r="L558" s="42" t="s">
        <v>11</v>
      </c>
    </row>
    <row r="559" spans="2:12" x14ac:dyDescent="0.25">
      <c r="B559" s="36" t="s">
        <v>38</v>
      </c>
      <c r="C559" s="37" t="s">
        <v>1326</v>
      </c>
      <c r="D559" s="38">
        <v>45939</v>
      </c>
      <c r="E559" s="32" t="s">
        <v>40</v>
      </c>
      <c r="F559" s="40" t="s">
        <v>1334</v>
      </c>
      <c r="G559" s="41">
        <v>4397.8999999999996</v>
      </c>
      <c r="H559" s="41"/>
      <c r="I559" s="41">
        <f t="shared" si="48"/>
        <v>4397.8999999999996</v>
      </c>
      <c r="J559" s="41">
        <f t="shared" si="49"/>
        <v>219.89499999999998</v>
      </c>
      <c r="K559" s="41">
        <f t="shared" si="50"/>
        <v>4617.7950000000001</v>
      </c>
      <c r="L559" s="42" t="s">
        <v>774</v>
      </c>
    </row>
    <row r="560" spans="2:12" x14ac:dyDescent="0.25">
      <c r="B560" s="36" t="s">
        <v>155</v>
      </c>
      <c r="C560" s="37" t="s">
        <v>1327</v>
      </c>
      <c r="D560" s="38">
        <v>45939</v>
      </c>
      <c r="E560" s="32" t="s">
        <v>157</v>
      </c>
      <c r="F560" s="40" t="s">
        <v>1335</v>
      </c>
      <c r="G560" s="41">
        <v>160</v>
      </c>
      <c r="H560" s="41"/>
      <c r="I560" s="41">
        <f t="shared" si="48"/>
        <v>160</v>
      </c>
      <c r="J560" s="41">
        <f t="shared" si="49"/>
        <v>8</v>
      </c>
      <c r="K560" s="41">
        <f t="shared" si="50"/>
        <v>168</v>
      </c>
      <c r="L560" s="42" t="s">
        <v>11</v>
      </c>
    </row>
    <row r="561" spans="2:12" x14ac:dyDescent="0.25">
      <c r="B561" s="36" t="s">
        <v>155</v>
      </c>
      <c r="C561" s="37" t="s">
        <v>1328</v>
      </c>
      <c r="D561" s="38">
        <v>45939</v>
      </c>
      <c r="E561" s="32" t="s">
        <v>157</v>
      </c>
      <c r="F561" s="40" t="s">
        <v>1336</v>
      </c>
      <c r="G561" s="41">
        <v>160</v>
      </c>
      <c r="H561" s="41"/>
      <c r="I561" s="41">
        <f t="shared" si="48"/>
        <v>160</v>
      </c>
      <c r="J561" s="41">
        <f t="shared" si="49"/>
        <v>8</v>
      </c>
      <c r="K561" s="41">
        <f t="shared" si="50"/>
        <v>168</v>
      </c>
      <c r="L561" s="42" t="s">
        <v>11</v>
      </c>
    </row>
    <row r="562" spans="2:12" x14ac:dyDescent="0.25">
      <c r="B562" s="36" t="s">
        <v>836</v>
      </c>
      <c r="C562" s="37" t="s">
        <v>1329</v>
      </c>
      <c r="D562" s="38">
        <v>45939</v>
      </c>
      <c r="E562" s="32" t="s">
        <v>837</v>
      </c>
      <c r="F562" s="40" t="s">
        <v>1337</v>
      </c>
      <c r="G562" s="41">
        <v>380</v>
      </c>
      <c r="H562" s="41"/>
      <c r="I562" s="41">
        <f t="shared" si="48"/>
        <v>380</v>
      </c>
      <c r="J562" s="41">
        <f t="shared" si="49"/>
        <v>19</v>
      </c>
      <c r="K562" s="41">
        <f t="shared" si="50"/>
        <v>399</v>
      </c>
      <c r="L562" s="42" t="s">
        <v>11</v>
      </c>
    </row>
    <row r="563" spans="2:12" x14ac:dyDescent="0.25">
      <c r="B563" s="36" t="s">
        <v>1338</v>
      </c>
      <c r="C563" s="37" t="s">
        <v>1330</v>
      </c>
      <c r="D563" s="38">
        <v>45940</v>
      </c>
      <c r="E563" s="32" t="s">
        <v>1339</v>
      </c>
      <c r="F563" s="40" t="s">
        <v>1340</v>
      </c>
      <c r="G563" s="41">
        <v>582.29999999999995</v>
      </c>
      <c r="H563" s="41"/>
      <c r="I563" s="41">
        <f t="shared" si="48"/>
        <v>582.29999999999995</v>
      </c>
      <c r="J563" s="41">
        <f t="shared" si="49"/>
        <v>29.114999999999998</v>
      </c>
      <c r="K563" s="41">
        <f t="shared" si="50"/>
        <v>611.41499999999996</v>
      </c>
      <c r="L563" s="42" t="s">
        <v>11</v>
      </c>
    </row>
    <row r="564" spans="2:12" x14ac:dyDescent="0.25">
      <c r="B564" s="36" t="s">
        <v>411</v>
      </c>
      <c r="C564" s="37" t="s">
        <v>1331</v>
      </c>
      <c r="D564" s="38">
        <v>45940</v>
      </c>
      <c r="E564" s="32" t="s">
        <v>118</v>
      </c>
      <c r="F564" s="40" t="s">
        <v>1341</v>
      </c>
      <c r="G564" s="41">
        <v>310</v>
      </c>
      <c r="H564" s="41"/>
      <c r="I564" s="41">
        <f t="shared" si="48"/>
        <v>310</v>
      </c>
      <c r="J564" s="41">
        <f t="shared" si="49"/>
        <v>15.5</v>
      </c>
      <c r="K564" s="41">
        <f t="shared" si="50"/>
        <v>325.5</v>
      </c>
      <c r="L564" s="42" t="s">
        <v>11</v>
      </c>
    </row>
    <row r="565" spans="2:12" x14ac:dyDescent="0.25">
      <c r="B565" s="36" t="s">
        <v>46</v>
      </c>
      <c r="C565" s="37" t="s">
        <v>1332</v>
      </c>
      <c r="D565" s="38">
        <v>45940</v>
      </c>
      <c r="E565" s="32"/>
      <c r="F565" s="40" t="s">
        <v>1342</v>
      </c>
      <c r="G565" s="41">
        <v>511.25</v>
      </c>
      <c r="H565" s="41"/>
      <c r="I565" s="41">
        <f t="shared" si="48"/>
        <v>511.25</v>
      </c>
      <c r="J565" s="41">
        <f t="shared" si="49"/>
        <v>25.5625</v>
      </c>
      <c r="K565" s="41">
        <f t="shared" si="50"/>
        <v>536.8125</v>
      </c>
      <c r="L565" s="42" t="s">
        <v>49</v>
      </c>
    </row>
    <row r="566" spans="2:12" x14ac:dyDescent="0.25">
      <c r="B566" s="36" t="s">
        <v>1290</v>
      </c>
      <c r="C566" s="37" t="s">
        <v>1333</v>
      </c>
      <c r="D566" s="38">
        <v>45940</v>
      </c>
      <c r="E566" s="32" t="s">
        <v>1291</v>
      </c>
      <c r="F566" s="40" t="s">
        <v>1343</v>
      </c>
      <c r="G566" s="41">
        <v>2360</v>
      </c>
      <c r="H566" s="41"/>
      <c r="I566" s="41">
        <f t="shared" si="48"/>
        <v>2360</v>
      </c>
      <c r="J566" s="41">
        <f t="shared" si="49"/>
        <v>118</v>
      </c>
      <c r="K566" s="41">
        <f t="shared" si="50"/>
        <v>2478</v>
      </c>
      <c r="L566" s="42" t="s">
        <v>11</v>
      </c>
    </row>
    <row r="567" spans="2:12" x14ac:dyDescent="0.25">
      <c r="B567" s="36" t="s">
        <v>1357</v>
      </c>
      <c r="C567" s="37" t="s">
        <v>1344</v>
      </c>
      <c r="D567" s="38">
        <v>45943</v>
      </c>
      <c r="E567" s="32"/>
      <c r="F567" s="40" t="s">
        <v>1358</v>
      </c>
      <c r="G567" s="41">
        <v>5200</v>
      </c>
      <c r="H567" s="41"/>
      <c r="I567" s="41">
        <f t="shared" si="48"/>
        <v>5200</v>
      </c>
      <c r="J567" s="41">
        <f t="shared" si="49"/>
        <v>260</v>
      </c>
      <c r="K567" s="41">
        <f t="shared" si="50"/>
        <v>5460</v>
      </c>
      <c r="L567" s="42" t="s">
        <v>11</v>
      </c>
    </row>
    <row r="568" spans="2:12" x14ac:dyDescent="0.25">
      <c r="B568" s="36" t="s">
        <v>1359</v>
      </c>
      <c r="C568" s="37" t="s">
        <v>1345</v>
      </c>
      <c r="D568" s="38">
        <v>45943</v>
      </c>
      <c r="E568" s="32" t="s">
        <v>1360</v>
      </c>
      <c r="F568" s="40" t="s">
        <v>986</v>
      </c>
      <c r="G568" s="41">
        <v>209.4</v>
      </c>
      <c r="H568" s="41"/>
      <c r="I568" s="41">
        <f t="shared" si="48"/>
        <v>209.4</v>
      </c>
      <c r="J568" s="41">
        <f t="shared" si="49"/>
        <v>10.47</v>
      </c>
      <c r="K568" s="41">
        <f t="shared" si="50"/>
        <v>219.87</v>
      </c>
      <c r="L568" s="42" t="s">
        <v>49</v>
      </c>
    </row>
    <row r="569" spans="2:12" x14ac:dyDescent="0.25">
      <c r="B569" s="36" t="s">
        <v>111</v>
      </c>
      <c r="C569" s="37" t="s">
        <v>1346</v>
      </c>
      <c r="D569" s="38">
        <v>45945</v>
      </c>
      <c r="E569" s="32" t="s">
        <v>113</v>
      </c>
      <c r="F569" s="40" t="s">
        <v>1361</v>
      </c>
      <c r="G569" s="41">
        <v>365</v>
      </c>
      <c r="H569" s="41"/>
      <c r="I569" s="41">
        <f t="shared" si="48"/>
        <v>365</v>
      </c>
      <c r="J569" s="41">
        <f t="shared" si="49"/>
        <v>18.25</v>
      </c>
      <c r="K569" s="41">
        <f t="shared" si="50"/>
        <v>383.25</v>
      </c>
      <c r="L569" s="42" t="s">
        <v>11</v>
      </c>
    </row>
    <row r="570" spans="2:12" x14ac:dyDescent="0.25">
      <c r="B570" s="36" t="s">
        <v>312</v>
      </c>
      <c r="C570" s="37" t="s">
        <v>1347</v>
      </c>
      <c r="D570" s="38">
        <v>45945</v>
      </c>
      <c r="E570" s="32" t="s">
        <v>313</v>
      </c>
      <c r="F570" s="40" t="s">
        <v>1362</v>
      </c>
      <c r="G570" s="41">
        <v>375</v>
      </c>
      <c r="H570" s="41"/>
      <c r="I570" s="41">
        <f t="shared" si="48"/>
        <v>375</v>
      </c>
      <c r="J570" s="41">
        <f t="shared" si="49"/>
        <v>18.75</v>
      </c>
      <c r="K570" s="41">
        <f t="shared" si="50"/>
        <v>393.75</v>
      </c>
      <c r="L570" s="42" t="s">
        <v>11</v>
      </c>
    </row>
    <row r="571" spans="2:12" x14ac:dyDescent="0.25">
      <c r="B571" s="36" t="s">
        <v>186</v>
      </c>
      <c r="C571" s="37" t="s">
        <v>1348</v>
      </c>
      <c r="D571" s="38">
        <v>45946</v>
      </c>
      <c r="E571" s="32" t="s">
        <v>188</v>
      </c>
      <c r="F571" s="40" t="s">
        <v>1363</v>
      </c>
      <c r="G571" s="41">
        <v>780</v>
      </c>
      <c r="H571" s="41"/>
      <c r="I571" s="41">
        <f t="shared" si="48"/>
        <v>780</v>
      </c>
      <c r="J571" s="41">
        <f t="shared" si="49"/>
        <v>39</v>
      </c>
      <c r="K571" s="41">
        <f t="shared" si="50"/>
        <v>819</v>
      </c>
      <c r="L571" s="42" t="s">
        <v>11</v>
      </c>
    </row>
    <row r="572" spans="2:12" x14ac:dyDescent="0.25">
      <c r="B572" s="36" t="s">
        <v>695</v>
      </c>
      <c r="C572" s="37" t="s">
        <v>1349</v>
      </c>
      <c r="D572" s="38">
        <v>45945</v>
      </c>
      <c r="E572" s="32"/>
      <c r="F572" s="40" t="s">
        <v>1364</v>
      </c>
      <c r="G572" s="41">
        <v>865</v>
      </c>
      <c r="H572" s="41"/>
      <c r="I572" s="41">
        <f t="shared" si="48"/>
        <v>865</v>
      </c>
      <c r="J572" s="41">
        <f t="shared" si="49"/>
        <v>43.25</v>
      </c>
      <c r="K572" s="41">
        <f t="shared" si="50"/>
        <v>908.25</v>
      </c>
      <c r="L572" s="42" t="s">
        <v>49</v>
      </c>
    </row>
    <row r="573" spans="2:12" x14ac:dyDescent="0.25">
      <c r="B573" s="36" t="s">
        <v>858</v>
      </c>
      <c r="C573" s="37" t="s">
        <v>1350</v>
      </c>
      <c r="D573" s="38">
        <v>45946</v>
      </c>
      <c r="E573" s="32"/>
      <c r="F573" s="40" t="s">
        <v>1365</v>
      </c>
      <c r="G573" s="41">
        <v>250</v>
      </c>
      <c r="H573" s="41"/>
      <c r="I573" s="41">
        <f t="shared" si="48"/>
        <v>250</v>
      </c>
      <c r="J573" s="41">
        <f t="shared" si="49"/>
        <v>12.5</v>
      </c>
      <c r="K573" s="41">
        <f t="shared" si="50"/>
        <v>262.5</v>
      </c>
      <c r="L573" s="42" t="s">
        <v>49</v>
      </c>
    </row>
    <row r="574" spans="2:12" x14ac:dyDescent="0.25">
      <c r="B574" s="36" t="s">
        <v>271</v>
      </c>
      <c r="C574" s="37" t="s">
        <v>1351</v>
      </c>
      <c r="D574" s="38">
        <v>45945</v>
      </c>
      <c r="E574" s="32" t="s">
        <v>273</v>
      </c>
      <c r="F574" s="40" t="s">
        <v>1366</v>
      </c>
      <c r="G574" s="41">
        <v>975</v>
      </c>
      <c r="H574" s="41"/>
      <c r="I574" s="41">
        <f t="shared" si="48"/>
        <v>975</v>
      </c>
      <c r="J574" s="41">
        <f t="shared" si="49"/>
        <v>48.75</v>
      </c>
      <c r="K574" s="41">
        <f t="shared" si="50"/>
        <v>1023.75</v>
      </c>
      <c r="L574" s="42" t="s">
        <v>11</v>
      </c>
    </row>
    <row r="575" spans="2:12" x14ac:dyDescent="0.25">
      <c r="B575" s="36" t="s">
        <v>271</v>
      </c>
      <c r="C575" s="37" t="s">
        <v>1352</v>
      </c>
      <c r="D575" s="38">
        <v>45945</v>
      </c>
      <c r="E575" s="32" t="s">
        <v>273</v>
      </c>
      <c r="F575" s="40" t="s">
        <v>1367</v>
      </c>
      <c r="G575" s="41">
        <v>1201.5</v>
      </c>
      <c r="H575" s="41"/>
      <c r="I575" s="41">
        <f t="shared" si="48"/>
        <v>1201.5</v>
      </c>
      <c r="J575" s="41">
        <f t="shared" si="49"/>
        <v>60.075000000000003</v>
      </c>
      <c r="K575" s="41">
        <f t="shared" si="50"/>
        <v>1261.575</v>
      </c>
      <c r="L575" s="42" t="s">
        <v>11</v>
      </c>
    </row>
    <row r="576" spans="2:12" x14ac:dyDescent="0.25">
      <c r="B576" s="36" t="s">
        <v>271</v>
      </c>
      <c r="C576" s="37" t="s">
        <v>1353</v>
      </c>
      <c r="D576" s="38">
        <v>45945</v>
      </c>
      <c r="E576" s="32" t="s">
        <v>273</v>
      </c>
      <c r="F576" s="40" t="s">
        <v>1368</v>
      </c>
      <c r="G576" s="41">
        <v>1605</v>
      </c>
      <c r="H576" s="41"/>
      <c r="I576" s="41">
        <f t="shared" si="48"/>
        <v>1605</v>
      </c>
      <c r="J576" s="41">
        <f t="shared" si="49"/>
        <v>80.25</v>
      </c>
      <c r="K576" s="41">
        <f t="shared" si="50"/>
        <v>1685.25</v>
      </c>
      <c r="L576" s="42" t="s">
        <v>11</v>
      </c>
    </row>
    <row r="577" spans="2:12" x14ac:dyDescent="0.25">
      <c r="B577" s="36" t="s">
        <v>271</v>
      </c>
      <c r="C577" s="37" t="s">
        <v>1354</v>
      </c>
      <c r="D577" s="38">
        <v>45932</v>
      </c>
      <c r="E577" s="32" t="s">
        <v>273</v>
      </c>
      <c r="F577" s="40" t="s">
        <v>1369</v>
      </c>
      <c r="G577" s="41">
        <v>3816.4</v>
      </c>
      <c r="H577" s="41"/>
      <c r="I577" s="41">
        <f t="shared" si="48"/>
        <v>3816.4</v>
      </c>
      <c r="J577" s="41">
        <f t="shared" si="49"/>
        <v>190.82000000000002</v>
      </c>
      <c r="K577" s="41">
        <f t="shared" si="50"/>
        <v>4007.2200000000003</v>
      </c>
      <c r="L577" s="42" t="s">
        <v>11</v>
      </c>
    </row>
    <row r="578" spans="2:12" x14ac:dyDescent="0.25">
      <c r="B578" s="36" t="s">
        <v>212</v>
      </c>
      <c r="C578" s="37" t="s">
        <v>1355</v>
      </c>
      <c r="D578" s="38">
        <v>45945</v>
      </c>
      <c r="E578" s="32" t="s">
        <v>213</v>
      </c>
      <c r="F578" s="40" t="s">
        <v>1370</v>
      </c>
      <c r="G578" s="41">
        <v>1670</v>
      </c>
      <c r="H578" s="41"/>
      <c r="I578" s="41">
        <f t="shared" si="48"/>
        <v>1670</v>
      </c>
      <c r="J578" s="41">
        <f t="shared" si="49"/>
        <v>83.5</v>
      </c>
      <c r="K578" s="41">
        <f t="shared" si="50"/>
        <v>1753.5</v>
      </c>
      <c r="L578" s="42" t="s">
        <v>49</v>
      </c>
    </row>
    <row r="579" spans="2:12" x14ac:dyDescent="0.25">
      <c r="B579" s="36" t="s">
        <v>99</v>
      </c>
      <c r="C579" s="37" t="s">
        <v>1356</v>
      </c>
      <c r="D579" s="38">
        <v>45946</v>
      </c>
      <c r="E579" s="32" t="s">
        <v>101</v>
      </c>
      <c r="F579" s="40" t="s">
        <v>1371</v>
      </c>
      <c r="G579" s="41">
        <v>590</v>
      </c>
      <c r="H579" s="41"/>
      <c r="I579" s="41">
        <f t="shared" si="48"/>
        <v>590</v>
      </c>
      <c r="J579" s="41">
        <f t="shared" si="49"/>
        <v>29.5</v>
      </c>
      <c r="K579" s="41">
        <f t="shared" si="50"/>
        <v>619.5</v>
      </c>
      <c r="L579" s="42" t="s">
        <v>11</v>
      </c>
    </row>
    <row r="580" spans="2:12" x14ac:dyDescent="0.25">
      <c r="B580" s="36" t="s">
        <v>155</v>
      </c>
      <c r="C580" s="37" t="s">
        <v>1372</v>
      </c>
      <c r="D580" s="38">
        <v>45946</v>
      </c>
      <c r="E580" s="32" t="s">
        <v>157</v>
      </c>
      <c r="F580" s="40" t="s">
        <v>1373</v>
      </c>
      <c r="G580" s="41">
        <v>160</v>
      </c>
      <c r="H580" s="41"/>
      <c r="I580" s="41">
        <f t="shared" si="48"/>
        <v>160</v>
      </c>
      <c r="J580" s="41">
        <f t="shared" si="49"/>
        <v>8</v>
      </c>
      <c r="K580" s="41">
        <f t="shared" si="50"/>
        <v>168</v>
      </c>
      <c r="L580" s="42" t="s">
        <v>11</v>
      </c>
    </row>
    <row r="581" spans="2:12" x14ac:dyDescent="0.25">
      <c r="B581" s="36" t="s">
        <v>46</v>
      </c>
      <c r="C581" s="37" t="s">
        <v>1374</v>
      </c>
      <c r="D581" s="38">
        <v>45947</v>
      </c>
      <c r="E581" s="32"/>
      <c r="F581" s="40" t="s">
        <v>1385</v>
      </c>
      <c r="G581" s="41">
        <v>243.75</v>
      </c>
      <c r="H581" s="41"/>
      <c r="I581" s="41">
        <f t="shared" si="48"/>
        <v>243.75</v>
      </c>
      <c r="J581" s="41">
        <f t="shared" si="49"/>
        <v>12.1875</v>
      </c>
      <c r="K581" s="41">
        <f t="shared" si="50"/>
        <v>255.9375</v>
      </c>
      <c r="L581" s="42" t="s">
        <v>49</v>
      </c>
    </row>
    <row r="582" spans="2:12" x14ac:dyDescent="0.25">
      <c r="B582" s="36" t="s">
        <v>12</v>
      </c>
      <c r="C582" s="37" t="s">
        <v>1375</v>
      </c>
      <c r="D582" s="38">
        <v>45948</v>
      </c>
      <c r="E582" s="32" t="s">
        <v>13</v>
      </c>
      <c r="F582" s="40" t="s">
        <v>1386</v>
      </c>
      <c r="G582" s="41">
        <v>1125</v>
      </c>
      <c r="H582" s="41"/>
      <c r="I582" s="41">
        <f t="shared" si="48"/>
        <v>1125</v>
      </c>
      <c r="J582" s="41">
        <f t="shared" si="49"/>
        <v>56.25</v>
      </c>
      <c r="K582" s="41">
        <f t="shared" si="50"/>
        <v>1181.25</v>
      </c>
      <c r="L582" s="42" t="s">
        <v>11</v>
      </c>
    </row>
    <row r="583" spans="2:12" x14ac:dyDescent="0.25">
      <c r="B583" s="36" t="s">
        <v>12</v>
      </c>
      <c r="C583" s="37" t="s">
        <v>1376</v>
      </c>
      <c r="D583" s="38">
        <v>45948</v>
      </c>
      <c r="E583" s="32" t="s">
        <v>13</v>
      </c>
      <c r="F583" s="40" t="s">
        <v>1387</v>
      </c>
      <c r="G583" s="41">
        <v>1081</v>
      </c>
      <c r="H583" s="41"/>
      <c r="I583" s="41">
        <f t="shared" si="48"/>
        <v>1081</v>
      </c>
      <c r="J583" s="41">
        <f t="shared" si="49"/>
        <v>54.050000000000004</v>
      </c>
      <c r="K583" s="41">
        <f t="shared" si="50"/>
        <v>1135.05</v>
      </c>
      <c r="L583" s="42" t="s">
        <v>11</v>
      </c>
    </row>
    <row r="584" spans="2:12" x14ac:dyDescent="0.25">
      <c r="B584" s="36" t="s">
        <v>12</v>
      </c>
      <c r="C584" s="37" t="s">
        <v>1377</v>
      </c>
      <c r="D584" s="38">
        <v>45948</v>
      </c>
      <c r="E584" s="32" t="s">
        <v>13</v>
      </c>
      <c r="F584" s="40" t="s">
        <v>1388</v>
      </c>
      <c r="G584" s="41">
        <v>350.75</v>
      </c>
      <c r="H584" s="41"/>
      <c r="I584" s="41">
        <f t="shared" si="48"/>
        <v>350.75</v>
      </c>
      <c r="J584" s="41">
        <f t="shared" si="49"/>
        <v>17.537500000000001</v>
      </c>
      <c r="K584" s="41">
        <f t="shared" si="50"/>
        <v>368.28750000000002</v>
      </c>
      <c r="L584" s="42" t="s">
        <v>11</v>
      </c>
    </row>
    <row r="585" spans="2:12" x14ac:dyDescent="0.25">
      <c r="B585" s="36" t="s">
        <v>12</v>
      </c>
      <c r="C585" s="37" t="s">
        <v>1378</v>
      </c>
      <c r="D585" s="38">
        <v>45948</v>
      </c>
      <c r="E585" s="32" t="s">
        <v>13</v>
      </c>
      <c r="F585" s="40" t="s">
        <v>1389</v>
      </c>
      <c r="G585" s="41">
        <v>4236.75</v>
      </c>
      <c r="H585" s="41"/>
      <c r="I585" s="41">
        <f t="shared" si="48"/>
        <v>4236.75</v>
      </c>
      <c r="J585" s="41">
        <f t="shared" si="49"/>
        <v>211.83750000000001</v>
      </c>
      <c r="K585" s="41">
        <f t="shared" si="50"/>
        <v>4448.5874999999996</v>
      </c>
      <c r="L585" s="42" t="s">
        <v>11</v>
      </c>
    </row>
    <row r="586" spans="2:12" x14ac:dyDescent="0.25">
      <c r="B586" s="36" t="s">
        <v>155</v>
      </c>
      <c r="C586" s="37" t="s">
        <v>1379</v>
      </c>
      <c r="D586" s="38">
        <v>45950</v>
      </c>
      <c r="E586" s="32" t="s">
        <v>157</v>
      </c>
      <c r="F586" s="40" t="s">
        <v>1390</v>
      </c>
      <c r="G586" s="41">
        <v>160</v>
      </c>
      <c r="H586" s="41"/>
      <c r="I586" s="41">
        <f t="shared" si="48"/>
        <v>160</v>
      </c>
      <c r="J586" s="41">
        <f t="shared" si="49"/>
        <v>8</v>
      </c>
      <c r="K586" s="41">
        <f t="shared" si="50"/>
        <v>168</v>
      </c>
      <c r="L586" s="42" t="s">
        <v>11</v>
      </c>
    </row>
    <row r="587" spans="2:12" x14ac:dyDescent="0.25">
      <c r="B587" s="36" t="s">
        <v>538</v>
      </c>
      <c r="C587" s="37" t="s">
        <v>1380</v>
      </c>
      <c r="D587" s="38">
        <v>45948</v>
      </c>
      <c r="E587" s="32" t="s">
        <v>539</v>
      </c>
      <c r="F587" s="40" t="s">
        <v>817</v>
      </c>
      <c r="G587" s="41">
        <v>108</v>
      </c>
      <c r="H587" s="41"/>
      <c r="I587" s="41">
        <f t="shared" si="48"/>
        <v>108</v>
      </c>
      <c r="J587" s="41">
        <f t="shared" si="49"/>
        <v>5.4</v>
      </c>
      <c r="K587" s="41">
        <f t="shared" si="50"/>
        <v>113.4</v>
      </c>
      <c r="L587" s="42" t="s">
        <v>11</v>
      </c>
    </row>
    <row r="588" spans="2:12" x14ac:dyDescent="0.25">
      <c r="B588" s="36" t="s">
        <v>1391</v>
      </c>
      <c r="C588" s="37" t="s">
        <v>1381</v>
      </c>
      <c r="D588" s="38">
        <v>45948</v>
      </c>
      <c r="E588" s="32" t="s">
        <v>1393</v>
      </c>
      <c r="F588" s="40" t="s">
        <v>1392</v>
      </c>
      <c r="G588" s="41">
        <v>688</v>
      </c>
      <c r="H588" s="41"/>
      <c r="I588" s="41">
        <f t="shared" si="48"/>
        <v>688</v>
      </c>
      <c r="J588" s="41">
        <f t="shared" si="49"/>
        <v>34.4</v>
      </c>
      <c r="K588" s="41">
        <f t="shared" si="50"/>
        <v>722.4</v>
      </c>
      <c r="L588" s="42" t="s">
        <v>774</v>
      </c>
    </row>
    <row r="589" spans="2:12" x14ac:dyDescent="0.25">
      <c r="B589" s="36" t="s">
        <v>1394</v>
      </c>
      <c r="C589" s="37" t="s">
        <v>1382</v>
      </c>
      <c r="D589" s="38">
        <v>45948</v>
      </c>
      <c r="E589" s="32" t="s">
        <v>1395</v>
      </c>
      <c r="F589" s="40" t="s">
        <v>1396</v>
      </c>
      <c r="G589" s="41">
        <v>385</v>
      </c>
      <c r="H589" s="41"/>
      <c r="I589" s="41">
        <f t="shared" si="48"/>
        <v>385</v>
      </c>
      <c r="J589" s="41">
        <f t="shared" si="49"/>
        <v>19.25</v>
      </c>
      <c r="K589" s="41">
        <f t="shared" si="50"/>
        <v>404.25</v>
      </c>
      <c r="L589" s="42" t="s">
        <v>774</v>
      </c>
    </row>
    <row r="590" spans="2:12" x14ac:dyDescent="0.25">
      <c r="B590" s="36" t="s">
        <v>237</v>
      </c>
      <c r="C590" s="37" t="s">
        <v>1383</v>
      </c>
      <c r="D590" s="38">
        <v>45948</v>
      </c>
      <c r="E590" s="32"/>
      <c r="F590" s="40" t="s">
        <v>1397</v>
      </c>
      <c r="G590" s="41">
        <v>340</v>
      </c>
      <c r="H590" s="41"/>
      <c r="I590" s="41">
        <f t="shared" si="48"/>
        <v>340</v>
      </c>
      <c r="J590" s="41">
        <f t="shared" si="49"/>
        <v>17</v>
      </c>
      <c r="K590" s="41">
        <f t="shared" si="50"/>
        <v>357</v>
      </c>
      <c r="L590" s="42" t="s">
        <v>11</v>
      </c>
    </row>
    <row r="591" spans="2:12" x14ac:dyDescent="0.25">
      <c r="B591" s="36" t="s">
        <v>1398</v>
      </c>
      <c r="C591" s="37" t="s">
        <v>1384</v>
      </c>
      <c r="D591" s="38">
        <v>45948</v>
      </c>
      <c r="E591" s="32"/>
      <c r="F591" s="40" t="s">
        <v>1399</v>
      </c>
      <c r="G591" s="41">
        <v>71.430000000000007</v>
      </c>
      <c r="H591" s="41"/>
      <c r="I591" s="41">
        <f t="shared" si="48"/>
        <v>71.430000000000007</v>
      </c>
      <c r="J591" s="41">
        <f t="shared" si="49"/>
        <v>3.5715000000000003</v>
      </c>
      <c r="K591" s="41">
        <f t="shared" si="50"/>
        <v>75.001500000000007</v>
      </c>
      <c r="L591" s="42" t="s">
        <v>49</v>
      </c>
    </row>
    <row r="592" spans="2:12" x14ac:dyDescent="0.25">
      <c r="B592" s="80" t="s">
        <v>1401</v>
      </c>
      <c r="C592" s="81" t="s">
        <v>1400</v>
      </c>
      <c r="D592" s="88">
        <v>45950</v>
      </c>
      <c r="E592" s="82"/>
      <c r="F592" s="83" t="s">
        <v>706</v>
      </c>
      <c r="G592" s="84">
        <v>295</v>
      </c>
      <c r="H592" s="84"/>
      <c r="I592" s="84">
        <f t="shared" si="48"/>
        <v>295</v>
      </c>
      <c r="J592" s="84">
        <f t="shared" si="49"/>
        <v>14.75</v>
      </c>
      <c r="K592" s="84">
        <f t="shared" si="50"/>
        <v>309.75</v>
      </c>
      <c r="L592" s="85" t="s">
        <v>11</v>
      </c>
    </row>
    <row r="593" spans="2:12" x14ac:dyDescent="0.25">
      <c r="B593" s="86" t="s">
        <v>58</v>
      </c>
      <c r="C593" s="87" t="s">
        <v>1402</v>
      </c>
      <c r="D593" s="88">
        <v>45950</v>
      </c>
      <c r="E593" s="89">
        <v>100593105800003</v>
      </c>
      <c r="F593" s="90" t="s">
        <v>1436</v>
      </c>
      <c r="G593" s="96">
        <v>190</v>
      </c>
      <c r="H593" s="92"/>
      <c r="I593" s="84">
        <f t="shared" ref="I593" si="51">G593-H593</f>
        <v>190</v>
      </c>
      <c r="J593" s="84">
        <f t="shared" ref="J593" si="52">G593*5%</f>
        <v>9.5</v>
      </c>
      <c r="K593" s="84">
        <f t="shared" ref="K593" si="53">G593+J593</f>
        <v>199.5</v>
      </c>
      <c r="L593" s="85" t="s">
        <v>11</v>
      </c>
    </row>
    <row r="594" spans="2:12" x14ac:dyDescent="0.25">
      <c r="B594" s="86" t="s">
        <v>1437</v>
      </c>
      <c r="C594" s="87" t="s">
        <v>1403</v>
      </c>
      <c r="D594" s="88">
        <v>45950</v>
      </c>
      <c r="E594" s="93">
        <v>100277961700003</v>
      </c>
      <c r="F594" s="90" t="s">
        <v>1438</v>
      </c>
      <c r="G594" s="94">
        <v>1305.45</v>
      </c>
      <c r="H594" s="92"/>
      <c r="I594" s="84">
        <f t="shared" ref="I594:I625" si="54">G594-H594</f>
        <v>1305.45</v>
      </c>
      <c r="J594" s="84">
        <f t="shared" ref="J594:J625" si="55">G594*5%</f>
        <v>65.272500000000008</v>
      </c>
      <c r="K594" s="84">
        <f t="shared" ref="K594:K625" si="56">G594+J594</f>
        <v>1370.7225000000001</v>
      </c>
      <c r="L594" s="85" t="s">
        <v>11</v>
      </c>
    </row>
    <row r="595" spans="2:12" x14ac:dyDescent="0.25">
      <c r="B595" s="86" t="s">
        <v>1439</v>
      </c>
      <c r="C595" s="87" t="s">
        <v>1404</v>
      </c>
      <c r="D595" s="88">
        <v>45950</v>
      </c>
      <c r="E595" s="95"/>
      <c r="F595" s="90" t="s">
        <v>1440</v>
      </c>
      <c r="G595" s="91">
        <v>226</v>
      </c>
      <c r="H595" s="92"/>
      <c r="I595" s="84">
        <f t="shared" si="54"/>
        <v>226</v>
      </c>
      <c r="J595" s="84">
        <f t="shared" si="55"/>
        <v>11.3</v>
      </c>
      <c r="K595" s="84">
        <f t="shared" si="56"/>
        <v>237.3</v>
      </c>
      <c r="L595" s="42" t="s">
        <v>774</v>
      </c>
    </row>
    <row r="596" spans="2:12" x14ac:dyDescent="0.25">
      <c r="B596" s="86" t="s">
        <v>68</v>
      </c>
      <c r="C596" s="87" t="s">
        <v>1405</v>
      </c>
      <c r="D596" s="88">
        <v>45952</v>
      </c>
      <c r="E596" s="93">
        <v>100235699400003</v>
      </c>
      <c r="F596" s="90" t="s">
        <v>1441</v>
      </c>
      <c r="G596" s="91">
        <v>405</v>
      </c>
      <c r="H596" s="92"/>
      <c r="I596" s="84">
        <f t="shared" si="54"/>
        <v>405</v>
      </c>
      <c r="J596" s="84">
        <f t="shared" si="55"/>
        <v>20.25</v>
      </c>
      <c r="K596" s="84">
        <f t="shared" si="56"/>
        <v>425.25</v>
      </c>
      <c r="L596" s="85" t="s">
        <v>11</v>
      </c>
    </row>
    <row r="597" spans="2:12" x14ac:dyDescent="0.25">
      <c r="B597" s="86" t="s">
        <v>1442</v>
      </c>
      <c r="C597" s="87" t="s">
        <v>1406</v>
      </c>
      <c r="D597" s="88">
        <v>45952</v>
      </c>
      <c r="E597" s="93">
        <v>104098977200003</v>
      </c>
      <c r="F597" s="90" t="s">
        <v>1443</v>
      </c>
      <c r="G597" s="94">
        <v>3520</v>
      </c>
      <c r="H597" s="92"/>
      <c r="I597" s="84">
        <f t="shared" si="54"/>
        <v>3520</v>
      </c>
      <c r="J597" s="84">
        <f t="shared" si="55"/>
        <v>176</v>
      </c>
      <c r="K597" s="84">
        <f t="shared" si="56"/>
        <v>3696</v>
      </c>
      <c r="L597" s="85" t="s">
        <v>11</v>
      </c>
    </row>
    <row r="598" spans="2:12" x14ac:dyDescent="0.25">
      <c r="B598" s="86" t="s">
        <v>1444</v>
      </c>
      <c r="C598" s="87" t="s">
        <v>1407</v>
      </c>
      <c r="D598" s="88">
        <v>45953</v>
      </c>
      <c r="E598" s="93">
        <v>100484375900003</v>
      </c>
      <c r="F598" s="90" t="s">
        <v>1445</v>
      </c>
      <c r="G598" s="91">
        <v>125</v>
      </c>
      <c r="H598" s="92"/>
      <c r="I598" s="84">
        <f t="shared" si="54"/>
        <v>125</v>
      </c>
      <c r="J598" s="84">
        <f t="shared" si="55"/>
        <v>6.25</v>
      </c>
      <c r="K598" s="84">
        <f t="shared" si="56"/>
        <v>131.25</v>
      </c>
      <c r="L598" s="85" t="s">
        <v>11</v>
      </c>
    </row>
    <row r="599" spans="2:12" x14ac:dyDescent="0.25">
      <c r="B599" s="86" t="s">
        <v>12</v>
      </c>
      <c r="C599" s="87" t="s">
        <v>1408</v>
      </c>
      <c r="D599" s="88">
        <v>45953</v>
      </c>
      <c r="E599" s="93">
        <v>100430750800003</v>
      </c>
      <c r="F599" s="90" t="s">
        <v>1446</v>
      </c>
      <c r="G599" s="94">
        <v>2385</v>
      </c>
      <c r="H599" s="92"/>
      <c r="I599" s="84">
        <f t="shared" si="54"/>
        <v>2385</v>
      </c>
      <c r="J599" s="84">
        <f t="shared" si="55"/>
        <v>119.25</v>
      </c>
      <c r="K599" s="84">
        <f t="shared" si="56"/>
        <v>2504.25</v>
      </c>
      <c r="L599" s="85" t="s">
        <v>11</v>
      </c>
    </row>
    <row r="600" spans="2:12" s="109" customFormat="1" ht="25.5" x14ac:dyDescent="0.25">
      <c r="B600" s="102" t="s">
        <v>12</v>
      </c>
      <c r="C600" s="87" t="s">
        <v>1409</v>
      </c>
      <c r="D600" s="88">
        <v>45953</v>
      </c>
      <c r="E600" s="103">
        <v>100430750800003</v>
      </c>
      <c r="F600" s="104" t="s">
        <v>1447</v>
      </c>
      <c r="G600" s="105">
        <v>13222.5</v>
      </c>
      <c r="H600" s="106"/>
      <c r="I600" s="107">
        <f t="shared" si="54"/>
        <v>13222.5</v>
      </c>
      <c r="J600" s="107">
        <f t="shared" si="55"/>
        <v>661.125</v>
      </c>
      <c r="K600" s="107">
        <f t="shared" si="56"/>
        <v>13883.625</v>
      </c>
      <c r="L600" s="108" t="s">
        <v>11</v>
      </c>
    </row>
    <row r="601" spans="2:12" x14ac:dyDescent="0.25">
      <c r="B601" s="86" t="s">
        <v>58</v>
      </c>
      <c r="C601" s="87" t="s">
        <v>1410</v>
      </c>
      <c r="D601" s="88">
        <v>45954</v>
      </c>
      <c r="E601" s="93">
        <v>100593105800003</v>
      </c>
      <c r="F601" s="40" t="s">
        <v>1448</v>
      </c>
      <c r="G601" s="94">
        <v>13160</v>
      </c>
      <c r="H601" s="92"/>
      <c r="I601" s="84">
        <f t="shared" si="54"/>
        <v>13160</v>
      </c>
      <c r="J601" s="84">
        <f t="shared" si="55"/>
        <v>658</v>
      </c>
      <c r="K601" s="84">
        <f t="shared" si="56"/>
        <v>13818</v>
      </c>
      <c r="L601" s="85" t="s">
        <v>11</v>
      </c>
    </row>
    <row r="602" spans="2:12" x14ac:dyDescent="0.25">
      <c r="B602" s="86" t="s">
        <v>58</v>
      </c>
      <c r="C602" s="87" t="s">
        <v>1411</v>
      </c>
      <c r="D602" s="88">
        <v>45954</v>
      </c>
      <c r="E602" s="93">
        <v>100593105800003</v>
      </c>
      <c r="F602" s="90" t="s">
        <v>1449</v>
      </c>
      <c r="G602" s="91">
        <v>460</v>
      </c>
      <c r="H602" s="92"/>
      <c r="I602" s="84">
        <f t="shared" si="54"/>
        <v>460</v>
      </c>
      <c r="J602" s="84">
        <f t="shared" si="55"/>
        <v>23</v>
      </c>
      <c r="K602" s="84">
        <f t="shared" si="56"/>
        <v>483</v>
      </c>
      <c r="L602" s="85" t="s">
        <v>11</v>
      </c>
    </row>
    <row r="603" spans="2:12" x14ac:dyDescent="0.25">
      <c r="B603" s="86" t="s">
        <v>46</v>
      </c>
      <c r="C603" s="87" t="s">
        <v>1412</v>
      </c>
      <c r="D603" s="88">
        <v>45954</v>
      </c>
      <c r="E603" s="95"/>
      <c r="F603" s="90" t="s">
        <v>1450</v>
      </c>
      <c r="G603" s="91">
        <v>175</v>
      </c>
      <c r="H603" s="92"/>
      <c r="I603" s="84">
        <f t="shared" si="54"/>
        <v>175</v>
      </c>
      <c r="J603" s="84">
        <f t="shared" si="55"/>
        <v>8.75</v>
      </c>
      <c r="K603" s="84">
        <f t="shared" si="56"/>
        <v>183.75</v>
      </c>
      <c r="L603" s="85" t="s">
        <v>49</v>
      </c>
    </row>
    <row r="604" spans="2:12" x14ac:dyDescent="0.25">
      <c r="B604" s="86" t="s">
        <v>293</v>
      </c>
      <c r="C604" s="87" t="s">
        <v>1413</v>
      </c>
      <c r="D604" s="88">
        <v>45954</v>
      </c>
      <c r="E604" s="93">
        <v>100338276700003</v>
      </c>
      <c r="F604" s="90" t="s">
        <v>1451</v>
      </c>
      <c r="G604" s="91">
        <v>320</v>
      </c>
      <c r="H604" s="92"/>
      <c r="I604" s="84">
        <f t="shared" si="54"/>
        <v>320</v>
      </c>
      <c r="J604" s="84">
        <f t="shared" si="55"/>
        <v>16</v>
      </c>
      <c r="K604" s="84">
        <f t="shared" si="56"/>
        <v>336</v>
      </c>
      <c r="L604" s="85" t="s">
        <v>49</v>
      </c>
    </row>
    <row r="605" spans="2:12" x14ac:dyDescent="0.25">
      <c r="B605" s="86" t="s">
        <v>12</v>
      </c>
      <c r="C605" s="87" t="s">
        <v>1414</v>
      </c>
      <c r="D605" s="88">
        <v>45955</v>
      </c>
      <c r="E605" s="93">
        <v>100430750800003</v>
      </c>
      <c r="F605" s="90" t="s">
        <v>1452</v>
      </c>
      <c r="G605" s="94">
        <v>1950</v>
      </c>
      <c r="H605" s="92"/>
      <c r="I605" s="84">
        <f t="shared" si="54"/>
        <v>1950</v>
      </c>
      <c r="J605" s="84">
        <f t="shared" si="55"/>
        <v>97.5</v>
      </c>
      <c r="K605" s="84">
        <f t="shared" si="56"/>
        <v>2047.5</v>
      </c>
      <c r="L605" s="85" t="s">
        <v>11</v>
      </c>
    </row>
    <row r="606" spans="2:12" x14ac:dyDescent="0.25">
      <c r="B606" s="86" t="s">
        <v>1453</v>
      </c>
      <c r="C606" s="87" t="s">
        <v>1415</v>
      </c>
      <c r="D606" s="88">
        <v>45955</v>
      </c>
      <c r="E606" s="95"/>
      <c r="F606" s="90" t="s">
        <v>591</v>
      </c>
      <c r="G606" s="91">
        <v>280</v>
      </c>
      <c r="H606" s="92"/>
      <c r="I606" s="84">
        <f t="shared" si="54"/>
        <v>280</v>
      </c>
      <c r="J606" s="84">
        <f t="shared" si="55"/>
        <v>14</v>
      </c>
      <c r="K606" s="84">
        <f t="shared" si="56"/>
        <v>294</v>
      </c>
      <c r="L606" s="85" t="s">
        <v>11</v>
      </c>
    </row>
    <row r="607" spans="2:12" x14ac:dyDescent="0.25">
      <c r="B607" s="86" t="s">
        <v>12</v>
      </c>
      <c r="C607" s="87" t="s">
        <v>1416</v>
      </c>
      <c r="D607" s="88">
        <v>45957</v>
      </c>
      <c r="E607" s="93">
        <v>100430750800003</v>
      </c>
      <c r="F607" s="90" t="s">
        <v>1454</v>
      </c>
      <c r="G607" s="94">
        <v>5660</v>
      </c>
      <c r="H607" s="92"/>
      <c r="I607" s="84">
        <f t="shared" si="54"/>
        <v>5660</v>
      </c>
      <c r="J607" s="84">
        <f t="shared" si="55"/>
        <v>283</v>
      </c>
      <c r="K607" s="84">
        <f t="shared" si="56"/>
        <v>5943</v>
      </c>
      <c r="L607" s="85" t="s">
        <v>11</v>
      </c>
    </row>
    <row r="608" spans="2:12" x14ac:dyDescent="0.25">
      <c r="B608" s="86" t="s">
        <v>12</v>
      </c>
      <c r="C608" s="87" t="s">
        <v>1417</v>
      </c>
      <c r="D608" s="88">
        <v>45957</v>
      </c>
      <c r="E608" s="93">
        <v>100430750800003</v>
      </c>
      <c r="F608" s="90" t="s">
        <v>1455</v>
      </c>
      <c r="G608" s="91">
        <v>475</v>
      </c>
      <c r="H608" s="92"/>
      <c r="I608" s="84">
        <f t="shared" si="54"/>
        <v>475</v>
      </c>
      <c r="J608" s="84">
        <f t="shared" si="55"/>
        <v>23.75</v>
      </c>
      <c r="K608" s="84">
        <f t="shared" si="56"/>
        <v>498.75</v>
      </c>
      <c r="L608" s="85" t="s">
        <v>11</v>
      </c>
    </row>
    <row r="609" spans="2:12" x14ac:dyDescent="0.25">
      <c r="B609" s="86" t="s">
        <v>186</v>
      </c>
      <c r="C609" s="87" t="s">
        <v>1418</v>
      </c>
      <c r="D609" s="88">
        <v>45958</v>
      </c>
      <c r="E609" s="93">
        <v>100246622300003</v>
      </c>
      <c r="F609" s="90" t="s">
        <v>1456</v>
      </c>
      <c r="G609" s="94">
        <v>1900</v>
      </c>
      <c r="H609" s="92"/>
      <c r="I609" s="84">
        <f t="shared" si="54"/>
        <v>1900</v>
      </c>
      <c r="J609" s="84">
        <f t="shared" si="55"/>
        <v>95</v>
      </c>
      <c r="K609" s="84">
        <f t="shared" si="56"/>
        <v>1995</v>
      </c>
      <c r="L609" s="85" t="s">
        <v>11</v>
      </c>
    </row>
    <row r="610" spans="2:12" x14ac:dyDescent="0.25">
      <c r="B610" s="86" t="s">
        <v>604</v>
      </c>
      <c r="C610" s="87" t="s">
        <v>1419</v>
      </c>
      <c r="D610" s="88">
        <v>45958</v>
      </c>
      <c r="E610" s="93">
        <v>100567483100003</v>
      </c>
      <c r="F610" s="90" t="s">
        <v>1457</v>
      </c>
      <c r="G610" s="91">
        <v>375</v>
      </c>
      <c r="H610" s="92"/>
      <c r="I610" s="84">
        <f t="shared" si="54"/>
        <v>375</v>
      </c>
      <c r="J610" s="84">
        <f t="shared" si="55"/>
        <v>18.75</v>
      </c>
      <c r="K610" s="84">
        <f t="shared" si="56"/>
        <v>393.75</v>
      </c>
      <c r="L610" s="85" t="s">
        <v>11</v>
      </c>
    </row>
    <row r="611" spans="2:12" x14ac:dyDescent="0.25">
      <c r="B611" s="86" t="s">
        <v>1458</v>
      </c>
      <c r="C611" s="87" t="s">
        <v>1420</v>
      </c>
      <c r="D611" s="88">
        <v>45959</v>
      </c>
      <c r="E611" s="95"/>
      <c r="F611" s="90" t="s">
        <v>204</v>
      </c>
      <c r="G611" s="91">
        <v>120</v>
      </c>
      <c r="H611" s="92"/>
      <c r="I611" s="84">
        <f t="shared" si="54"/>
        <v>120</v>
      </c>
      <c r="J611" s="84">
        <f t="shared" si="55"/>
        <v>6</v>
      </c>
      <c r="K611" s="84">
        <f t="shared" si="56"/>
        <v>126</v>
      </c>
      <c r="L611" s="85" t="s">
        <v>49</v>
      </c>
    </row>
    <row r="612" spans="2:12" x14ac:dyDescent="0.25">
      <c r="B612" s="86" t="s">
        <v>12</v>
      </c>
      <c r="C612" s="87" t="s">
        <v>1421</v>
      </c>
      <c r="D612" s="88">
        <v>45959</v>
      </c>
      <c r="E612" s="93">
        <v>100430750800003</v>
      </c>
      <c r="F612" s="90" t="s">
        <v>1459</v>
      </c>
      <c r="G612" s="94">
        <v>3285</v>
      </c>
      <c r="H612" s="92"/>
      <c r="I612" s="84">
        <f t="shared" si="54"/>
        <v>3285</v>
      </c>
      <c r="J612" s="84">
        <f t="shared" si="55"/>
        <v>164.25</v>
      </c>
      <c r="K612" s="84">
        <f t="shared" si="56"/>
        <v>3449.25</v>
      </c>
      <c r="L612" s="85" t="s">
        <v>11</v>
      </c>
    </row>
    <row r="613" spans="2:12" x14ac:dyDescent="0.25">
      <c r="B613" s="86" t="s">
        <v>1442</v>
      </c>
      <c r="C613" s="87" t="s">
        <v>1422</v>
      </c>
      <c r="D613" s="88">
        <v>45961</v>
      </c>
      <c r="E613" s="93">
        <v>104098977200003</v>
      </c>
      <c r="F613" s="90" t="s">
        <v>1460</v>
      </c>
      <c r="G613" s="91">
        <v>390</v>
      </c>
      <c r="H613" s="92"/>
      <c r="I613" s="84">
        <f t="shared" si="54"/>
        <v>390</v>
      </c>
      <c r="J613" s="84">
        <f t="shared" si="55"/>
        <v>19.5</v>
      </c>
      <c r="K613" s="84">
        <f t="shared" si="56"/>
        <v>409.5</v>
      </c>
      <c r="L613" s="85" t="s">
        <v>11</v>
      </c>
    </row>
    <row r="614" spans="2:12" x14ac:dyDescent="0.25">
      <c r="B614" s="86" t="s">
        <v>68</v>
      </c>
      <c r="C614" s="87" t="s">
        <v>1423</v>
      </c>
      <c r="D614" s="88">
        <v>45960</v>
      </c>
      <c r="E614" s="93">
        <v>100235699400003</v>
      </c>
      <c r="F614" s="90" t="s">
        <v>1461</v>
      </c>
      <c r="G614" s="91">
        <v>405</v>
      </c>
      <c r="H614" s="92"/>
      <c r="I614" s="84">
        <f t="shared" si="54"/>
        <v>405</v>
      </c>
      <c r="J614" s="84">
        <f t="shared" si="55"/>
        <v>20.25</v>
      </c>
      <c r="K614" s="84">
        <f t="shared" si="56"/>
        <v>425.25</v>
      </c>
      <c r="L614" s="85" t="s">
        <v>11</v>
      </c>
    </row>
    <row r="615" spans="2:12" x14ac:dyDescent="0.25">
      <c r="B615" s="86" t="s">
        <v>242</v>
      </c>
      <c r="C615" s="87" t="s">
        <v>1424</v>
      </c>
      <c r="D615" s="88">
        <v>45960</v>
      </c>
      <c r="E615" s="93">
        <v>100048520900003</v>
      </c>
      <c r="F615" s="90" t="s">
        <v>1462</v>
      </c>
      <c r="G615" s="91">
        <v>135</v>
      </c>
      <c r="H615" s="92"/>
      <c r="I615" s="84">
        <f t="shared" si="54"/>
        <v>135</v>
      </c>
      <c r="J615" s="84">
        <f t="shared" si="55"/>
        <v>6.75</v>
      </c>
      <c r="K615" s="84">
        <f t="shared" si="56"/>
        <v>141.75</v>
      </c>
      <c r="L615" s="85" t="s">
        <v>11</v>
      </c>
    </row>
    <row r="616" spans="2:12" x14ac:dyDescent="0.25">
      <c r="B616" s="86" t="s">
        <v>1463</v>
      </c>
      <c r="C616" s="87" t="s">
        <v>1425</v>
      </c>
      <c r="D616" s="88">
        <v>45960</v>
      </c>
      <c r="E616" s="93">
        <v>100048520900003</v>
      </c>
      <c r="F616" s="90" t="s">
        <v>1462</v>
      </c>
      <c r="G616" s="91">
        <v>75</v>
      </c>
      <c r="H616" s="92"/>
      <c r="I616" s="84">
        <f t="shared" si="54"/>
        <v>75</v>
      </c>
      <c r="J616" s="84">
        <f t="shared" si="55"/>
        <v>3.75</v>
      </c>
      <c r="K616" s="84">
        <f t="shared" si="56"/>
        <v>78.75</v>
      </c>
      <c r="L616" s="85" t="s">
        <v>11</v>
      </c>
    </row>
    <row r="617" spans="2:12" x14ac:dyDescent="0.25">
      <c r="B617" s="86" t="s">
        <v>155</v>
      </c>
      <c r="C617" s="87" t="s">
        <v>1426</v>
      </c>
      <c r="D617" s="88">
        <v>45961</v>
      </c>
      <c r="E617" s="93">
        <v>100290916400003</v>
      </c>
      <c r="F617" s="90" t="s">
        <v>1538</v>
      </c>
      <c r="G617" s="91">
        <v>320</v>
      </c>
      <c r="H617" s="92"/>
      <c r="I617" s="84">
        <f t="shared" si="54"/>
        <v>320</v>
      </c>
      <c r="J617" s="84">
        <f t="shared" si="55"/>
        <v>16</v>
      </c>
      <c r="K617" s="84">
        <f t="shared" si="56"/>
        <v>336</v>
      </c>
      <c r="L617" s="85" t="s">
        <v>11</v>
      </c>
    </row>
    <row r="618" spans="2:12" x14ac:dyDescent="0.25">
      <c r="B618" s="86" t="s">
        <v>310</v>
      </c>
      <c r="C618" s="87" t="s">
        <v>1427</v>
      </c>
      <c r="D618" s="88">
        <v>45961</v>
      </c>
      <c r="E618" s="93">
        <v>100290916400003</v>
      </c>
      <c r="F618" s="90" t="s">
        <v>1464</v>
      </c>
      <c r="G618" s="91">
        <v>300</v>
      </c>
      <c r="H618" s="92"/>
      <c r="I618" s="84">
        <f t="shared" si="54"/>
        <v>300</v>
      </c>
      <c r="J618" s="84">
        <f t="shared" si="55"/>
        <v>15</v>
      </c>
      <c r="K618" s="84">
        <f t="shared" si="56"/>
        <v>315</v>
      </c>
      <c r="L618" s="85" t="s">
        <v>11</v>
      </c>
    </row>
    <row r="619" spans="2:12" x14ac:dyDescent="0.25">
      <c r="B619" s="86" t="s">
        <v>244</v>
      </c>
      <c r="C619" s="87" t="s">
        <v>1428</v>
      </c>
      <c r="D619" s="88">
        <v>45961</v>
      </c>
      <c r="E619" s="93">
        <v>100067612000003</v>
      </c>
      <c r="F619" s="90" t="s">
        <v>1465</v>
      </c>
      <c r="G619" s="94">
        <v>2595.1999999999998</v>
      </c>
      <c r="H619" s="92"/>
      <c r="I619" s="84">
        <f t="shared" si="54"/>
        <v>2595.1999999999998</v>
      </c>
      <c r="J619" s="84">
        <f t="shared" si="55"/>
        <v>129.76</v>
      </c>
      <c r="K619" s="84">
        <f t="shared" si="56"/>
        <v>2724.96</v>
      </c>
      <c r="L619" s="85" t="s">
        <v>11</v>
      </c>
    </row>
    <row r="620" spans="2:12" x14ac:dyDescent="0.25">
      <c r="B620" s="86" t="s">
        <v>244</v>
      </c>
      <c r="C620" s="87" t="s">
        <v>1429</v>
      </c>
      <c r="D620" s="88">
        <v>45966</v>
      </c>
      <c r="E620" s="93">
        <v>100067612000003</v>
      </c>
      <c r="F620" s="90" t="s">
        <v>1466</v>
      </c>
      <c r="G620" s="91">
        <v>1064.25</v>
      </c>
      <c r="H620" s="92"/>
      <c r="I620" s="84">
        <f t="shared" si="54"/>
        <v>1064.25</v>
      </c>
      <c r="J620" s="84">
        <f t="shared" si="55"/>
        <v>53.212500000000006</v>
      </c>
      <c r="K620" s="84">
        <f t="shared" si="56"/>
        <v>1117.4625000000001</v>
      </c>
      <c r="L620" s="85" t="s">
        <v>11</v>
      </c>
    </row>
    <row r="621" spans="2:12" x14ac:dyDescent="0.25">
      <c r="B621" s="86" t="s">
        <v>538</v>
      </c>
      <c r="C621" s="87" t="s">
        <v>1430</v>
      </c>
      <c r="D621" s="88">
        <v>45961</v>
      </c>
      <c r="E621" s="93">
        <v>104061690400003</v>
      </c>
      <c r="F621" s="90" t="s">
        <v>576</v>
      </c>
      <c r="G621" s="91">
        <v>216</v>
      </c>
      <c r="H621" s="92"/>
      <c r="I621" s="84">
        <f t="shared" si="54"/>
        <v>216</v>
      </c>
      <c r="J621" s="84">
        <f t="shared" si="55"/>
        <v>10.8</v>
      </c>
      <c r="K621" s="84">
        <f t="shared" si="56"/>
        <v>226.8</v>
      </c>
      <c r="L621" s="85" t="s">
        <v>11</v>
      </c>
    </row>
    <row r="622" spans="2:12" x14ac:dyDescent="0.25">
      <c r="B622" s="86" t="s">
        <v>58</v>
      </c>
      <c r="C622" s="87" t="s">
        <v>1431</v>
      </c>
      <c r="D622" s="88">
        <v>45972</v>
      </c>
      <c r="E622" s="93">
        <v>100366318200003</v>
      </c>
      <c r="F622" s="90" t="s">
        <v>1467</v>
      </c>
      <c r="G622" s="91">
        <v>175.5</v>
      </c>
      <c r="H622" s="92"/>
      <c r="I622" s="84">
        <f t="shared" si="54"/>
        <v>175.5</v>
      </c>
      <c r="J622" s="84">
        <f t="shared" si="55"/>
        <v>8.7750000000000004</v>
      </c>
      <c r="K622" s="84">
        <f t="shared" si="56"/>
        <v>184.27500000000001</v>
      </c>
      <c r="L622" s="85" t="s">
        <v>11</v>
      </c>
    </row>
    <row r="623" spans="2:12" x14ac:dyDescent="0.25">
      <c r="B623" s="86" t="s">
        <v>58</v>
      </c>
      <c r="C623" s="87" t="s">
        <v>1432</v>
      </c>
      <c r="D623" s="88">
        <v>45995</v>
      </c>
      <c r="E623" s="93">
        <v>100366318200003</v>
      </c>
      <c r="F623" s="90" t="s">
        <v>1468</v>
      </c>
      <c r="G623" s="91">
        <v>575</v>
      </c>
      <c r="H623" s="92"/>
      <c r="I623" s="84">
        <f t="shared" si="54"/>
        <v>575</v>
      </c>
      <c r="J623" s="84">
        <f t="shared" si="55"/>
        <v>28.75</v>
      </c>
      <c r="K623" s="84">
        <f t="shared" si="56"/>
        <v>603.75</v>
      </c>
      <c r="L623" s="85" t="s">
        <v>11</v>
      </c>
    </row>
    <row r="624" spans="2:12" x14ac:dyDescent="0.25">
      <c r="B624" s="86" t="s">
        <v>46</v>
      </c>
      <c r="C624" s="87" t="s">
        <v>1433</v>
      </c>
      <c r="D624" s="88">
        <v>45961</v>
      </c>
      <c r="E624" s="95"/>
      <c r="F624" s="90" t="s">
        <v>1469</v>
      </c>
      <c r="G624" s="94">
        <v>1360</v>
      </c>
      <c r="H624" s="92"/>
      <c r="I624" s="84">
        <f t="shared" si="54"/>
        <v>1360</v>
      </c>
      <c r="J624" s="84">
        <f t="shared" si="55"/>
        <v>68</v>
      </c>
      <c r="K624" s="84">
        <f t="shared" si="56"/>
        <v>1428</v>
      </c>
      <c r="L624" s="85" t="s">
        <v>49</v>
      </c>
    </row>
    <row r="625" spans="2:12" x14ac:dyDescent="0.25">
      <c r="B625" s="86" t="s">
        <v>1470</v>
      </c>
      <c r="C625" s="87" t="s">
        <v>1434</v>
      </c>
      <c r="D625" s="88">
        <v>45961</v>
      </c>
      <c r="E625" s="93">
        <v>100548855400003</v>
      </c>
      <c r="F625" s="90" t="s">
        <v>145</v>
      </c>
      <c r="G625" s="91">
        <v>750</v>
      </c>
      <c r="H625" s="92"/>
      <c r="I625" s="41">
        <f t="shared" si="54"/>
        <v>750</v>
      </c>
      <c r="J625" s="41">
        <f t="shared" si="55"/>
        <v>37.5</v>
      </c>
      <c r="K625" s="41">
        <f t="shared" si="56"/>
        <v>787.5</v>
      </c>
      <c r="L625" s="42" t="s">
        <v>49</v>
      </c>
    </row>
    <row r="626" spans="2:12" x14ac:dyDescent="0.25">
      <c r="B626" s="75" t="s">
        <v>1483</v>
      </c>
      <c r="C626" s="87" t="s">
        <v>1435</v>
      </c>
      <c r="D626" s="76">
        <v>45965</v>
      </c>
      <c r="E626" s="77"/>
      <c r="F626" s="78" t="s">
        <v>1484</v>
      </c>
      <c r="G626" s="79">
        <v>8620.35</v>
      </c>
      <c r="H626" s="41"/>
      <c r="I626" s="41">
        <f t="shared" ref="I626:I658" si="57">G626-H626</f>
        <v>8620.35</v>
      </c>
      <c r="J626" s="41">
        <f t="shared" ref="J626:J658" si="58">G626*5%</f>
        <v>431.01750000000004</v>
      </c>
      <c r="K626" s="41">
        <f t="shared" ref="K626:K658" si="59">G626+J626</f>
        <v>9051.3675000000003</v>
      </c>
      <c r="L626" s="85" t="s">
        <v>11</v>
      </c>
    </row>
    <row r="627" spans="2:12" x14ac:dyDescent="0.25">
      <c r="B627" s="36" t="s">
        <v>262</v>
      </c>
      <c r="C627" s="87" t="s">
        <v>1471</v>
      </c>
      <c r="D627" s="38">
        <v>45964</v>
      </c>
      <c r="E627" s="32"/>
      <c r="F627" s="40" t="s">
        <v>461</v>
      </c>
      <c r="G627" s="41">
        <v>730</v>
      </c>
      <c r="H627" s="41"/>
      <c r="I627" s="41">
        <f t="shared" si="57"/>
        <v>730</v>
      </c>
      <c r="J627" s="41">
        <f t="shared" si="58"/>
        <v>36.5</v>
      </c>
      <c r="K627" s="41">
        <f t="shared" si="59"/>
        <v>766.5</v>
      </c>
      <c r="L627" s="85" t="s">
        <v>11</v>
      </c>
    </row>
    <row r="628" spans="2:12" x14ac:dyDescent="0.25">
      <c r="B628" s="36" t="s">
        <v>1485</v>
      </c>
      <c r="C628" s="87" t="s">
        <v>1472</v>
      </c>
      <c r="D628" s="76">
        <v>45965</v>
      </c>
      <c r="E628" s="32" t="s">
        <v>1486</v>
      </c>
      <c r="F628" s="40" t="s">
        <v>140</v>
      </c>
      <c r="G628" s="41">
        <v>150</v>
      </c>
      <c r="H628" s="41"/>
      <c r="I628" s="41">
        <f t="shared" si="57"/>
        <v>150</v>
      </c>
      <c r="J628" s="41">
        <f t="shared" si="58"/>
        <v>7.5</v>
      </c>
      <c r="K628" s="41">
        <f t="shared" si="59"/>
        <v>157.5</v>
      </c>
      <c r="L628" s="42" t="s">
        <v>11</v>
      </c>
    </row>
    <row r="629" spans="2:12" x14ac:dyDescent="0.25">
      <c r="B629" s="36" t="s">
        <v>702</v>
      </c>
      <c r="C629" s="87" t="s">
        <v>1473</v>
      </c>
      <c r="D629" s="76">
        <v>45966</v>
      </c>
      <c r="E629" s="32" t="s">
        <v>703</v>
      </c>
      <c r="F629" s="40" t="s">
        <v>1487</v>
      </c>
      <c r="G629" s="41">
        <v>810</v>
      </c>
      <c r="H629" s="41"/>
      <c r="I629" s="41">
        <f t="shared" si="57"/>
        <v>810</v>
      </c>
      <c r="J629" s="41">
        <f t="shared" si="58"/>
        <v>40.5</v>
      </c>
      <c r="K629" s="41">
        <f t="shared" si="59"/>
        <v>850.5</v>
      </c>
      <c r="L629" s="85" t="s">
        <v>11</v>
      </c>
    </row>
    <row r="630" spans="2:12" x14ac:dyDescent="0.25">
      <c r="B630" s="36" t="s">
        <v>608</v>
      </c>
      <c r="C630" s="87" t="s">
        <v>1474</v>
      </c>
      <c r="D630" s="38">
        <v>45967</v>
      </c>
      <c r="E630" s="32"/>
      <c r="F630" s="40" t="s">
        <v>145</v>
      </c>
      <c r="G630" s="41">
        <v>125</v>
      </c>
      <c r="H630" s="41"/>
      <c r="I630" s="41">
        <f t="shared" si="57"/>
        <v>125</v>
      </c>
      <c r="J630" s="41">
        <f t="shared" si="58"/>
        <v>6.25</v>
      </c>
      <c r="K630" s="41">
        <f t="shared" si="59"/>
        <v>131.25</v>
      </c>
      <c r="L630" s="85" t="s">
        <v>11</v>
      </c>
    </row>
    <row r="631" spans="2:12" x14ac:dyDescent="0.25">
      <c r="B631" s="36" t="s">
        <v>262</v>
      </c>
      <c r="C631" s="87" t="s">
        <v>1475</v>
      </c>
      <c r="D631" s="38">
        <v>45967</v>
      </c>
      <c r="E631" s="32"/>
      <c r="F631" s="40" t="s">
        <v>145</v>
      </c>
      <c r="G631" s="41">
        <v>450</v>
      </c>
      <c r="H631" s="41"/>
      <c r="I631" s="41">
        <f t="shared" si="57"/>
        <v>450</v>
      </c>
      <c r="J631" s="41">
        <f t="shared" si="58"/>
        <v>22.5</v>
      </c>
      <c r="K631" s="41">
        <f t="shared" si="59"/>
        <v>472.5</v>
      </c>
      <c r="L631" s="85" t="s">
        <v>11</v>
      </c>
    </row>
    <row r="632" spans="2:12" x14ac:dyDescent="0.25">
      <c r="B632" s="36" t="s">
        <v>647</v>
      </c>
      <c r="C632" s="87" t="s">
        <v>1476</v>
      </c>
      <c r="D632" s="38">
        <v>45967</v>
      </c>
      <c r="E632" s="32" t="s">
        <v>883</v>
      </c>
      <c r="F632" s="40" t="s">
        <v>1488</v>
      </c>
      <c r="G632" s="41">
        <v>3140</v>
      </c>
      <c r="H632" s="41"/>
      <c r="I632" s="41">
        <f t="shared" si="57"/>
        <v>3140</v>
      </c>
      <c r="J632" s="41">
        <f t="shared" si="58"/>
        <v>157</v>
      </c>
      <c r="K632" s="41">
        <f t="shared" si="59"/>
        <v>3297</v>
      </c>
      <c r="L632" s="85" t="s">
        <v>11</v>
      </c>
    </row>
    <row r="633" spans="2:12" x14ac:dyDescent="0.25">
      <c r="B633" s="36" t="s">
        <v>1489</v>
      </c>
      <c r="C633" s="87" t="s">
        <v>1477</v>
      </c>
      <c r="D633" s="38">
        <v>45967</v>
      </c>
      <c r="E633" s="32" t="s">
        <v>1490</v>
      </c>
      <c r="F633" s="40" t="s">
        <v>1491</v>
      </c>
      <c r="G633" s="41">
        <v>4950</v>
      </c>
      <c r="H633" s="41"/>
      <c r="I633" s="41">
        <f t="shared" si="57"/>
        <v>4950</v>
      </c>
      <c r="J633" s="41">
        <f t="shared" si="58"/>
        <v>247.5</v>
      </c>
      <c r="K633" s="41">
        <f t="shared" si="59"/>
        <v>5197.5</v>
      </c>
      <c r="L633" s="85" t="s">
        <v>11</v>
      </c>
    </row>
    <row r="634" spans="2:12" x14ac:dyDescent="0.25">
      <c r="B634" s="36" t="s">
        <v>699</v>
      </c>
      <c r="C634" s="87" t="s">
        <v>1478</v>
      </c>
      <c r="D634" s="38">
        <v>45968</v>
      </c>
      <c r="E634" s="32" t="s">
        <v>700</v>
      </c>
      <c r="F634" s="40" t="s">
        <v>1492</v>
      </c>
      <c r="G634" s="41">
        <v>255</v>
      </c>
      <c r="H634" s="41"/>
      <c r="I634" s="41">
        <f t="shared" si="57"/>
        <v>255</v>
      </c>
      <c r="J634" s="41">
        <f t="shared" si="58"/>
        <v>12.75</v>
      </c>
      <c r="K634" s="41">
        <f t="shared" si="59"/>
        <v>267.75</v>
      </c>
      <c r="L634" s="42" t="s">
        <v>49</v>
      </c>
    </row>
    <row r="635" spans="2:12" x14ac:dyDescent="0.25">
      <c r="B635" s="36" t="s">
        <v>46</v>
      </c>
      <c r="C635" s="87" t="s">
        <v>1479</v>
      </c>
      <c r="D635" s="38">
        <v>45968</v>
      </c>
      <c r="E635" s="32"/>
      <c r="F635" s="40" t="s">
        <v>1493</v>
      </c>
      <c r="G635" s="41">
        <v>340</v>
      </c>
      <c r="H635" s="41"/>
      <c r="I635" s="41">
        <f t="shared" si="57"/>
        <v>340</v>
      </c>
      <c r="J635" s="41">
        <f t="shared" si="58"/>
        <v>17</v>
      </c>
      <c r="K635" s="41">
        <f t="shared" si="59"/>
        <v>357</v>
      </c>
      <c r="L635" s="42" t="s">
        <v>49</v>
      </c>
    </row>
    <row r="636" spans="2:12" x14ac:dyDescent="0.25">
      <c r="B636" s="36" t="s">
        <v>1494</v>
      </c>
      <c r="C636" s="87" t="s">
        <v>1480</v>
      </c>
      <c r="D636" s="38">
        <v>45968</v>
      </c>
      <c r="E636" s="32"/>
      <c r="F636" s="40" t="s">
        <v>1495</v>
      </c>
      <c r="G636" s="41">
        <v>500</v>
      </c>
      <c r="H636" s="41"/>
      <c r="I636" s="41">
        <f t="shared" si="57"/>
        <v>500</v>
      </c>
      <c r="J636" s="41">
        <f t="shared" si="58"/>
        <v>25</v>
      </c>
      <c r="K636" s="41">
        <f t="shared" si="59"/>
        <v>525</v>
      </c>
      <c r="L636" s="42" t="s">
        <v>49</v>
      </c>
    </row>
    <row r="637" spans="2:12" x14ac:dyDescent="0.25">
      <c r="B637" s="36" t="s">
        <v>12</v>
      </c>
      <c r="C637" s="87" t="s">
        <v>1481</v>
      </c>
      <c r="D637" s="38">
        <v>45968</v>
      </c>
      <c r="E637" s="32" t="s">
        <v>13</v>
      </c>
      <c r="F637" s="40" t="s">
        <v>1496</v>
      </c>
      <c r="G637" s="41">
        <v>200</v>
      </c>
      <c r="H637" s="41"/>
      <c r="I637" s="41">
        <f t="shared" si="57"/>
        <v>200</v>
      </c>
      <c r="J637" s="41">
        <f t="shared" si="58"/>
        <v>10</v>
      </c>
      <c r="K637" s="41">
        <f t="shared" si="59"/>
        <v>210</v>
      </c>
      <c r="L637" s="85" t="s">
        <v>11</v>
      </c>
    </row>
    <row r="638" spans="2:12" x14ac:dyDescent="0.25">
      <c r="B638" s="36" t="s">
        <v>1497</v>
      </c>
      <c r="C638" s="37" t="s">
        <v>1498</v>
      </c>
      <c r="D638" s="38">
        <v>45969</v>
      </c>
      <c r="E638" s="32"/>
      <c r="F638" s="40" t="s">
        <v>1495</v>
      </c>
      <c r="G638" s="41">
        <v>500</v>
      </c>
      <c r="H638" s="41"/>
      <c r="I638" s="41">
        <f t="shared" si="57"/>
        <v>500</v>
      </c>
      <c r="J638" s="41">
        <f t="shared" si="58"/>
        <v>25</v>
      </c>
      <c r="K638" s="41">
        <f t="shared" si="59"/>
        <v>525</v>
      </c>
      <c r="L638" s="42" t="s">
        <v>49</v>
      </c>
    </row>
    <row r="639" spans="2:12" x14ac:dyDescent="0.25">
      <c r="B639" s="97" t="s">
        <v>155</v>
      </c>
      <c r="C639" s="98" t="s">
        <v>1499</v>
      </c>
      <c r="D639" s="99">
        <v>45974</v>
      </c>
      <c r="E639" s="70" t="s">
        <v>157</v>
      </c>
      <c r="F639" s="100" t="s">
        <v>1518</v>
      </c>
      <c r="G639" s="101">
        <v>11000</v>
      </c>
      <c r="H639" s="101"/>
      <c r="I639" s="101">
        <f t="shared" si="57"/>
        <v>11000</v>
      </c>
      <c r="J639" s="101">
        <f t="shared" si="58"/>
        <v>550</v>
      </c>
      <c r="K639" s="101">
        <f t="shared" si="59"/>
        <v>11550</v>
      </c>
      <c r="L639" s="42" t="s">
        <v>11</v>
      </c>
    </row>
    <row r="640" spans="2:12" x14ac:dyDescent="0.25">
      <c r="B640" s="36" t="s">
        <v>1519</v>
      </c>
      <c r="C640" s="87" t="s">
        <v>1500</v>
      </c>
      <c r="D640" s="38">
        <v>45971</v>
      </c>
      <c r="E640" s="32" t="s">
        <v>1520</v>
      </c>
      <c r="F640" s="40" t="s">
        <v>1521</v>
      </c>
      <c r="G640" s="41">
        <v>300</v>
      </c>
      <c r="H640" s="41"/>
      <c r="I640" s="41">
        <f t="shared" si="57"/>
        <v>300</v>
      </c>
      <c r="J640" s="41">
        <f t="shared" si="58"/>
        <v>15</v>
      </c>
      <c r="K640" s="41">
        <f t="shared" si="59"/>
        <v>315</v>
      </c>
      <c r="L640" s="42" t="s">
        <v>49</v>
      </c>
    </row>
    <row r="641" spans="2:12" x14ac:dyDescent="0.25">
      <c r="B641" s="36" t="s">
        <v>369</v>
      </c>
      <c r="C641" s="37" t="s">
        <v>1501</v>
      </c>
      <c r="D641" s="38">
        <v>45972</v>
      </c>
      <c r="E641" s="32" t="s">
        <v>370</v>
      </c>
      <c r="F641" s="40" t="s">
        <v>591</v>
      </c>
      <c r="G641" s="41">
        <v>185</v>
      </c>
      <c r="H641" s="41"/>
      <c r="I641" s="41">
        <f t="shared" si="57"/>
        <v>185</v>
      </c>
      <c r="J641" s="41">
        <f t="shared" si="58"/>
        <v>9.25</v>
      </c>
      <c r="K641" s="41">
        <f t="shared" si="59"/>
        <v>194.25</v>
      </c>
      <c r="L641" s="85" t="s">
        <v>11</v>
      </c>
    </row>
    <row r="642" spans="2:12" x14ac:dyDescent="0.25">
      <c r="B642" s="36" t="s">
        <v>96</v>
      </c>
      <c r="C642" s="87" t="s">
        <v>1502</v>
      </c>
      <c r="D642" s="38">
        <v>45975</v>
      </c>
      <c r="E642" s="32" t="s">
        <v>97</v>
      </c>
      <c r="F642" s="40" t="s">
        <v>1522</v>
      </c>
      <c r="G642" s="41">
        <v>185</v>
      </c>
      <c r="H642" s="41"/>
      <c r="I642" s="41">
        <f t="shared" si="57"/>
        <v>185</v>
      </c>
      <c r="J642" s="41">
        <f t="shared" si="58"/>
        <v>9.25</v>
      </c>
      <c r="K642" s="41">
        <f t="shared" si="59"/>
        <v>194.25</v>
      </c>
      <c r="L642" s="85" t="s">
        <v>11</v>
      </c>
    </row>
    <row r="643" spans="2:12" x14ac:dyDescent="0.25">
      <c r="B643" s="36" t="s">
        <v>155</v>
      </c>
      <c r="C643" s="87" t="s">
        <v>1503</v>
      </c>
      <c r="D643" s="38">
        <v>45973</v>
      </c>
      <c r="E643" s="32" t="s">
        <v>157</v>
      </c>
      <c r="F643" s="40" t="s">
        <v>1523</v>
      </c>
      <c r="G643" s="41">
        <v>1700</v>
      </c>
      <c r="H643" s="41"/>
      <c r="I643" s="41">
        <f t="shared" si="57"/>
        <v>1700</v>
      </c>
      <c r="J643" s="41">
        <f t="shared" si="58"/>
        <v>85</v>
      </c>
      <c r="K643" s="41">
        <f t="shared" si="59"/>
        <v>1785</v>
      </c>
      <c r="L643" s="85" t="s">
        <v>11</v>
      </c>
    </row>
    <row r="644" spans="2:12" x14ac:dyDescent="0.25">
      <c r="B644" s="36" t="s">
        <v>155</v>
      </c>
      <c r="C644" s="37" t="s">
        <v>1504</v>
      </c>
      <c r="D644" s="38">
        <v>45974</v>
      </c>
      <c r="E644" s="32" t="s">
        <v>157</v>
      </c>
      <c r="F644" s="40" t="s">
        <v>1539</v>
      </c>
      <c r="G644" s="101">
        <v>11000</v>
      </c>
      <c r="H644" s="41"/>
      <c r="I644" s="41">
        <f t="shared" si="57"/>
        <v>11000</v>
      </c>
      <c r="J644" s="41">
        <f t="shared" si="58"/>
        <v>550</v>
      </c>
      <c r="K644" s="41">
        <f t="shared" si="59"/>
        <v>11550</v>
      </c>
      <c r="L644" s="85" t="s">
        <v>11</v>
      </c>
    </row>
    <row r="645" spans="2:12" x14ac:dyDescent="0.25">
      <c r="B645" s="36" t="s">
        <v>155</v>
      </c>
      <c r="C645" s="87" t="s">
        <v>1505</v>
      </c>
      <c r="D645" s="38">
        <v>45974</v>
      </c>
      <c r="E645" s="32" t="s">
        <v>157</v>
      </c>
      <c r="F645" s="40" t="s">
        <v>1524</v>
      </c>
      <c r="G645" s="41">
        <v>1980</v>
      </c>
      <c r="H645" s="41"/>
      <c r="I645" s="41">
        <f t="shared" si="57"/>
        <v>1980</v>
      </c>
      <c r="J645" s="41">
        <f t="shared" si="58"/>
        <v>99</v>
      </c>
      <c r="K645" s="41">
        <f t="shared" si="59"/>
        <v>2079</v>
      </c>
      <c r="L645" s="85" t="s">
        <v>11</v>
      </c>
    </row>
    <row r="646" spans="2:12" x14ac:dyDescent="0.25">
      <c r="B646" s="36" t="s">
        <v>12</v>
      </c>
      <c r="C646" s="87" t="s">
        <v>1506</v>
      </c>
      <c r="D646" s="38">
        <v>45975</v>
      </c>
      <c r="E646" s="32" t="s">
        <v>13</v>
      </c>
      <c r="F646" s="40" t="s">
        <v>1525</v>
      </c>
      <c r="G646" s="41">
        <v>750</v>
      </c>
      <c r="H646" s="41"/>
      <c r="I646" s="41">
        <f t="shared" si="57"/>
        <v>750</v>
      </c>
      <c r="J646" s="41">
        <f t="shared" si="58"/>
        <v>37.5</v>
      </c>
      <c r="K646" s="41">
        <f t="shared" si="59"/>
        <v>787.5</v>
      </c>
      <c r="L646" s="85" t="s">
        <v>11</v>
      </c>
    </row>
    <row r="647" spans="2:12" x14ac:dyDescent="0.25">
      <c r="B647" s="36" t="s">
        <v>46</v>
      </c>
      <c r="C647" s="37" t="s">
        <v>1507</v>
      </c>
      <c r="D647" s="38">
        <v>45976</v>
      </c>
      <c r="E647" s="32"/>
      <c r="F647" s="40" t="s">
        <v>1526</v>
      </c>
      <c r="G647" s="41">
        <v>370</v>
      </c>
      <c r="H647" s="41"/>
      <c r="I647" s="41">
        <f t="shared" si="57"/>
        <v>370</v>
      </c>
      <c r="J647" s="41">
        <f t="shared" si="58"/>
        <v>18.5</v>
      </c>
      <c r="K647" s="41">
        <f t="shared" si="59"/>
        <v>388.5</v>
      </c>
      <c r="L647" s="85" t="s">
        <v>49</v>
      </c>
    </row>
    <row r="648" spans="2:12" x14ac:dyDescent="0.25">
      <c r="B648" s="36" t="s">
        <v>1527</v>
      </c>
      <c r="C648" s="87" t="s">
        <v>1508</v>
      </c>
      <c r="D648" s="38">
        <v>45978</v>
      </c>
      <c r="E648" s="32"/>
      <c r="F648" s="40" t="s">
        <v>1528</v>
      </c>
      <c r="G648" s="41">
        <v>1972.5</v>
      </c>
      <c r="H648" s="41"/>
      <c r="I648" s="41">
        <f t="shared" si="57"/>
        <v>1972.5</v>
      </c>
      <c r="J648" s="41">
        <f t="shared" si="58"/>
        <v>98.625</v>
      </c>
      <c r="K648" s="41">
        <f t="shared" si="59"/>
        <v>2071.125</v>
      </c>
      <c r="L648" s="85" t="s">
        <v>11</v>
      </c>
    </row>
    <row r="649" spans="2:12" x14ac:dyDescent="0.25">
      <c r="B649" s="36" t="s">
        <v>99</v>
      </c>
      <c r="C649" s="87" t="s">
        <v>1509</v>
      </c>
      <c r="D649" s="38">
        <v>45978</v>
      </c>
      <c r="E649" s="32" t="s">
        <v>101</v>
      </c>
      <c r="F649" s="40" t="s">
        <v>102</v>
      </c>
      <c r="G649" s="41">
        <v>225</v>
      </c>
      <c r="H649" s="41"/>
      <c r="I649" s="41">
        <f t="shared" si="57"/>
        <v>225</v>
      </c>
      <c r="J649" s="41">
        <f t="shared" si="58"/>
        <v>11.25</v>
      </c>
      <c r="K649" s="41">
        <f t="shared" si="59"/>
        <v>236.25</v>
      </c>
      <c r="L649" s="85" t="s">
        <v>11</v>
      </c>
    </row>
    <row r="650" spans="2:12" x14ac:dyDescent="0.25">
      <c r="B650" s="36" t="s">
        <v>1527</v>
      </c>
      <c r="C650" s="37" t="s">
        <v>1510</v>
      </c>
      <c r="D650" s="38">
        <v>45978</v>
      </c>
      <c r="E650" s="32"/>
      <c r="F650" s="40" t="s">
        <v>1529</v>
      </c>
      <c r="G650" s="41">
        <v>139.4</v>
      </c>
      <c r="H650" s="41"/>
      <c r="I650" s="41">
        <f t="shared" si="57"/>
        <v>139.4</v>
      </c>
      <c r="J650" s="41">
        <f t="shared" si="58"/>
        <v>6.9700000000000006</v>
      </c>
      <c r="K650" s="41">
        <f t="shared" si="59"/>
        <v>146.37</v>
      </c>
      <c r="L650" s="85" t="s">
        <v>11</v>
      </c>
    </row>
    <row r="651" spans="2:12" x14ac:dyDescent="0.25">
      <c r="B651" s="36" t="s">
        <v>96</v>
      </c>
      <c r="C651" s="87" t="s">
        <v>1511</v>
      </c>
      <c r="D651" s="38">
        <v>45979</v>
      </c>
      <c r="E651" s="32" t="s">
        <v>97</v>
      </c>
      <c r="F651" s="40" t="s">
        <v>1530</v>
      </c>
      <c r="G651" s="41">
        <v>2160</v>
      </c>
      <c r="H651" s="41"/>
      <c r="I651" s="41">
        <f t="shared" si="57"/>
        <v>2160</v>
      </c>
      <c r="J651" s="41">
        <f t="shared" si="58"/>
        <v>108</v>
      </c>
      <c r="K651" s="41">
        <f t="shared" si="59"/>
        <v>2268</v>
      </c>
      <c r="L651" s="85" t="s">
        <v>11</v>
      </c>
    </row>
    <row r="652" spans="2:12" x14ac:dyDescent="0.25">
      <c r="B652" s="36" t="s">
        <v>155</v>
      </c>
      <c r="C652" s="87" t="s">
        <v>1512</v>
      </c>
      <c r="D652" s="38">
        <v>45979</v>
      </c>
      <c r="E652" s="32" t="s">
        <v>157</v>
      </c>
      <c r="F652" s="40" t="s">
        <v>1531</v>
      </c>
      <c r="G652" s="41">
        <v>3465</v>
      </c>
      <c r="H652" s="41"/>
      <c r="I652" s="41">
        <f t="shared" si="57"/>
        <v>3465</v>
      </c>
      <c r="J652" s="41">
        <f t="shared" si="58"/>
        <v>173.25</v>
      </c>
      <c r="K652" s="41">
        <f t="shared" si="59"/>
        <v>3638.25</v>
      </c>
      <c r="L652" s="85" t="s">
        <v>11</v>
      </c>
    </row>
    <row r="653" spans="2:12" x14ac:dyDescent="0.25">
      <c r="B653" s="36" t="s">
        <v>155</v>
      </c>
      <c r="C653" s="37" t="s">
        <v>1513</v>
      </c>
      <c r="D653" s="38">
        <v>45979</v>
      </c>
      <c r="E653" s="32" t="s">
        <v>157</v>
      </c>
      <c r="F653" s="40" t="s">
        <v>1532</v>
      </c>
      <c r="G653" s="41">
        <v>160</v>
      </c>
      <c r="H653" s="41"/>
      <c r="I653" s="41">
        <f t="shared" si="57"/>
        <v>160</v>
      </c>
      <c r="J653" s="41">
        <f t="shared" si="58"/>
        <v>8</v>
      </c>
      <c r="K653" s="41">
        <f t="shared" si="59"/>
        <v>168</v>
      </c>
      <c r="L653" s="85" t="s">
        <v>11</v>
      </c>
    </row>
    <row r="654" spans="2:12" x14ac:dyDescent="0.25">
      <c r="B654" s="36" t="s">
        <v>155</v>
      </c>
      <c r="C654" s="87" t="s">
        <v>1514</v>
      </c>
      <c r="D654" s="38">
        <v>45979</v>
      </c>
      <c r="E654" s="32" t="s">
        <v>157</v>
      </c>
      <c r="F654" s="40" t="s">
        <v>1533</v>
      </c>
      <c r="G654" s="41">
        <v>160</v>
      </c>
      <c r="H654" s="41"/>
      <c r="I654" s="41">
        <f t="shared" si="57"/>
        <v>160</v>
      </c>
      <c r="J654" s="41">
        <f t="shared" si="58"/>
        <v>8</v>
      </c>
      <c r="K654" s="41">
        <f t="shared" si="59"/>
        <v>168</v>
      </c>
      <c r="L654" s="85" t="s">
        <v>11</v>
      </c>
    </row>
    <row r="655" spans="2:12" x14ac:dyDescent="0.25">
      <c r="B655" s="36" t="s">
        <v>155</v>
      </c>
      <c r="C655" s="87" t="s">
        <v>1515</v>
      </c>
      <c r="D655" s="38">
        <v>45979</v>
      </c>
      <c r="E655" s="32" t="s">
        <v>157</v>
      </c>
      <c r="F655" s="40" t="s">
        <v>1534</v>
      </c>
      <c r="G655" s="41">
        <v>160</v>
      </c>
      <c r="H655" s="41"/>
      <c r="I655" s="41">
        <f t="shared" si="57"/>
        <v>160</v>
      </c>
      <c r="J655" s="41">
        <f t="shared" si="58"/>
        <v>8</v>
      </c>
      <c r="K655" s="41">
        <f t="shared" si="59"/>
        <v>168</v>
      </c>
      <c r="L655" s="85" t="s">
        <v>11</v>
      </c>
    </row>
    <row r="656" spans="2:12" x14ac:dyDescent="0.25">
      <c r="B656" s="36" t="s">
        <v>1536</v>
      </c>
      <c r="C656" s="37" t="s">
        <v>1516</v>
      </c>
      <c r="D656" s="38">
        <v>45979</v>
      </c>
      <c r="E656" s="32" t="s">
        <v>1535</v>
      </c>
      <c r="F656" s="40" t="s">
        <v>1537</v>
      </c>
      <c r="G656" s="41">
        <v>2380</v>
      </c>
      <c r="H656" s="41"/>
      <c r="I656" s="41">
        <f t="shared" si="57"/>
        <v>2380</v>
      </c>
      <c r="J656" s="41">
        <f t="shared" si="58"/>
        <v>119</v>
      </c>
      <c r="K656" s="41">
        <f t="shared" si="59"/>
        <v>2499</v>
      </c>
      <c r="L656" s="85" t="s">
        <v>11</v>
      </c>
    </row>
    <row r="657" spans="2:12" x14ac:dyDescent="0.25">
      <c r="B657" s="36" t="s">
        <v>12</v>
      </c>
      <c r="C657" s="87" t="s">
        <v>1517</v>
      </c>
      <c r="D657" s="38">
        <v>45979</v>
      </c>
      <c r="E657" s="32" t="s">
        <v>13</v>
      </c>
      <c r="F657" s="40" t="s">
        <v>817</v>
      </c>
      <c r="G657" s="41">
        <v>1267.5</v>
      </c>
      <c r="H657" s="41"/>
      <c r="I657" s="41">
        <f t="shared" si="57"/>
        <v>1267.5</v>
      </c>
      <c r="J657" s="41">
        <f t="shared" si="58"/>
        <v>63.375</v>
      </c>
      <c r="K657" s="41">
        <f t="shared" si="59"/>
        <v>1330.875</v>
      </c>
      <c r="L657" s="85" t="s">
        <v>11</v>
      </c>
    </row>
    <row r="658" spans="2:12" x14ac:dyDescent="0.25">
      <c r="B658" s="36" t="s">
        <v>96</v>
      </c>
      <c r="C658" s="87" t="s">
        <v>1540</v>
      </c>
      <c r="D658" s="38">
        <v>45981</v>
      </c>
      <c r="E658" s="32" t="s">
        <v>97</v>
      </c>
      <c r="F658" s="40" t="s">
        <v>1546</v>
      </c>
      <c r="G658" s="41">
        <v>997</v>
      </c>
      <c r="H658" s="41"/>
      <c r="I658" s="41">
        <f t="shared" si="57"/>
        <v>997</v>
      </c>
      <c r="J658" s="41">
        <f t="shared" si="58"/>
        <v>49.85</v>
      </c>
      <c r="K658" s="41">
        <f t="shared" si="59"/>
        <v>1046.8499999999999</v>
      </c>
      <c r="L658" s="85" t="s">
        <v>11</v>
      </c>
    </row>
    <row r="659" spans="2:12" x14ac:dyDescent="0.25">
      <c r="B659" s="36" t="s">
        <v>1547</v>
      </c>
      <c r="C659" s="87" t="s">
        <v>1541</v>
      </c>
      <c r="D659" s="38">
        <v>45981</v>
      </c>
      <c r="E659" s="32" t="s">
        <v>1548</v>
      </c>
      <c r="F659" s="40" t="s">
        <v>850</v>
      </c>
      <c r="G659" s="41">
        <v>135</v>
      </c>
      <c r="H659" s="41"/>
      <c r="I659" s="41">
        <f t="shared" ref="I659:I758" si="60">G659-H659</f>
        <v>135</v>
      </c>
      <c r="J659" s="41">
        <f t="shared" ref="J659:J758" si="61">G659*5%</f>
        <v>6.75</v>
      </c>
      <c r="K659" s="41">
        <f t="shared" ref="K659:K758" si="62">G659+J659</f>
        <v>141.75</v>
      </c>
      <c r="L659" s="85" t="s">
        <v>11</v>
      </c>
    </row>
    <row r="660" spans="2:12" x14ac:dyDescent="0.25">
      <c r="B660" s="36" t="s">
        <v>1549</v>
      </c>
      <c r="C660" s="37" t="s">
        <v>1542</v>
      </c>
      <c r="D660" s="38">
        <v>45981</v>
      </c>
      <c r="E660" s="32"/>
      <c r="F660" s="40" t="s">
        <v>1550</v>
      </c>
      <c r="G660" s="41">
        <v>333.34</v>
      </c>
      <c r="H660" s="41"/>
      <c r="I660" s="41">
        <f t="shared" si="60"/>
        <v>333.34</v>
      </c>
      <c r="J660" s="41">
        <f t="shared" si="61"/>
        <v>16.666999999999998</v>
      </c>
      <c r="K660" s="41">
        <f t="shared" si="62"/>
        <v>350.00699999999995</v>
      </c>
      <c r="L660" s="42" t="s">
        <v>57</v>
      </c>
    </row>
    <row r="661" spans="2:12" x14ac:dyDescent="0.25">
      <c r="B661" s="36" t="s">
        <v>155</v>
      </c>
      <c r="C661" s="87" t="s">
        <v>1543</v>
      </c>
      <c r="D661" s="38">
        <v>45981</v>
      </c>
      <c r="E661" s="32" t="s">
        <v>157</v>
      </c>
      <c r="F661" s="40" t="s">
        <v>1523</v>
      </c>
      <c r="G661" s="41">
        <v>925</v>
      </c>
      <c r="H661" s="41"/>
      <c r="I661" s="41">
        <f t="shared" si="60"/>
        <v>925</v>
      </c>
      <c r="J661" s="41">
        <f t="shared" si="61"/>
        <v>46.25</v>
      </c>
      <c r="K661" s="41">
        <f t="shared" si="62"/>
        <v>971.25</v>
      </c>
      <c r="L661" s="85" t="s">
        <v>11</v>
      </c>
    </row>
    <row r="662" spans="2:12" x14ac:dyDescent="0.25">
      <c r="B662" s="36" t="s">
        <v>155</v>
      </c>
      <c r="C662" s="87" t="s">
        <v>1544</v>
      </c>
      <c r="D662" s="38">
        <v>45981</v>
      </c>
      <c r="E662" s="32" t="s">
        <v>157</v>
      </c>
      <c r="F662" s="40" t="s">
        <v>1551</v>
      </c>
      <c r="G662" s="41">
        <v>85</v>
      </c>
      <c r="H662" s="41"/>
      <c r="I662" s="41">
        <f t="shared" si="60"/>
        <v>85</v>
      </c>
      <c r="J662" s="41">
        <f t="shared" si="61"/>
        <v>4.25</v>
      </c>
      <c r="K662" s="41">
        <f t="shared" si="62"/>
        <v>89.25</v>
      </c>
      <c r="L662" s="85" t="s">
        <v>11</v>
      </c>
    </row>
    <row r="663" spans="2:12" x14ac:dyDescent="0.25">
      <c r="B663" s="36" t="s">
        <v>68</v>
      </c>
      <c r="C663" s="87" t="s">
        <v>1545</v>
      </c>
      <c r="D663" s="38">
        <v>45981</v>
      </c>
      <c r="E663" s="32" t="s">
        <v>78</v>
      </c>
      <c r="F663" s="40" t="s">
        <v>259</v>
      </c>
      <c r="G663" s="41">
        <v>1800</v>
      </c>
      <c r="H663" s="41"/>
      <c r="I663" s="41">
        <f t="shared" si="60"/>
        <v>1800</v>
      </c>
      <c r="J663" s="41">
        <f t="shared" si="61"/>
        <v>90</v>
      </c>
      <c r="K663" s="41">
        <f t="shared" si="62"/>
        <v>1890</v>
      </c>
      <c r="L663" s="85" t="s">
        <v>11</v>
      </c>
    </row>
    <row r="664" spans="2:12" x14ac:dyDescent="0.25">
      <c r="B664" s="36" t="s">
        <v>46</v>
      </c>
      <c r="C664" s="87" t="s">
        <v>1552</v>
      </c>
      <c r="D664" s="38">
        <v>45985</v>
      </c>
      <c r="E664" s="32"/>
      <c r="F664" s="40" t="s">
        <v>1565</v>
      </c>
      <c r="G664" s="41">
        <v>353</v>
      </c>
      <c r="H664" s="41"/>
      <c r="I664" s="41">
        <f t="shared" si="60"/>
        <v>353</v>
      </c>
      <c r="J664" s="41">
        <f t="shared" si="61"/>
        <v>17.650000000000002</v>
      </c>
      <c r="K664" s="41">
        <f t="shared" si="62"/>
        <v>370.65</v>
      </c>
      <c r="L664" s="42" t="s">
        <v>49</v>
      </c>
    </row>
    <row r="665" spans="2:12" x14ac:dyDescent="0.25">
      <c r="B665" s="36" t="s">
        <v>818</v>
      </c>
      <c r="C665" s="87" t="s">
        <v>1553</v>
      </c>
      <c r="D665" s="38">
        <v>45983</v>
      </c>
      <c r="E665" s="32" t="s">
        <v>820</v>
      </c>
      <c r="F665" s="40" t="s">
        <v>520</v>
      </c>
      <c r="G665" s="41">
        <v>610</v>
      </c>
      <c r="H665" s="41"/>
      <c r="I665" s="41">
        <f t="shared" ref="I665:I686" si="63">G665-H665</f>
        <v>610</v>
      </c>
      <c r="J665" s="41">
        <f t="shared" ref="J665:J686" si="64">G665*5%</f>
        <v>30.5</v>
      </c>
      <c r="K665" s="41">
        <f t="shared" ref="K665:K686" si="65">G665+J665</f>
        <v>640.5</v>
      </c>
      <c r="L665" s="42" t="s">
        <v>49</v>
      </c>
    </row>
    <row r="666" spans="2:12" x14ac:dyDescent="0.25">
      <c r="B666" s="36" t="s">
        <v>96</v>
      </c>
      <c r="C666" s="87" t="s">
        <v>1554</v>
      </c>
      <c r="D666" s="38">
        <v>45985</v>
      </c>
      <c r="E666" s="32" t="s">
        <v>97</v>
      </c>
      <c r="F666" s="40" t="s">
        <v>1566</v>
      </c>
      <c r="G666" s="41">
        <v>185</v>
      </c>
      <c r="H666" s="41"/>
      <c r="I666" s="41">
        <f t="shared" si="63"/>
        <v>185</v>
      </c>
      <c r="J666" s="41">
        <f t="shared" si="64"/>
        <v>9.25</v>
      </c>
      <c r="K666" s="41">
        <f t="shared" si="65"/>
        <v>194.25</v>
      </c>
      <c r="L666" s="42" t="s">
        <v>11</v>
      </c>
    </row>
    <row r="667" spans="2:12" x14ac:dyDescent="0.25">
      <c r="B667" s="36" t="s">
        <v>411</v>
      </c>
      <c r="C667" s="87" t="s">
        <v>1555</v>
      </c>
      <c r="D667" s="38">
        <v>45986</v>
      </c>
      <c r="E667" s="32" t="s">
        <v>118</v>
      </c>
      <c r="F667" s="40" t="s">
        <v>1567</v>
      </c>
      <c r="G667" s="41">
        <v>285</v>
      </c>
      <c r="H667" s="41"/>
      <c r="I667" s="41">
        <f t="shared" si="63"/>
        <v>285</v>
      </c>
      <c r="J667" s="41">
        <f t="shared" si="64"/>
        <v>14.25</v>
      </c>
      <c r="K667" s="41">
        <f t="shared" si="65"/>
        <v>299.25</v>
      </c>
      <c r="L667" s="42" t="s">
        <v>11</v>
      </c>
    </row>
    <row r="668" spans="2:12" x14ac:dyDescent="0.25">
      <c r="B668" s="36" t="s">
        <v>1290</v>
      </c>
      <c r="C668" s="87" t="s">
        <v>1556</v>
      </c>
      <c r="D668" s="38">
        <v>45986</v>
      </c>
      <c r="E668" s="32" t="s">
        <v>1291</v>
      </c>
      <c r="F668" s="40" t="s">
        <v>1568</v>
      </c>
      <c r="G668" s="41">
        <v>465</v>
      </c>
      <c r="H668" s="41"/>
      <c r="I668" s="41">
        <f t="shared" si="63"/>
        <v>465</v>
      </c>
      <c r="J668" s="41">
        <f t="shared" si="64"/>
        <v>23.25</v>
      </c>
      <c r="K668" s="41">
        <f t="shared" si="65"/>
        <v>488.25</v>
      </c>
      <c r="L668" s="42" t="s">
        <v>11</v>
      </c>
    </row>
    <row r="669" spans="2:12" x14ac:dyDescent="0.25">
      <c r="B669" s="36" t="s">
        <v>155</v>
      </c>
      <c r="C669" s="87" t="s">
        <v>1557</v>
      </c>
      <c r="D669" s="38">
        <v>45986</v>
      </c>
      <c r="E669" s="32" t="s">
        <v>157</v>
      </c>
      <c r="F669" s="40" t="s">
        <v>1569</v>
      </c>
      <c r="G669" s="41">
        <v>110</v>
      </c>
      <c r="H669" s="41"/>
      <c r="I669" s="41">
        <f t="shared" si="63"/>
        <v>110</v>
      </c>
      <c r="J669" s="41">
        <f t="shared" si="64"/>
        <v>5.5</v>
      </c>
      <c r="K669" s="41">
        <f t="shared" si="65"/>
        <v>115.5</v>
      </c>
      <c r="L669" s="42" t="s">
        <v>11</v>
      </c>
    </row>
    <row r="670" spans="2:12" x14ac:dyDescent="0.25">
      <c r="B670" s="36" t="s">
        <v>155</v>
      </c>
      <c r="C670" s="87" t="s">
        <v>1558</v>
      </c>
      <c r="D670" s="38">
        <v>45986</v>
      </c>
      <c r="E670" s="32" t="s">
        <v>157</v>
      </c>
      <c r="F670" s="40" t="s">
        <v>1570</v>
      </c>
      <c r="G670" s="41">
        <v>300</v>
      </c>
      <c r="H670" s="41"/>
      <c r="I670" s="41">
        <f t="shared" si="63"/>
        <v>300</v>
      </c>
      <c r="J670" s="41">
        <f t="shared" si="64"/>
        <v>15</v>
      </c>
      <c r="K670" s="41">
        <f t="shared" si="65"/>
        <v>315</v>
      </c>
      <c r="L670" s="42" t="s">
        <v>11</v>
      </c>
    </row>
    <row r="671" spans="2:12" x14ac:dyDescent="0.25">
      <c r="B671" s="36" t="s">
        <v>148</v>
      </c>
      <c r="C671" s="87" t="s">
        <v>1559</v>
      </c>
      <c r="D671" s="38">
        <v>45986</v>
      </c>
      <c r="E671" s="32" t="s">
        <v>150</v>
      </c>
      <c r="F671" s="40" t="s">
        <v>1571</v>
      </c>
      <c r="G671" s="41">
        <v>235</v>
      </c>
      <c r="H671" s="41"/>
      <c r="I671" s="41">
        <f t="shared" si="63"/>
        <v>235</v>
      </c>
      <c r="J671" s="41">
        <f t="shared" si="64"/>
        <v>11.75</v>
      </c>
      <c r="K671" s="41">
        <f t="shared" si="65"/>
        <v>246.75</v>
      </c>
      <c r="L671" s="42" t="s">
        <v>11</v>
      </c>
    </row>
    <row r="672" spans="2:12" x14ac:dyDescent="0.25">
      <c r="B672" s="36" t="s">
        <v>1536</v>
      </c>
      <c r="C672" s="87" t="s">
        <v>1560</v>
      </c>
      <c r="D672" s="38">
        <v>45986</v>
      </c>
      <c r="E672" s="32" t="s">
        <v>1535</v>
      </c>
      <c r="F672" s="40" t="s">
        <v>1572</v>
      </c>
      <c r="G672" s="41">
        <v>17566</v>
      </c>
      <c r="H672" s="41"/>
      <c r="I672" s="41">
        <f t="shared" si="63"/>
        <v>17566</v>
      </c>
      <c r="J672" s="41">
        <f t="shared" si="64"/>
        <v>878.30000000000007</v>
      </c>
      <c r="K672" s="41">
        <f t="shared" si="65"/>
        <v>18444.3</v>
      </c>
      <c r="L672" s="42" t="s">
        <v>11</v>
      </c>
    </row>
    <row r="673" spans="2:12" x14ac:dyDescent="0.25">
      <c r="B673" s="36" t="s">
        <v>1536</v>
      </c>
      <c r="C673" s="87" t="s">
        <v>1561</v>
      </c>
      <c r="D673" s="38">
        <v>45986</v>
      </c>
      <c r="E673" s="32" t="s">
        <v>1535</v>
      </c>
      <c r="F673" s="40" t="s">
        <v>1573</v>
      </c>
      <c r="G673" s="41">
        <v>7119.25</v>
      </c>
      <c r="H673" s="41"/>
      <c r="I673" s="41">
        <f t="shared" si="63"/>
        <v>7119.25</v>
      </c>
      <c r="J673" s="41">
        <f t="shared" si="64"/>
        <v>355.96250000000003</v>
      </c>
      <c r="K673" s="41">
        <f t="shared" si="65"/>
        <v>7475.2124999999996</v>
      </c>
      <c r="L673" s="42" t="s">
        <v>11</v>
      </c>
    </row>
    <row r="674" spans="2:12" x14ac:dyDescent="0.25">
      <c r="B674" s="36" t="s">
        <v>12</v>
      </c>
      <c r="C674" s="87" t="s">
        <v>1562</v>
      </c>
      <c r="D674" s="38">
        <v>45987</v>
      </c>
      <c r="E674" s="32" t="s">
        <v>13</v>
      </c>
      <c r="F674" s="40" t="s">
        <v>1574</v>
      </c>
      <c r="G674" s="41">
        <v>250</v>
      </c>
      <c r="H674" s="41"/>
      <c r="I674" s="41">
        <f t="shared" si="63"/>
        <v>250</v>
      </c>
      <c r="J674" s="41">
        <f t="shared" si="64"/>
        <v>12.5</v>
      </c>
      <c r="K674" s="41">
        <f t="shared" si="65"/>
        <v>262.5</v>
      </c>
      <c r="L674" s="42" t="s">
        <v>11</v>
      </c>
    </row>
    <row r="675" spans="2:12" x14ac:dyDescent="0.25">
      <c r="B675" s="36" t="s">
        <v>1576</v>
      </c>
      <c r="C675" s="87" t="s">
        <v>1563</v>
      </c>
      <c r="D675" s="38">
        <v>45999</v>
      </c>
      <c r="E675" s="32" t="s">
        <v>1575</v>
      </c>
      <c r="F675" s="40" t="s">
        <v>1614</v>
      </c>
      <c r="G675" s="41">
        <v>4930</v>
      </c>
      <c r="H675" s="41"/>
      <c r="I675" s="41">
        <f t="shared" si="63"/>
        <v>4930</v>
      </c>
      <c r="J675" s="41">
        <f t="shared" si="64"/>
        <v>246.5</v>
      </c>
      <c r="K675" s="41">
        <f t="shared" si="65"/>
        <v>5176.5</v>
      </c>
      <c r="L675" s="42" t="s">
        <v>90</v>
      </c>
    </row>
    <row r="676" spans="2:12" x14ac:dyDescent="0.25">
      <c r="B676" s="36" t="s">
        <v>1577</v>
      </c>
      <c r="C676" s="87" t="s">
        <v>1564</v>
      </c>
      <c r="D676" s="38">
        <v>45988</v>
      </c>
      <c r="E676" s="32" t="s">
        <v>1578</v>
      </c>
      <c r="F676" s="40" t="s">
        <v>676</v>
      </c>
      <c r="G676" s="41">
        <v>2510</v>
      </c>
      <c r="H676" s="41"/>
      <c r="I676" s="41">
        <f t="shared" si="63"/>
        <v>2510</v>
      </c>
      <c r="J676" s="41">
        <f t="shared" si="64"/>
        <v>125.5</v>
      </c>
      <c r="K676" s="41">
        <f t="shared" si="65"/>
        <v>2635.5</v>
      </c>
      <c r="L676" s="42" t="s">
        <v>11</v>
      </c>
    </row>
    <row r="677" spans="2:12" x14ac:dyDescent="0.25">
      <c r="B677" s="36" t="s">
        <v>155</v>
      </c>
      <c r="C677" s="87" t="s">
        <v>1579</v>
      </c>
      <c r="D677" s="38">
        <v>45988</v>
      </c>
      <c r="E677" s="32" t="s">
        <v>157</v>
      </c>
      <c r="F677" s="40" t="s">
        <v>1587</v>
      </c>
      <c r="G677" s="41">
        <v>160</v>
      </c>
      <c r="H677" s="41"/>
      <c r="I677" s="41">
        <f t="shared" si="63"/>
        <v>160</v>
      </c>
      <c r="J677" s="41">
        <f t="shared" si="64"/>
        <v>8</v>
      </c>
      <c r="K677" s="41">
        <f t="shared" si="65"/>
        <v>168</v>
      </c>
      <c r="L677" s="42" t="s">
        <v>11</v>
      </c>
    </row>
    <row r="678" spans="2:12" x14ac:dyDescent="0.25">
      <c r="B678" s="36" t="s">
        <v>1606</v>
      </c>
      <c r="C678" s="87" t="s">
        <v>1594</v>
      </c>
      <c r="D678" s="38">
        <v>45990</v>
      </c>
      <c r="E678" s="32"/>
      <c r="F678" s="40" t="s">
        <v>1605</v>
      </c>
      <c r="G678" s="41">
        <v>100</v>
      </c>
      <c r="H678" s="41"/>
      <c r="I678" s="41">
        <f t="shared" si="63"/>
        <v>100</v>
      </c>
      <c r="J678" s="41">
        <f t="shared" si="64"/>
        <v>5</v>
      </c>
      <c r="K678" s="41">
        <f t="shared" si="65"/>
        <v>105</v>
      </c>
      <c r="L678" s="42" t="s">
        <v>11</v>
      </c>
    </row>
    <row r="679" spans="2:12" x14ac:dyDescent="0.25">
      <c r="B679" s="36" t="s">
        <v>155</v>
      </c>
      <c r="C679" s="87" t="s">
        <v>1580</v>
      </c>
      <c r="D679" s="38">
        <v>45988</v>
      </c>
      <c r="E679" s="32" t="s">
        <v>157</v>
      </c>
      <c r="F679" s="40" t="s">
        <v>1588</v>
      </c>
      <c r="G679" s="41">
        <v>480</v>
      </c>
      <c r="H679" s="41"/>
      <c r="I679" s="41">
        <f t="shared" si="63"/>
        <v>480</v>
      </c>
      <c r="J679" s="41">
        <f t="shared" si="64"/>
        <v>24</v>
      </c>
      <c r="K679" s="41">
        <f t="shared" si="65"/>
        <v>504</v>
      </c>
      <c r="L679" s="42" t="s">
        <v>11</v>
      </c>
    </row>
    <row r="680" spans="2:12" x14ac:dyDescent="0.25">
      <c r="B680" s="36" t="s">
        <v>155</v>
      </c>
      <c r="C680" s="87" t="s">
        <v>1581</v>
      </c>
      <c r="D680" s="38">
        <v>45988</v>
      </c>
      <c r="E680" s="32" t="s">
        <v>157</v>
      </c>
      <c r="F680" s="40" t="s">
        <v>1589</v>
      </c>
      <c r="G680" s="41">
        <v>300</v>
      </c>
      <c r="H680" s="41"/>
      <c r="I680" s="41">
        <f t="shared" si="63"/>
        <v>300</v>
      </c>
      <c r="J680" s="41">
        <f t="shared" si="64"/>
        <v>15</v>
      </c>
      <c r="K680" s="41">
        <f t="shared" si="65"/>
        <v>315</v>
      </c>
      <c r="L680" s="42" t="s">
        <v>11</v>
      </c>
    </row>
    <row r="681" spans="2:12" x14ac:dyDescent="0.25">
      <c r="B681" s="36" t="s">
        <v>155</v>
      </c>
      <c r="C681" s="87" t="s">
        <v>1582</v>
      </c>
      <c r="D681" s="38">
        <v>45988</v>
      </c>
      <c r="E681" s="32" t="s">
        <v>157</v>
      </c>
      <c r="F681" s="40" t="s">
        <v>1590</v>
      </c>
      <c r="G681" s="41">
        <v>235</v>
      </c>
      <c r="H681" s="41"/>
      <c r="I681" s="41">
        <f t="shared" si="63"/>
        <v>235</v>
      </c>
      <c r="J681" s="41">
        <f t="shared" si="64"/>
        <v>11.75</v>
      </c>
      <c r="K681" s="41">
        <f t="shared" si="65"/>
        <v>246.75</v>
      </c>
      <c r="L681" s="42" t="s">
        <v>11</v>
      </c>
    </row>
    <row r="682" spans="2:12" x14ac:dyDescent="0.25">
      <c r="B682" s="36" t="s">
        <v>58</v>
      </c>
      <c r="C682" s="87" t="s">
        <v>1583</v>
      </c>
      <c r="D682" s="38">
        <v>45989</v>
      </c>
      <c r="E682" s="32" t="s">
        <v>1535</v>
      </c>
      <c r="F682" s="40" t="s">
        <v>1591</v>
      </c>
      <c r="G682" s="41">
        <v>475</v>
      </c>
      <c r="H682" s="41"/>
      <c r="I682" s="41">
        <f t="shared" si="63"/>
        <v>475</v>
      </c>
      <c r="J682" s="41">
        <f t="shared" si="64"/>
        <v>23.75</v>
      </c>
      <c r="K682" s="41">
        <f t="shared" si="65"/>
        <v>498.75</v>
      </c>
      <c r="L682" s="42" t="s">
        <v>11</v>
      </c>
    </row>
    <row r="683" spans="2:12" x14ac:dyDescent="0.25">
      <c r="B683" s="36" t="s">
        <v>46</v>
      </c>
      <c r="C683" s="87" t="s">
        <v>1584</v>
      </c>
      <c r="D683" s="38">
        <v>45990</v>
      </c>
      <c r="E683" s="32"/>
      <c r="F683" s="40" t="s">
        <v>1592</v>
      </c>
      <c r="G683" s="41">
        <v>205.5</v>
      </c>
      <c r="H683" s="41"/>
      <c r="I683" s="41">
        <f t="shared" si="63"/>
        <v>205.5</v>
      </c>
      <c r="J683" s="41">
        <f t="shared" si="64"/>
        <v>10.275</v>
      </c>
      <c r="K683" s="41">
        <f t="shared" si="65"/>
        <v>215.77500000000001</v>
      </c>
      <c r="L683" s="42" t="s">
        <v>49</v>
      </c>
    </row>
    <row r="684" spans="2:12" x14ac:dyDescent="0.25">
      <c r="B684" s="36" t="s">
        <v>240</v>
      </c>
      <c r="C684" s="87" t="s">
        <v>1585</v>
      </c>
      <c r="D684" s="38">
        <v>45990</v>
      </c>
      <c r="E684" s="32" t="s">
        <v>243</v>
      </c>
      <c r="F684" s="40" t="s">
        <v>1593</v>
      </c>
      <c r="G684" s="41">
        <v>45</v>
      </c>
      <c r="H684" s="41"/>
      <c r="I684" s="41">
        <f t="shared" si="63"/>
        <v>45</v>
      </c>
      <c r="J684" s="41">
        <f t="shared" si="64"/>
        <v>2.25</v>
      </c>
      <c r="K684" s="41">
        <f t="shared" si="65"/>
        <v>47.25</v>
      </c>
      <c r="L684" s="42" t="s">
        <v>11</v>
      </c>
    </row>
    <row r="685" spans="2:12" x14ac:dyDescent="0.25">
      <c r="B685" s="36" t="s">
        <v>242</v>
      </c>
      <c r="C685" s="87" t="s">
        <v>1586</v>
      </c>
      <c r="D685" s="38">
        <v>45990</v>
      </c>
      <c r="E685" s="32" t="s">
        <v>243</v>
      </c>
      <c r="F685" s="40" t="s">
        <v>1593</v>
      </c>
      <c r="G685" s="41">
        <v>255</v>
      </c>
      <c r="H685" s="41"/>
      <c r="I685" s="41">
        <f t="shared" si="63"/>
        <v>255</v>
      </c>
      <c r="J685" s="41">
        <f t="shared" si="64"/>
        <v>12.75</v>
      </c>
      <c r="K685" s="41">
        <f t="shared" si="65"/>
        <v>267.75</v>
      </c>
      <c r="L685" s="42" t="s">
        <v>11</v>
      </c>
    </row>
    <row r="686" spans="2:12" x14ac:dyDescent="0.25">
      <c r="B686" s="36" t="s">
        <v>310</v>
      </c>
      <c r="C686" s="87" t="s">
        <v>1595</v>
      </c>
      <c r="D686" s="38">
        <v>45994</v>
      </c>
      <c r="E686" s="32" t="s">
        <v>157</v>
      </c>
      <c r="F686" s="40" t="s">
        <v>1607</v>
      </c>
      <c r="G686" s="41">
        <v>160</v>
      </c>
      <c r="H686" s="41"/>
      <c r="I686" s="41">
        <f t="shared" si="63"/>
        <v>160</v>
      </c>
      <c r="J686" s="41">
        <f t="shared" si="64"/>
        <v>8</v>
      </c>
      <c r="K686" s="41">
        <f t="shared" si="65"/>
        <v>168</v>
      </c>
      <c r="L686" s="42" t="s">
        <v>11</v>
      </c>
    </row>
    <row r="687" spans="2:12" x14ac:dyDescent="0.25">
      <c r="B687" s="36" t="s">
        <v>310</v>
      </c>
      <c r="C687" s="87" t="s">
        <v>1596</v>
      </c>
      <c r="D687" s="38">
        <v>45994</v>
      </c>
      <c r="E687" s="32" t="s">
        <v>157</v>
      </c>
      <c r="F687" s="40" t="s">
        <v>1608</v>
      </c>
      <c r="G687" s="41">
        <v>160</v>
      </c>
      <c r="H687" s="41"/>
      <c r="I687" s="41">
        <f t="shared" ref="I687" si="66">G687-H687</f>
        <v>160</v>
      </c>
      <c r="J687" s="41">
        <f t="shared" ref="J687" si="67">G687*5%</f>
        <v>8</v>
      </c>
      <c r="K687" s="41">
        <f t="shared" ref="K687" si="68">G687+J687</f>
        <v>168</v>
      </c>
      <c r="L687" s="42" t="s">
        <v>11</v>
      </c>
    </row>
    <row r="688" spans="2:12" x14ac:dyDescent="0.25">
      <c r="B688" s="36" t="s">
        <v>310</v>
      </c>
      <c r="C688" s="87" t="s">
        <v>1597</v>
      </c>
      <c r="D688" s="38">
        <v>45994</v>
      </c>
      <c r="E688" s="32" t="s">
        <v>157</v>
      </c>
      <c r="F688" s="40" t="s">
        <v>1609</v>
      </c>
      <c r="G688" s="41">
        <v>110</v>
      </c>
      <c r="H688" s="41"/>
      <c r="I688" s="41">
        <f t="shared" ref="I688:I706" si="69">G688-H688</f>
        <v>110</v>
      </c>
      <c r="J688" s="41">
        <f t="shared" ref="J688:J706" si="70">G688*5%</f>
        <v>5.5</v>
      </c>
      <c r="K688" s="41">
        <f t="shared" ref="K688:K706" si="71">G688+J688</f>
        <v>115.5</v>
      </c>
      <c r="L688" s="42" t="s">
        <v>11</v>
      </c>
    </row>
    <row r="689" spans="2:12" x14ac:dyDescent="0.25">
      <c r="B689" s="36" t="s">
        <v>155</v>
      </c>
      <c r="C689" s="87" t="s">
        <v>1598</v>
      </c>
      <c r="D689" s="38">
        <v>45994</v>
      </c>
      <c r="E689" s="32" t="s">
        <v>157</v>
      </c>
      <c r="F689" s="40" t="s">
        <v>1610</v>
      </c>
      <c r="G689" s="41">
        <v>160</v>
      </c>
      <c r="H689" s="41"/>
      <c r="I689" s="41">
        <f t="shared" si="69"/>
        <v>160</v>
      </c>
      <c r="J689" s="41">
        <f t="shared" si="70"/>
        <v>8</v>
      </c>
      <c r="K689" s="41">
        <f t="shared" si="71"/>
        <v>168</v>
      </c>
      <c r="L689" s="42" t="s">
        <v>11</v>
      </c>
    </row>
    <row r="690" spans="2:12" x14ac:dyDescent="0.25">
      <c r="B690" s="36" t="s">
        <v>155</v>
      </c>
      <c r="C690" s="87" t="s">
        <v>1599</v>
      </c>
      <c r="D690" s="38">
        <v>45994</v>
      </c>
      <c r="E690" s="32" t="s">
        <v>157</v>
      </c>
      <c r="F690" s="40" t="s">
        <v>1611</v>
      </c>
      <c r="G690" s="41">
        <v>160</v>
      </c>
      <c r="H690" s="41"/>
      <c r="I690" s="41">
        <f t="shared" ref="I690" si="72">G690-H690</f>
        <v>160</v>
      </c>
      <c r="J690" s="41">
        <f t="shared" ref="J690" si="73">G690*5%</f>
        <v>8</v>
      </c>
      <c r="K690" s="41">
        <f t="shared" ref="K690" si="74">G690+J690</f>
        <v>168</v>
      </c>
      <c r="L690" s="42" t="s">
        <v>11</v>
      </c>
    </row>
    <row r="691" spans="2:12" x14ac:dyDescent="0.25">
      <c r="B691" s="36" t="s">
        <v>155</v>
      </c>
      <c r="C691" s="87" t="s">
        <v>1600</v>
      </c>
      <c r="D691" s="38">
        <v>46002</v>
      </c>
      <c r="E691" s="32" t="s">
        <v>157</v>
      </c>
      <c r="F691" s="40" t="s">
        <v>1671</v>
      </c>
      <c r="G691" s="41">
        <v>480</v>
      </c>
      <c r="H691" s="41"/>
      <c r="I691" s="41">
        <f t="shared" ref="I691" si="75">G691-H691</f>
        <v>480</v>
      </c>
      <c r="J691" s="41">
        <f t="shared" ref="J691" si="76">G691*5%</f>
        <v>24</v>
      </c>
      <c r="K691" s="41">
        <f t="shared" ref="K691" si="77">G691+J691</f>
        <v>504</v>
      </c>
      <c r="L691" s="42" t="s">
        <v>11</v>
      </c>
    </row>
    <row r="692" spans="2:12" x14ac:dyDescent="0.25">
      <c r="B692" s="36" t="s">
        <v>155</v>
      </c>
      <c r="C692" s="87" t="s">
        <v>1601</v>
      </c>
      <c r="D692" s="38">
        <v>45994</v>
      </c>
      <c r="E692" s="32" t="s">
        <v>157</v>
      </c>
      <c r="F692" s="40" t="s">
        <v>1612</v>
      </c>
      <c r="G692" s="41">
        <v>175</v>
      </c>
      <c r="H692" s="41"/>
      <c r="I692" s="41">
        <f t="shared" si="69"/>
        <v>175</v>
      </c>
      <c r="J692" s="41">
        <f t="shared" si="70"/>
        <v>8.75</v>
      </c>
      <c r="K692" s="41">
        <f t="shared" si="71"/>
        <v>183.75</v>
      </c>
      <c r="L692" s="42" t="s">
        <v>11</v>
      </c>
    </row>
    <row r="693" spans="2:12" x14ac:dyDescent="0.25">
      <c r="B693" s="36" t="s">
        <v>247</v>
      </c>
      <c r="C693" s="87" t="s">
        <v>1602</v>
      </c>
      <c r="D693" s="38">
        <v>45996</v>
      </c>
      <c r="E693" s="32" t="s">
        <v>248</v>
      </c>
      <c r="F693" s="40" t="s">
        <v>392</v>
      </c>
      <c r="G693" s="41">
        <v>470</v>
      </c>
      <c r="H693" s="41"/>
      <c r="I693" s="41">
        <f t="shared" si="69"/>
        <v>470</v>
      </c>
      <c r="J693" s="41">
        <f t="shared" si="70"/>
        <v>23.5</v>
      </c>
      <c r="K693" s="41">
        <f t="shared" si="71"/>
        <v>493.5</v>
      </c>
      <c r="L693" s="42" t="s">
        <v>11</v>
      </c>
    </row>
    <row r="694" spans="2:12" x14ac:dyDescent="0.25">
      <c r="B694" s="36" t="s">
        <v>247</v>
      </c>
      <c r="C694" s="87" t="s">
        <v>1603</v>
      </c>
      <c r="D694" s="38">
        <v>45996</v>
      </c>
      <c r="E694" s="32" t="s">
        <v>248</v>
      </c>
      <c r="F694" s="40" t="s">
        <v>534</v>
      </c>
      <c r="G694" s="41">
        <v>1250</v>
      </c>
      <c r="H694" s="41"/>
      <c r="I694" s="41">
        <f t="shared" si="69"/>
        <v>1250</v>
      </c>
      <c r="J694" s="41">
        <f t="shared" si="70"/>
        <v>62.5</v>
      </c>
      <c r="K694" s="41">
        <f t="shared" si="71"/>
        <v>1312.5</v>
      </c>
      <c r="L694" s="42" t="s">
        <v>11</v>
      </c>
    </row>
    <row r="695" spans="2:12" x14ac:dyDescent="0.25">
      <c r="B695" s="36" t="s">
        <v>645</v>
      </c>
      <c r="C695" s="87" t="s">
        <v>1604</v>
      </c>
      <c r="D695" s="38">
        <v>45990</v>
      </c>
      <c r="E695" s="32"/>
      <c r="F695" s="40" t="s">
        <v>1613</v>
      </c>
      <c r="G695" s="41">
        <v>789.75</v>
      </c>
      <c r="H695" s="41"/>
      <c r="I695" s="41">
        <f t="shared" si="69"/>
        <v>789.75</v>
      </c>
      <c r="J695" s="41">
        <f t="shared" si="70"/>
        <v>39.487500000000004</v>
      </c>
      <c r="K695" s="41">
        <f t="shared" si="71"/>
        <v>829.23749999999995</v>
      </c>
      <c r="L695" s="42" t="s">
        <v>49</v>
      </c>
    </row>
    <row r="696" spans="2:12" x14ac:dyDescent="0.25">
      <c r="B696" s="36" t="s">
        <v>1627</v>
      </c>
      <c r="C696" s="87" t="s">
        <v>1615</v>
      </c>
      <c r="D696" s="38">
        <v>45994</v>
      </c>
      <c r="E696" s="32"/>
      <c r="F696" s="40" t="s">
        <v>1628</v>
      </c>
      <c r="G696" s="41">
        <v>1680</v>
      </c>
      <c r="H696" s="41"/>
      <c r="I696" s="41">
        <f t="shared" si="69"/>
        <v>1680</v>
      </c>
      <c r="J696" s="41">
        <f t="shared" si="70"/>
        <v>84</v>
      </c>
      <c r="K696" s="41">
        <f t="shared" si="71"/>
        <v>1764</v>
      </c>
      <c r="L696" s="42" t="s">
        <v>11</v>
      </c>
    </row>
    <row r="697" spans="2:12" x14ac:dyDescent="0.25">
      <c r="B697" s="36" t="s">
        <v>985</v>
      </c>
      <c r="C697" s="87" t="s">
        <v>1616</v>
      </c>
      <c r="D697" s="38">
        <v>45994</v>
      </c>
      <c r="E697" s="32" t="s">
        <v>987</v>
      </c>
      <c r="F697" s="40" t="s">
        <v>1629</v>
      </c>
      <c r="G697" s="41">
        <v>1400</v>
      </c>
      <c r="H697" s="41"/>
      <c r="I697" s="41">
        <f t="shared" si="69"/>
        <v>1400</v>
      </c>
      <c r="J697" s="41">
        <f t="shared" si="70"/>
        <v>70</v>
      </c>
      <c r="K697" s="41">
        <f t="shared" si="71"/>
        <v>1470</v>
      </c>
      <c r="L697" s="42" t="s">
        <v>11</v>
      </c>
    </row>
    <row r="698" spans="2:12" x14ac:dyDescent="0.25">
      <c r="B698" s="36" t="s">
        <v>647</v>
      </c>
      <c r="C698" s="87" t="s">
        <v>1617</v>
      </c>
      <c r="D698" s="38">
        <v>45994</v>
      </c>
      <c r="E698" s="32"/>
      <c r="F698" s="40" t="s">
        <v>1630</v>
      </c>
      <c r="G698" s="41">
        <v>1240</v>
      </c>
      <c r="H698" s="41"/>
      <c r="I698" s="41">
        <f t="shared" si="69"/>
        <v>1240</v>
      </c>
      <c r="J698" s="41">
        <f t="shared" si="70"/>
        <v>62</v>
      </c>
      <c r="K698" s="41">
        <f t="shared" si="71"/>
        <v>1302</v>
      </c>
      <c r="L698" s="42" t="s">
        <v>11</v>
      </c>
    </row>
    <row r="699" spans="2:12" x14ac:dyDescent="0.25">
      <c r="B699" s="36" t="s">
        <v>68</v>
      </c>
      <c r="C699" s="87" t="s">
        <v>1618</v>
      </c>
      <c r="D699" s="38">
        <v>45994</v>
      </c>
      <c r="E699" s="32" t="s">
        <v>78</v>
      </c>
      <c r="F699" s="40" t="s">
        <v>1631</v>
      </c>
      <c r="G699" s="41">
        <v>405</v>
      </c>
      <c r="H699" s="41"/>
      <c r="I699" s="41">
        <f t="shared" si="69"/>
        <v>405</v>
      </c>
      <c r="J699" s="41">
        <f t="shared" si="70"/>
        <v>20.25</v>
      </c>
      <c r="K699" s="41">
        <f t="shared" si="71"/>
        <v>425.25</v>
      </c>
      <c r="L699" s="42" t="s">
        <v>11</v>
      </c>
    </row>
    <row r="700" spans="2:12" x14ac:dyDescent="0.25">
      <c r="B700" s="36" t="s">
        <v>96</v>
      </c>
      <c r="C700" s="87" t="s">
        <v>1619</v>
      </c>
      <c r="D700" s="38">
        <v>45994</v>
      </c>
      <c r="E700" s="32" t="s">
        <v>97</v>
      </c>
      <c r="F700" s="40" t="s">
        <v>145</v>
      </c>
      <c r="G700" s="41">
        <v>185</v>
      </c>
      <c r="H700" s="41"/>
      <c r="I700" s="41">
        <f t="shared" si="69"/>
        <v>185</v>
      </c>
      <c r="J700" s="41">
        <f t="shared" si="70"/>
        <v>9.25</v>
      </c>
      <c r="K700" s="41">
        <f t="shared" si="71"/>
        <v>194.25</v>
      </c>
      <c r="L700" s="42" t="s">
        <v>11</v>
      </c>
    </row>
    <row r="701" spans="2:12" x14ac:dyDescent="0.25">
      <c r="B701" s="36" t="s">
        <v>413</v>
      </c>
      <c r="C701" s="87" t="s">
        <v>1620</v>
      </c>
      <c r="D701" s="38">
        <v>45975</v>
      </c>
      <c r="E701" s="32"/>
      <c r="F701" s="40" t="s">
        <v>1632</v>
      </c>
      <c r="G701" s="41">
        <v>23900</v>
      </c>
      <c r="H701" s="41"/>
      <c r="I701" s="41">
        <f t="shared" si="69"/>
        <v>23900</v>
      </c>
      <c r="J701" s="41">
        <f t="shared" si="70"/>
        <v>1195</v>
      </c>
      <c r="K701" s="41">
        <f t="shared" si="71"/>
        <v>25095</v>
      </c>
      <c r="L701" s="42" t="s">
        <v>11</v>
      </c>
    </row>
    <row r="702" spans="2:12" x14ac:dyDescent="0.25">
      <c r="B702" s="36" t="s">
        <v>58</v>
      </c>
      <c r="C702" s="87" t="s">
        <v>1621</v>
      </c>
      <c r="D702" s="38">
        <v>45995</v>
      </c>
      <c r="E702" s="32" t="s">
        <v>1535</v>
      </c>
      <c r="F702" s="40" t="s">
        <v>1633</v>
      </c>
      <c r="G702" s="41">
        <v>102.5</v>
      </c>
      <c r="H702" s="41"/>
      <c r="I702" s="41">
        <f t="shared" si="69"/>
        <v>102.5</v>
      </c>
      <c r="J702" s="41">
        <f t="shared" si="70"/>
        <v>5.125</v>
      </c>
      <c r="K702" s="41">
        <f t="shared" si="71"/>
        <v>107.625</v>
      </c>
      <c r="L702" s="42" t="s">
        <v>11</v>
      </c>
    </row>
    <row r="703" spans="2:12" x14ac:dyDescent="0.25">
      <c r="B703" s="36" t="s">
        <v>726</v>
      </c>
      <c r="C703" s="87" t="s">
        <v>1622</v>
      </c>
      <c r="D703" s="38">
        <v>45997</v>
      </c>
      <c r="E703" s="32" t="s">
        <v>727</v>
      </c>
      <c r="F703" s="40" t="s">
        <v>1634</v>
      </c>
      <c r="G703" s="41">
        <v>1125</v>
      </c>
      <c r="H703" s="41"/>
      <c r="I703" s="41">
        <f t="shared" si="69"/>
        <v>1125</v>
      </c>
      <c r="J703" s="41">
        <f t="shared" si="70"/>
        <v>56.25</v>
      </c>
      <c r="K703" s="41">
        <f t="shared" si="71"/>
        <v>1181.25</v>
      </c>
      <c r="L703" s="42" t="s">
        <v>774</v>
      </c>
    </row>
    <row r="704" spans="2:12" x14ac:dyDescent="0.25">
      <c r="B704" s="36" t="s">
        <v>726</v>
      </c>
      <c r="C704" s="87" t="s">
        <v>1623</v>
      </c>
      <c r="D704" s="38">
        <v>45997</v>
      </c>
      <c r="E704" s="32" t="s">
        <v>727</v>
      </c>
      <c r="F704" s="40" t="s">
        <v>1635</v>
      </c>
      <c r="G704" s="41">
        <v>340</v>
      </c>
      <c r="H704" s="41"/>
      <c r="I704" s="41">
        <f t="shared" si="69"/>
        <v>340</v>
      </c>
      <c r="J704" s="41">
        <f t="shared" si="70"/>
        <v>17</v>
      </c>
      <c r="K704" s="41">
        <f t="shared" si="71"/>
        <v>357</v>
      </c>
      <c r="L704" s="42" t="s">
        <v>774</v>
      </c>
    </row>
    <row r="705" spans="2:12" x14ac:dyDescent="0.25">
      <c r="B705" s="36" t="s">
        <v>1536</v>
      </c>
      <c r="C705" s="87" t="s">
        <v>1624</v>
      </c>
      <c r="D705" s="38">
        <v>45996</v>
      </c>
      <c r="E705" s="32" t="s">
        <v>1535</v>
      </c>
      <c r="F705" s="40" t="s">
        <v>1636</v>
      </c>
      <c r="G705" s="41">
        <v>172</v>
      </c>
      <c r="H705" s="41"/>
      <c r="I705" s="41">
        <f t="shared" si="69"/>
        <v>172</v>
      </c>
      <c r="J705" s="41">
        <f t="shared" si="70"/>
        <v>8.6</v>
      </c>
      <c r="K705" s="41">
        <f t="shared" si="71"/>
        <v>180.6</v>
      </c>
      <c r="L705" s="42" t="s">
        <v>11</v>
      </c>
    </row>
    <row r="706" spans="2:12" x14ac:dyDescent="0.25">
      <c r="B706" s="36" t="s">
        <v>46</v>
      </c>
      <c r="C706" s="87" t="s">
        <v>1625</v>
      </c>
      <c r="D706" s="38">
        <v>45996</v>
      </c>
      <c r="E706" s="32"/>
      <c r="F706" s="40" t="s">
        <v>1637</v>
      </c>
      <c r="G706" s="41">
        <v>292.5</v>
      </c>
      <c r="H706" s="41"/>
      <c r="I706" s="41">
        <f t="shared" si="69"/>
        <v>292.5</v>
      </c>
      <c r="J706" s="41">
        <f t="shared" si="70"/>
        <v>14.625</v>
      </c>
      <c r="K706" s="41">
        <f t="shared" si="71"/>
        <v>307.125</v>
      </c>
      <c r="L706" s="42" t="s">
        <v>49</v>
      </c>
    </row>
    <row r="707" spans="2:12" x14ac:dyDescent="0.25">
      <c r="B707" s="36" t="s">
        <v>1489</v>
      </c>
      <c r="C707" s="87" t="s">
        <v>1626</v>
      </c>
      <c r="D707" s="38">
        <v>45999</v>
      </c>
      <c r="E707" s="32" t="s">
        <v>1490</v>
      </c>
      <c r="F707" s="40" t="s">
        <v>1638</v>
      </c>
      <c r="G707" s="41">
        <v>200</v>
      </c>
      <c r="H707" s="41"/>
      <c r="I707" s="41">
        <f t="shared" ref="I707:I756" si="78">G707-H707</f>
        <v>200</v>
      </c>
      <c r="J707" s="41">
        <f t="shared" ref="J707:J756" si="79">G707*5%</f>
        <v>10</v>
      </c>
      <c r="K707" s="41">
        <f t="shared" ref="K707:K756" si="80">G707+J707</f>
        <v>210</v>
      </c>
      <c r="L707" s="42" t="s">
        <v>11</v>
      </c>
    </row>
    <row r="708" spans="2:12" x14ac:dyDescent="0.25">
      <c r="B708" s="36" t="s">
        <v>1639</v>
      </c>
      <c r="C708" s="87" t="s">
        <v>1640</v>
      </c>
      <c r="D708" s="38">
        <v>46000</v>
      </c>
      <c r="E708" s="32"/>
      <c r="F708" s="40" t="s">
        <v>759</v>
      </c>
      <c r="G708" s="41">
        <v>234</v>
      </c>
      <c r="H708" s="41"/>
      <c r="I708" s="41">
        <f t="shared" si="78"/>
        <v>234</v>
      </c>
      <c r="J708" s="41">
        <f t="shared" si="79"/>
        <v>11.700000000000001</v>
      </c>
      <c r="K708" s="41">
        <f t="shared" si="80"/>
        <v>245.7</v>
      </c>
      <c r="L708" s="42" t="s">
        <v>774</v>
      </c>
    </row>
    <row r="709" spans="2:12" x14ac:dyDescent="0.25">
      <c r="B709" s="36" t="s">
        <v>62</v>
      </c>
      <c r="C709" s="87" t="s">
        <v>1641</v>
      </c>
      <c r="D709" s="38">
        <v>45999</v>
      </c>
      <c r="E709" s="32"/>
      <c r="F709" s="40" t="s">
        <v>1655</v>
      </c>
      <c r="G709" s="41">
        <v>2075</v>
      </c>
      <c r="H709" s="41"/>
      <c r="I709" s="41">
        <f t="shared" si="78"/>
        <v>2075</v>
      </c>
      <c r="J709" s="41">
        <f t="shared" si="79"/>
        <v>103.75</v>
      </c>
      <c r="K709" s="41">
        <f t="shared" si="80"/>
        <v>2178.75</v>
      </c>
      <c r="L709" s="42" t="s">
        <v>57</v>
      </c>
    </row>
    <row r="710" spans="2:12" x14ac:dyDescent="0.25">
      <c r="B710" s="36" t="s">
        <v>1656</v>
      </c>
      <c r="C710" s="87" t="s">
        <v>1642</v>
      </c>
      <c r="D710" s="38">
        <v>46001</v>
      </c>
      <c r="E710" s="32" t="s">
        <v>1657</v>
      </c>
      <c r="F710" s="40" t="s">
        <v>1658</v>
      </c>
      <c r="G710" s="41">
        <v>2160</v>
      </c>
      <c r="H710" s="41"/>
      <c r="I710" s="41">
        <f t="shared" si="78"/>
        <v>2160</v>
      </c>
      <c r="J710" s="41">
        <f t="shared" si="79"/>
        <v>108</v>
      </c>
      <c r="K710" s="41">
        <f t="shared" si="80"/>
        <v>2268</v>
      </c>
      <c r="L710" s="42" t="s">
        <v>11</v>
      </c>
    </row>
    <row r="711" spans="2:12" x14ac:dyDescent="0.25">
      <c r="B711" s="36" t="s">
        <v>216</v>
      </c>
      <c r="C711" s="87" t="s">
        <v>1643</v>
      </c>
      <c r="D711" s="38">
        <v>46003</v>
      </c>
      <c r="E711" s="32" t="s">
        <v>217</v>
      </c>
      <c r="F711" s="40" t="s">
        <v>1659</v>
      </c>
      <c r="G711" s="41">
        <v>3950</v>
      </c>
      <c r="H711" s="41"/>
      <c r="I711" s="41">
        <f t="shared" si="78"/>
        <v>3950</v>
      </c>
      <c r="J711" s="41">
        <f t="shared" si="79"/>
        <v>197.5</v>
      </c>
      <c r="K711" s="41">
        <f t="shared" si="80"/>
        <v>4147.5</v>
      </c>
      <c r="L711" s="42" t="s">
        <v>11</v>
      </c>
    </row>
    <row r="712" spans="2:12" x14ac:dyDescent="0.25">
      <c r="B712" s="36" t="s">
        <v>1527</v>
      </c>
      <c r="C712" s="87" t="s">
        <v>1644</v>
      </c>
      <c r="D712" s="38">
        <v>46002</v>
      </c>
      <c r="E712" s="32"/>
      <c r="F712" s="40" t="s">
        <v>1492</v>
      </c>
      <c r="G712" s="41">
        <v>3490</v>
      </c>
      <c r="H712" s="41"/>
      <c r="I712" s="41">
        <f t="shared" si="78"/>
        <v>3490</v>
      </c>
      <c r="J712" s="41">
        <f t="shared" si="79"/>
        <v>174.5</v>
      </c>
      <c r="K712" s="41">
        <f t="shared" si="80"/>
        <v>3664.5</v>
      </c>
      <c r="L712" s="42" t="s">
        <v>11</v>
      </c>
    </row>
    <row r="713" spans="2:12" x14ac:dyDescent="0.25">
      <c r="B713" s="36" t="s">
        <v>1660</v>
      </c>
      <c r="C713" s="87" t="s">
        <v>1645</v>
      </c>
      <c r="D713" s="38">
        <v>46001</v>
      </c>
      <c r="E713" s="32" t="s">
        <v>1661</v>
      </c>
      <c r="F713" s="40" t="s">
        <v>676</v>
      </c>
      <c r="G713" s="41">
        <v>1575</v>
      </c>
      <c r="H713" s="41"/>
      <c r="I713" s="41">
        <f t="shared" si="78"/>
        <v>1575</v>
      </c>
      <c r="J713" s="41">
        <f t="shared" si="79"/>
        <v>78.75</v>
      </c>
      <c r="K713" s="41">
        <f t="shared" si="80"/>
        <v>1653.75</v>
      </c>
      <c r="L713" s="42" t="s">
        <v>11</v>
      </c>
    </row>
    <row r="714" spans="2:12" x14ac:dyDescent="0.25">
      <c r="B714" s="36" t="s">
        <v>144</v>
      </c>
      <c r="C714" s="87" t="s">
        <v>1646</v>
      </c>
      <c r="D714" s="38">
        <v>46002</v>
      </c>
      <c r="E714" s="32"/>
      <c r="F714" s="40" t="s">
        <v>1662</v>
      </c>
      <c r="G714" s="41">
        <v>2505</v>
      </c>
      <c r="H714" s="41"/>
      <c r="I714" s="41">
        <f t="shared" si="78"/>
        <v>2505</v>
      </c>
      <c r="J714" s="41">
        <f t="shared" si="79"/>
        <v>125.25</v>
      </c>
      <c r="K714" s="41">
        <f t="shared" si="80"/>
        <v>2630.25</v>
      </c>
      <c r="L714" s="42" t="s">
        <v>49</v>
      </c>
    </row>
    <row r="715" spans="2:12" x14ac:dyDescent="0.25">
      <c r="B715" s="36" t="s">
        <v>12</v>
      </c>
      <c r="C715" s="87" t="s">
        <v>1647</v>
      </c>
      <c r="D715" s="38">
        <v>46002</v>
      </c>
      <c r="E715" s="32" t="s">
        <v>13</v>
      </c>
      <c r="F715" s="40" t="s">
        <v>1663</v>
      </c>
      <c r="G715" s="41">
        <v>435.75</v>
      </c>
      <c r="H715" s="41"/>
      <c r="I715" s="41">
        <f t="shared" si="78"/>
        <v>435.75</v>
      </c>
      <c r="J715" s="41">
        <f t="shared" si="79"/>
        <v>21.787500000000001</v>
      </c>
      <c r="K715" s="41">
        <f t="shared" si="80"/>
        <v>457.53750000000002</v>
      </c>
      <c r="L715" s="42" t="s">
        <v>11</v>
      </c>
    </row>
    <row r="716" spans="2:12" x14ac:dyDescent="0.25">
      <c r="B716" s="36" t="s">
        <v>155</v>
      </c>
      <c r="C716" s="87" t="s">
        <v>1648</v>
      </c>
      <c r="D716" s="38">
        <v>46002</v>
      </c>
      <c r="E716" s="32" t="s">
        <v>157</v>
      </c>
      <c r="F716" s="40" t="s">
        <v>1664</v>
      </c>
      <c r="G716" s="41">
        <v>160</v>
      </c>
      <c r="H716" s="41"/>
      <c r="I716" s="41">
        <f t="shared" si="78"/>
        <v>160</v>
      </c>
      <c r="J716" s="41">
        <f t="shared" si="79"/>
        <v>8</v>
      </c>
      <c r="K716" s="41">
        <f t="shared" si="80"/>
        <v>168</v>
      </c>
      <c r="L716" s="42" t="s">
        <v>11</v>
      </c>
    </row>
    <row r="717" spans="2:12" x14ac:dyDescent="0.25">
      <c r="B717" s="36" t="s">
        <v>155</v>
      </c>
      <c r="C717" s="87" t="s">
        <v>1649</v>
      </c>
      <c r="D717" s="38">
        <v>46002</v>
      </c>
      <c r="E717" s="32" t="s">
        <v>157</v>
      </c>
      <c r="F717" s="40" t="s">
        <v>1665</v>
      </c>
      <c r="G717" s="41">
        <v>480</v>
      </c>
      <c r="H717" s="41"/>
      <c r="I717" s="41">
        <f t="shared" si="78"/>
        <v>480</v>
      </c>
      <c r="J717" s="41">
        <f t="shared" si="79"/>
        <v>24</v>
      </c>
      <c r="K717" s="41">
        <f t="shared" si="80"/>
        <v>504</v>
      </c>
      <c r="L717" s="42" t="s">
        <v>11</v>
      </c>
    </row>
    <row r="718" spans="2:12" x14ac:dyDescent="0.25">
      <c r="B718" s="36" t="s">
        <v>68</v>
      </c>
      <c r="C718" s="87" t="s">
        <v>1650</v>
      </c>
      <c r="D718" s="38">
        <v>46002</v>
      </c>
      <c r="E718" s="32" t="s">
        <v>78</v>
      </c>
      <c r="F718" s="40" t="s">
        <v>1666</v>
      </c>
      <c r="G718" s="41">
        <v>405</v>
      </c>
      <c r="H718" s="41"/>
      <c r="I718" s="41">
        <f t="shared" si="78"/>
        <v>405</v>
      </c>
      <c r="J718" s="41">
        <f t="shared" si="79"/>
        <v>20.25</v>
      </c>
      <c r="K718" s="41">
        <f t="shared" si="80"/>
        <v>425.25</v>
      </c>
      <c r="L718" s="42" t="s">
        <v>11</v>
      </c>
    </row>
    <row r="719" spans="2:12" x14ac:dyDescent="0.25">
      <c r="B719" s="36" t="s">
        <v>68</v>
      </c>
      <c r="C719" s="87" t="s">
        <v>1651</v>
      </c>
      <c r="D719" s="38">
        <v>46002</v>
      </c>
      <c r="E719" s="32" t="s">
        <v>78</v>
      </c>
      <c r="F719" s="40" t="s">
        <v>1667</v>
      </c>
      <c r="G719" s="41">
        <v>405</v>
      </c>
      <c r="H719" s="41"/>
      <c r="I719" s="41">
        <f t="shared" ref="I719" si="81">G719-H719</f>
        <v>405</v>
      </c>
      <c r="J719" s="41">
        <f t="shared" ref="J719" si="82">G719*5%</f>
        <v>20.25</v>
      </c>
      <c r="K719" s="41">
        <f t="shared" ref="K719" si="83">G719+J719</f>
        <v>425.25</v>
      </c>
      <c r="L719" s="42" t="s">
        <v>11</v>
      </c>
    </row>
    <row r="720" spans="2:12" x14ac:dyDescent="0.25">
      <c r="B720" s="36" t="s">
        <v>1668</v>
      </c>
      <c r="C720" s="87" t="s">
        <v>1652</v>
      </c>
      <c r="D720" s="38">
        <v>46003</v>
      </c>
      <c r="E720" s="32"/>
      <c r="F720" s="40" t="s">
        <v>1669</v>
      </c>
      <c r="G720" s="41">
        <v>816</v>
      </c>
      <c r="H720" s="41"/>
      <c r="I720" s="41">
        <f t="shared" si="78"/>
        <v>816</v>
      </c>
      <c r="J720" s="41">
        <f t="shared" si="79"/>
        <v>40.800000000000004</v>
      </c>
      <c r="K720" s="41">
        <f t="shared" si="80"/>
        <v>856.8</v>
      </c>
      <c r="L720" s="42" t="s">
        <v>11</v>
      </c>
    </row>
    <row r="721" spans="2:12" x14ac:dyDescent="0.25">
      <c r="B721" s="36" t="s">
        <v>818</v>
      </c>
      <c r="C721" s="87" t="s">
        <v>1653</v>
      </c>
      <c r="D721" s="38">
        <v>46003</v>
      </c>
      <c r="E721" s="32"/>
      <c r="F721" s="40" t="s">
        <v>520</v>
      </c>
      <c r="G721" s="41">
        <v>575</v>
      </c>
      <c r="H721" s="41"/>
      <c r="I721" s="41">
        <f t="shared" si="78"/>
        <v>575</v>
      </c>
      <c r="J721" s="41">
        <f t="shared" si="79"/>
        <v>28.75</v>
      </c>
      <c r="K721" s="41">
        <f t="shared" si="80"/>
        <v>603.75</v>
      </c>
      <c r="L721" s="42" t="s">
        <v>49</v>
      </c>
    </row>
    <row r="722" spans="2:12" x14ac:dyDescent="0.25">
      <c r="B722" s="36" t="s">
        <v>1576</v>
      </c>
      <c r="C722" s="87" t="s">
        <v>1654</v>
      </c>
      <c r="D722" s="38">
        <v>46006</v>
      </c>
      <c r="E722" s="32" t="s">
        <v>1575</v>
      </c>
      <c r="F722" s="40" t="s">
        <v>1670</v>
      </c>
      <c r="G722" s="41">
        <v>1512</v>
      </c>
      <c r="H722" s="41"/>
      <c r="I722" s="41">
        <f t="shared" si="78"/>
        <v>1512</v>
      </c>
      <c r="J722" s="41">
        <f t="shared" si="79"/>
        <v>75.600000000000009</v>
      </c>
      <c r="K722" s="41">
        <f t="shared" si="80"/>
        <v>1587.6</v>
      </c>
      <c r="L722" s="42" t="s">
        <v>90</v>
      </c>
    </row>
    <row r="723" spans="2:12" x14ac:dyDescent="0.25">
      <c r="B723" s="36" t="s">
        <v>46</v>
      </c>
      <c r="C723" s="87" t="s">
        <v>1672</v>
      </c>
      <c r="D723" s="38">
        <v>46006</v>
      </c>
      <c r="E723" s="32"/>
      <c r="F723" s="40" t="s">
        <v>1677</v>
      </c>
      <c r="G723" s="41">
        <v>533.75</v>
      </c>
      <c r="H723" s="41"/>
      <c r="I723" s="41">
        <f t="shared" si="78"/>
        <v>533.75</v>
      </c>
      <c r="J723" s="41">
        <f t="shared" si="79"/>
        <v>26.6875</v>
      </c>
      <c r="K723" s="41">
        <f t="shared" si="80"/>
        <v>560.4375</v>
      </c>
      <c r="L723" s="42" t="s">
        <v>49</v>
      </c>
    </row>
    <row r="724" spans="2:12" x14ac:dyDescent="0.25">
      <c r="B724" s="36" t="s">
        <v>42</v>
      </c>
      <c r="C724" s="87" t="s">
        <v>1673</v>
      </c>
      <c r="D724" s="38">
        <v>46006</v>
      </c>
      <c r="E724" s="32" t="s">
        <v>44</v>
      </c>
      <c r="F724" s="40" t="s">
        <v>1678</v>
      </c>
      <c r="G724" s="41">
        <v>4820</v>
      </c>
      <c r="H724" s="41"/>
      <c r="I724" s="41">
        <f t="shared" si="78"/>
        <v>4820</v>
      </c>
      <c r="J724" s="41">
        <f t="shared" si="79"/>
        <v>241</v>
      </c>
      <c r="K724" s="41">
        <f t="shared" si="80"/>
        <v>5061</v>
      </c>
      <c r="L724" s="42" t="s">
        <v>49</v>
      </c>
    </row>
    <row r="725" spans="2:12" x14ac:dyDescent="0.25">
      <c r="B725" s="36" t="s">
        <v>212</v>
      </c>
      <c r="C725" s="87" t="s">
        <v>1674</v>
      </c>
      <c r="D725" s="38">
        <v>46007</v>
      </c>
      <c r="E725" s="32" t="s">
        <v>213</v>
      </c>
      <c r="F725" s="40" t="s">
        <v>257</v>
      </c>
      <c r="G725" s="41">
        <v>335</v>
      </c>
      <c r="H725" s="41"/>
      <c r="I725" s="41">
        <f t="shared" si="78"/>
        <v>335</v>
      </c>
      <c r="J725" s="41">
        <f t="shared" si="79"/>
        <v>16.75</v>
      </c>
      <c r="K725" s="41">
        <f t="shared" si="80"/>
        <v>351.75</v>
      </c>
      <c r="L725" s="42" t="s">
        <v>49</v>
      </c>
    </row>
    <row r="726" spans="2:12" x14ac:dyDescent="0.25">
      <c r="B726" s="36" t="s">
        <v>99</v>
      </c>
      <c r="C726" s="87" t="s">
        <v>1675</v>
      </c>
      <c r="D726" s="38">
        <v>46009</v>
      </c>
      <c r="E726" s="32" t="s">
        <v>101</v>
      </c>
      <c r="F726" s="40" t="s">
        <v>1679</v>
      </c>
      <c r="G726" s="41">
        <v>2600</v>
      </c>
      <c r="H726" s="41"/>
      <c r="I726" s="41">
        <f t="shared" si="78"/>
        <v>2600</v>
      </c>
      <c r="J726" s="41">
        <f t="shared" si="79"/>
        <v>130</v>
      </c>
      <c r="K726" s="41">
        <f t="shared" si="80"/>
        <v>2730</v>
      </c>
      <c r="L726" s="42" t="s">
        <v>11</v>
      </c>
    </row>
    <row r="727" spans="2:12" x14ac:dyDescent="0.25">
      <c r="B727" s="36" t="s">
        <v>544</v>
      </c>
      <c r="C727" s="87" t="s">
        <v>1676</v>
      </c>
      <c r="D727" s="38">
        <v>46009</v>
      </c>
      <c r="E727" s="32"/>
      <c r="F727" s="40" t="s">
        <v>545</v>
      </c>
      <c r="G727" s="41">
        <v>40</v>
      </c>
      <c r="H727" s="41"/>
      <c r="I727" s="41">
        <f t="shared" si="78"/>
        <v>40</v>
      </c>
      <c r="J727" s="41">
        <f t="shared" si="79"/>
        <v>2</v>
      </c>
      <c r="K727" s="41">
        <f t="shared" si="80"/>
        <v>42</v>
      </c>
      <c r="L727" s="42" t="s">
        <v>49</v>
      </c>
    </row>
    <row r="728" spans="2:12" x14ac:dyDescent="0.25">
      <c r="B728" s="36" t="s">
        <v>46</v>
      </c>
      <c r="C728" s="87" t="s">
        <v>1680</v>
      </c>
      <c r="D728" s="38">
        <v>46013</v>
      </c>
      <c r="E728" s="32"/>
      <c r="F728" s="40" t="s">
        <v>1681</v>
      </c>
      <c r="G728" s="41">
        <v>211.75</v>
      </c>
      <c r="H728" s="41"/>
      <c r="I728" s="41">
        <f t="shared" si="78"/>
        <v>211.75</v>
      </c>
      <c r="J728" s="41">
        <f t="shared" si="79"/>
        <v>10.5875</v>
      </c>
      <c r="K728" s="41">
        <f t="shared" si="80"/>
        <v>222.33750000000001</v>
      </c>
      <c r="L728" s="42" t="s">
        <v>49</v>
      </c>
    </row>
    <row r="729" spans="2:12" x14ac:dyDescent="0.25">
      <c r="B729" s="36" t="s">
        <v>155</v>
      </c>
      <c r="C729" s="87" t="s">
        <v>1682</v>
      </c>
      <c r="D729" s="38">
        <v>46013</v>
      </c>
      <c r="E729" s="32" t="s">
        <v>157</v>
      </c>
      <c r="F729" s="40" t="s">
        <v>1452</v>
      </c>
      <c r="G729" s="41">
        <v>16750</v>
      </c>
      <c r="H729" s="41"/>
      <c r="I729" s="41">
        <f t="shared" si="78"/>
        <v>16750</v>
      </c>
      <c r="J729" s="41">
        <f t="shared" si="79"/>
        <v>837.5</v>
      </c>
      <c r="K729" s="41">
        <f t="shared" si="80"/>
        <v>17587.5</v>
      </c>
      <c r="L729" s="42" t="s">
        <v>11</v>
      </c>
    </row>
    <row r="730" spans="2:12" x14ac:dyDescent="0.25">
      <c r="B730" s="36" t="s">
        <v>1186</v>
      </c>
      <c r="C730" s="87" t="s">
        <v>1683</v>
      </c>
      <c r="D730" s="38">
        <v>46014</v>
      </c>
      <c r="E730" s="32"/>
      <c r="F730" s="40" t="s">
        <v>1684</v>
      </c>
      <c r="G730" s="41">
        <v>1600</v>
      </c>
      <c r="H730" s="41"/>
      <c r="I730" s="41">
        <f t="shared" si="78"/>
        <v>1600</v>
      </c>
      <c r="J730" s="41">
        <f t="shared" si="79"/>
        <v>80</v>
      </c>
      <c r="K730" s="41">
        <f t="shared" si="80"/>
        <v>1680</v>
      </c>
      <c r="L730" s="42" t="s">
        <v>49</v>
      </c>
    </row>
    <row r="731" spans="2:12" x14ac:dyDescent="0.25">
      <c r="B731" s="36" t="s">
        <v>1701</v>
      </c>
      <c r="C731" s="87" t="s">
        <v>1685</v>
      </c>
      <c r="D731" s="38">
        <v>46015</v>
      </c>
      <c r="E731" s="32" t="s">
        <v>1702</v>
      </c>
      <c r="F731" s="40" t="s">
        <v>1703</v>
      </c>
      <c r="G731" s="41">
        <v>4962</v>
      </c>
      <c r="H731" s="41"/>
      <c r="I731" s="41">
        <f t="shared" si="78"/>
        <v>4962</v>
      </c>
      <c r="J731" s="41">
        <f t="shared" si="79"/>
        <v>248.10000000000002</v>
      </c>
      <c r="K731" s="41">
        <f t="shared" si="80"/>
        <v>5210.1000000000004</v>
      </c>
      <c r="L731" s="42" t="s">
        <v>90</v>
      </c>
    </row>
    <row r="732" spans="2:12" x14ac:dyDescent="0.25">
      <c r="B732" s="36" t="s">
        <v>293</v>
      </c>
      <c r="C732" s="87" t="s">
        <v>1686</v>
      </c>
      <c r="D732" s="38">
        <v>46017</v>
      </c>
      <c r="E732" s="32" t="s">
        <v>294</v>
      </c>
      <c r="F732" s="40" t="s">
        <v>257</v>
      </c>
      <c r="G732" s="41">
        <v>90</v>
      </c>
      <c r="H732" s="41"/>
      <c r="I732" s="41">
        <f t="shared" si="78"/>
        <v>90</v>
      </c>
      <c r="J732" s="41">
        <f t="shared" si="79"/>
        <v>4.5</v>
      </c>
      <c r="K732" s="41">
        <f t="shared" si="80"/>
        <v>94.5</v>
      </c>
      <c r="L732" s="42" t="s">
        <v>49</v>
      </c>
    </row>
    <row r="733" spans="2:12" x14ac:dyDescent="0.25">
      <c r="B733" s="36" t="s">
        <v>818</v>
      </c>
      <c r="C733" s="87" t="s">
        <v>1687</v>
      </c>
      <c r="D733" s="38">
        <v>46017</v>
      </c>
      <c r="E733" s="32" t="s">
        <v>820</v>
      </c>
      <c r="F733" s="40" t="s">
        <v>1704</v>
      </c>
      <c r="G733" s="41">
        <v>185</v>
      </c>
      <c r="H733" s="41"/>
      <c r="I733" s="41">
        <f t="shared" si="78"/>
        <v>185</v>
      </c>
      <c r="J733" s="41">
        <f t="shared" si="79"/>
        <v>9.25</v>
      </c>
      <c r="K733" s="41">
        <f t="shared" si="80"/>
        <v>194.25</v>
      </c>
      <c r="L733" s="42" t="s">
        <v>49</v>
      </c>
    </row>
    <row r="734" spans="2:12" x14ac:dyDescent="0.25">
      <c r="B734" s="36" t="s">
        <v>338</v>
      </c>
      <c r="C734" s="87" t="s">
        <v>1688</v>
      </c>
      <c r="D734" s="38">
        <v>46020</v>
      </c>
      <c r="E734" s="32" t="s">
        <v>339</v>
      </c>
      <c r="F734" s="40" t="s">
        <v>340</v>
      </c>
      <c r="G734" s="41">
        <v>4200</v>
      </c>
      <c r="H734" s="41"/>
      <c r="I734" s="41">
        <f t="shared" si="78"/>
        <v>4200</v>
      </c>
      <c r="J734" s="41">
        <f t="shared" si="79"/>
        <v>210</v>
      </c>
      <c r="K734" s="41">
        <f t="shared" si="80"/>
        <v>4410</v>
      </c>
      <c r="L734" s="42" t="s">
        <v>11</v>
      </c>
    </row>
    <row r="735" spans="2:12" x14ac:dyDescent="0.25">
      <c r="B735" s="36" t="s">
        <v>1705</v>
      </c>
      <c r="C735" s="87" t="s">
        <v>1689</v>
      </c>
      <c r="D735" s="38">
        <v>46020</v>
      </c>
      <c r="E735" s="32" t="s">
        <v>1706</v>
      </c>
      <c r="F735" s="40" t="s">
        <v>1707</v>
      </c>
      <c r="G735" s="41">
        <v>6157.5</v>
      </c>
      <c r="H735" s="41"/>
      <c r="I735" s="41">
        <f t="shared" si="78"/>
        <v>6157.5</v>
      </c>
      <c r="J735" s="41">
        <f t="shared" si="79"/>
        <v>307.875</v>
      </c>
      <c r="K735" s="41">
        <f t="shared" si="80"/>
        <v>6465.375</v>
      </c>
      <c r="L735" s="42" t="s">
        <v>11</v>
      </c>
    </row>
    <row r="736" spans="2:12" x14ac:dyDescent="0.25">
      <c r="B736" s="36" t="s">
        <v>169</v>
      </c>
      <c r="C736" s="87" t="s">
        <v>1690</v>
      </c>
      <c r="D736" s="38">
        <v>46021</v>
      </c>
      <c r="E736" s="32" t="s">
        <v>170</v>
      </c>
      <c r="F736" s="40" t="s">
        <v>171</v>
      </c>
      <c r="G736" s="41">
        <v>3975</v>
      </c>
      <c r="H736" s="41"/>
      <c r="I736" s="41">
        <f t="shared" si="78"/>
        <v>3975</v>
      </c>
      <c r="J736" s="41">
        <f t="shared" si="79"/>
        <v>198.75</v>
      </c>
      <c r="K736" s="41">
        <f t="shared" si="80"/>
        <v>4173.75</v>
      </c>
      <c r="L736" s="42" t="s">
        <v>774</v>
      </c>
    </row>
    <row r="737" spans="2:12" x14ac:dyDescent="0.25">
      <c r="B737" s="36" t="s">
        <v>1708</v>
      </c>
      <c r="C737" s="87" t="s">
        <v>1691</v>
      </c>
      <c r="D737" s="38">
        <v>46022</v>
      </c>
      <c r="E737" s="32"/>
      <c r="F737" s="40" t="s">
        <v>844</v>
      </c>
      <c r="G737" s="41">
        <v>3825</v>
      </c>
      <c r="H737" s="41"/>
      <c r="I737" s="41">
        <f t="shared" si="78"/>
        <v>3825</v>
      </c>
      <c r="J737" s="41">
        <f t="shared" si="79"/>
        <v>191.25</v>
      </c>
      <c r="K737" s="41">
        <f t="shared" si="80"/>
        <v>4016.25</v>
      </c>
      <c r="L737" s="42" t="s">
        <v>11</v>
      </c>
    </row>
    <row r="738" spans="2:12" x14ac:dyDescent="0.25">
      <c r="B738" s="36" t="s">
        <v>12</v>
      </c>
      <c r="C738" s="110" t="s">
        <v>1692</v>
      </c>
      <c r="D738" s="38">
        <v>46022</v>
      </c>
      <c r="E738" s="32" t="s">
        <v>13</v>
      </c>
      <c r="F738" s="40" t="s">
        <v>1709</v>
      </c>
      <c r="G738" s="41">
        <v>12778</v>
      </c>
      <c r="H738" s="41"/>
      <c r="I738" s="41">
        <f t="shared" si="78"/>
        <v>12778</v>
      </c>
      <c r="J738" s="41">
        <f t="shared" si="79"/>
        <v>638.90000000000009</v>
      </c>
      <c r="K738" s="41">
        <f t="shared" si="80"/>
        <v>13416.9</v>
      </c>
      <c r="L738" s="42" t="s">
        <v>11</v>
      </c>
    </row>
    <row r="739" spans="2:12" x14ac:dyDescent="0.25">
      <c r="B739" s="36" t="s">
        <v>12</v>
      </c>
      <c r="C739" s="110" t="s">
        <v>1693</v>
      </c>
      <c r="D739" s="38">
        <v>46022</v>
      </c>
      <c r="E739" s="32" t="s">
        <v>13</v>
      </c>
      <c r="F739" s="40" t="s">
        <v>1710</v>
      </c>
      <c r="G739" s="41">
        <v>325</v>
      </c>
      <c r="H739" s="41"/>
      <c r="I739" s="41">
        <f t="shared" si="78"/>
        <v>325</v>
      </c>
      <c r="J739" s="41">
        <f t="shared" si="79"/>
        <v>16.25</v>
      </c>
      <c r="K739" s="41">
        <f t="shared" si="80"/>
        <v>341.25</v>
      </c>
      <c r="L739" s="42" t="s">
        <v>11</v>
      </c>
    </row>
    <row r="740" spans="2:12" x14ac:dyDescent="0.25">
      <c r="B740" s="36" t="s">
        <v>155</v>
      </c>
      <c r="C740" s="110" t="s">
        <v>1694</v>
      </c>
      <c r="D740" s="38">
        <v>46022</v>
      </c>
      <c r="E740" s="32" t="s">
        <v>157</v>
      </c>
      <c r="F740" s="40" t="s">
        <v>1711</v>
      </c>
      <c r="G740" s="41">
        <v>160</v>
      </c>
      <c r="H740" s="41"/>
      <c r="I740" s="41">
        <f t="shared" si="78"/>
        <v>160</v>
      </c>
      <c r="J740" s="41">
        <f t="shared" si="79"/>
        <v>8</v>
      </c>
      <c r="K740" s="41">
        <f t="shared" si="80"/>
        <v>168</v>
      </c>
      <c r="L740" s="42" t="s">
        <v>11</v>
      </c>
    </row>
    <row r="741" spans="2:12" x14ac:dyDescent="0.25">
      <c r="B741" s="36" t="s">
        <v>155</v>
      </c>
      <c r="C741" s="110" t="s">
        <v>1695</v>
      </c>
      <c r="D741" s="38">
        <v>46022</v>
      </c>
      <c r="E741" s="32" t="s">
        <v>157</v>
      </c>
      <c r="F741" s="40" t="s">
        <v>1712</v>
      </c>
      <c r="G741" s="41">
        <v>160</v>
      </c>
      <c r="H741" s="41"/>
      <c r="I741" s="41">
        <f t="shared" si="78"/>
        <v>160</v>
      </c>
      <c r="J741" s="41">
        <f t="shared" si="79"/>
        <v>8</v>
      </c>
      <c r="K741" s="41">
        <f t="shared" si="80"/>
        <v>168</v>
      </c>
      <c r="L741" s="42" t="s">
        <v>11</v>
      </c>
    </row>
    <row r="742" spans="2:12" x14ac:dyDescent="0.25">
      <c r="B742" s="36" t="s">
        <v>155</v>
      </c>
      <c r="C742" s="110" t="s">
        <v>1696</v>
      </c>
      <c r="D742" s="38">
        <v>46022</v>
      </c>
      <c r="E742" s="32" t="s">
        <v>157</v>
      </c>
      <c r="F742" s="40" t="s">
        <v>1713</v>
      </c>
      <c r="G742" s="41">
        <v>160</v>
      </c>
      <c r="H742" s="41"/>
      <c r="I742" s="41">
        <f t="shared" si="78"/>
        <v>160</v>
      </c>
      <c r="J742" s="41">
        <f t="shared" si="79"/>
        <v>8</v>
      </c>
      <c r="K742" s="41">
        <f t="shared" si="80"/>
        <v>168</v>
      </c>
      <c r="L742" s="42" t="s">
        <v>11</v>
      </c>
    </row>
    <row r="743" spans="2:12" x14ac:dyDescent="0.25">
      <c r="B743" s="36" t="s">
        <v>271</v>
      </c>
      <c r="C743" s="110" t="s">
        <v>1697</v>
      </c>
      <c r="D743" s="38">
        <v>46022</v>
      </c>
      <c r="E743" s="32" t="s">
        <v>273</v>
      </c>
      <c r="F743" s="40" t="s">
        <v>309</v>
      </c>
      <c r="G743" s="41">
        <v>445</v>
      </c>
      <c r="H743" s="41"/>
      <c r="I743" s="41">
        <f t="shared" si="78"/>
        <v>445</v>
      </c>
      <c r="J743" s="41">
        <f t="shared" si="79"/>
        <v>22.25</v>
      </c>
      <c r="K743" s="41">
        <f t="shared" si="80"/>
        <v>467.25</v>
      </c>
      <c r="L743" s="42" t="s">
        <v>11</v>
      </c>
    </row>
    <row r="744" spans="2:12" x14ac:dyDescent="0.25">
      <c r="B744" s="36" t="s">
        <v>242</v>
      </c>
      <c r="C744" s="110" t="s">
        <v>1698</v>
      </c>
      <c r="D744" s="38">
        <v>46022</v>
      </c>
      <c r="E744" s="32" t="s">
        <v>243</v>
      </c>
      <c r="F744" s="40" t="s">
        <v>1714</v>
      </c>
      <c r="G744" s="41">
        <v>255</v>
      </c>
      <c r="H744" s="41"/>
      <c r="I744" s="41">
        <f t="shared" si="78"/>
        <v>255</v>
      </c>
      <c r="J744" s="41">
        <f t="shared" si="79"/>
        <v>12.75</v>
      </c>
      <c r="K744" s="41">
        <f t="shared" si="80"/>
        <v>267.75</v>
      </c>
      <c r="L744" s="42" t="s">
        <v>11</v>
      </c>
    </row>
    <row r="745" spans="2:12" x14ac:dyDescent="0.25">
      <c r="B745" s="36" t="s">
        <v>1167</v>
      </c>
      <c r="C745" s="110" t="s">
        <v>1699</v>
      </c>
      <c r="D745" s="38">
        <v>46022</v>
      </c>
      <c r="E745" s="32" t="s">
        <v>243</v>
      </c>
      <c r="F745" s="40" t="s">
        <v>1714</v>
      </c>
      <c r="G745" s="41">
        <v>45</v>
      </c>
      <c r="H745" s="41"/>
      <c r="I745" s="41">
        <f t="shared" si="78"/>
        <v>45</v>
      </c>
      <c r="J745" s="41">
        <f t="shared" si="79"/>
        <v>2.25</v>
      </c>
      <c r="K745" s="41">
        <f t="shared" si="80"/>
        <v>47.25</v>
      </c>
      <c r="L745" s="42" t="s">
        <v>11</v>
      </c>
    </row>
    <row r="746" spans="2:12" x14ac:dyDescent="0.25">
      <c r="B746" s="36" t="s">
        <v>791</v>
      </c>
      <c r="C746" s="110" t="s">
        <v>1700</v>
      </c>
      <c r="D746" s="38">
        <v>46022</v>
      </c>
      <c r="E746" s="32" t="s">
        <v>336</v>
      </c>
      <c r="F746" s="40" t="s">
        <v>1715</v>
      </c>
      <c r="G746" s="41">
        <v>7187.5</v>
      </c>
      <c r="H746" s="41"/>
      <c r="I746" s="41">
        <f t="shared" si="78"/>
        <v>7187.5</v>
      </c>
      <c r="J746" s="41">
        <f t="shared" si="79"/>
        <v>359.375</v>
      </c>
      <c r="K746" s="41">
        <f t="shared" si="80"/>
        <v>7546.875</v>
      </c>
      <c r="L746" s="42" t="s">
        <v>49</v>
      </c>
    </row>
    <row r="747" spans="2:12" x14ac:dyDescent="0.25">
      <c r="B747" s="36"/>
      <c r="C747" s="87"/>
      <c r="D747" s="38"/>
      <c r="E747" s="32"/>
      <c r="F747" s="40"/>
      <c r="G747" s="41"/>
      <c r="H747" s="41"/>
      <c r="I747" s="41">
        <f t="shared" si="78"/>
        <v>0</v>
      </c>
      <c r="J747" s="41">
        <f t="shared" si="79"/>
        <v>0</v>
      </c>
      <c r="K747" s="41">
        <f t="shared" si="80"/>
        <v>0</v>
      </c>
      <c r="L747" s="42"/>
    </row>
    <row r="748" spans="2:12" x14ac:dyDescent="0.25">
      <c r="B748" s="36"/>
      <c r="C748" s="87"/>
      <c r="D748" s="38"/>
      <c r="E748" s="32"/>
      <c r="F748" s="40"/>
      <c r="G748" s="41"/>
      <c r="H748" s="41"/>
      <c r="I748" s="41">
        <f t="shared" si="78"/>
        <v>0</v>
      </c>
      <c r="J748" s="41">
        <f t="shared" si="79"/>
        <v>0</v>
      </c>
      <c r="K748" s="41">
        <f t="shared" si="80"/>
        <v>0</v>
      </c>
      <c r="L748" s="42"/>
    </row>
    <row r="749" spans="2:12" x14ac:dyDescent="0.25">
      <c r="B749" s="36"/>
      <c r="C749" s="87"/>
      <c r="D749" s="38"/>
      <c r="E749" s="32"/>
      <c r="F749" s="40"/>
      <c r="G749" s="41"/>
      <c r="H749" s="41"/>
      <c r="I749" s="41">
        <f t="shared" si="78"/>
        <v>0</v>
      </c>
      <c r="J749" s="41">
        <f t="shared" si="79"/>
        <v>0</v>
      </c>
      <c r="K749" s="41">
        <f t="shared" si="80"/>
        <v>0</v>
      </c>
      <c r="L749" s="42"/>
    </row>
    <row r="750" spans="2:12" x14ac:dyDescent="0.25">
      <c r="B750" s="36"/>
      <c r="C750" s="87"/>
      <c r="D750" s="38"/>
      <c r="E750" s="32"/>
      <c r="F750" s="40"/>
      <c r="G750" s="41"/>
      <c r="H750" s="41"/>
      <c r="I750" s="41">
        <f t="shared" si="78"/>
        <v>0</v>
      </c>
      <c r="J750" s="41">
        <f t="shared" si="79"/>
        <v>0</v>
      </c>
      <c r="K750" s="41">
        <f t="shared" si="80"/>
        <v>0</v>
      </c>
      <c r="L750" s="42"/>
    </row>
    <row r="751" spans="2:12" x14ac:dyDescent="0.25">
      <c r="B751" s="36"/>
      <c r="C751" s="87"/>
      <c r="D751" s="38"/>
      <c r="E751" s="32"/>
      <c r="F751" s="40"/>
      <c r="G751" s="41"/>
      <c r="H751" s="41"/>
      <c r="I751" s="41">
        <f t="shared" si="78"/>
        <v>0</v>
      </c>
      <c r="J751" s="41">
        <f t="shared" si="79"/>
        <v>0</v>
      </c>
      <c r="K751" s="41">
        <f t="shared" si="80"/>
        <v>0</v>
      </c>
      <c r="L751" s="42"/>
    </row>
    <row r="752" spans="2:12" x14ac:dyDescent="0.25">
      <c r="B752" s="36"/>
      <c r="C752" s="87"/>
      <c r="D752" s="38"/>
      <c r="E752" s="32"/>
      <c r="F752" s="40"/>
      <c r="G752" s="41"/>
      <c r="H752" s="41"/>
      <c r="I752" s="41">
        <f t="shared" si="78"/>
        <v>0</v>
      </c>
      <c r="J752" s="41">
        <f t="shared" si="79"/>
        <v>0</v>
      </c>
      <c r="K752" s="41">
        <f t="shared" si="80"/>
        <v>0</v>
      </c>
      <c r="L752" s="42"/>
    </row>
    <row r="753" spans="2:12" x14ac:dyDescent="0.25">
      <c r="B753" s="36"/>
      <c r="C753" s="37"/>
      <c r="D753" s="38"/>
      <c r="E753" s="32"/>
      <c r="F753" s="40"/>
      <c r="G753" s="41"/>
      <c r="H753" s="41"/>
      <c r="I753" s="41">
        <f t="shared" si="78"/>
        <v>0</v>
      </c>
      <c r="J753" s="41">
        <f t="shared" si="79"/>
        <v>0</v>
      </c>
      <c r="K753" s="41">
        <f t="shared" si="80"/>
        <v>0</v>
      </c>
      <c r="L753" s="42"/>
    </row>
    <row r="754" spans="2:12" x14ac:dyDescent="0.25">
      <c r="B754" s="36"/>
      <c r="C754" s="37"/>
      <c r="D754" s="38"/>
      <c r="E754" s="32"/>
      <c r="F754" s="40"/>
      <c r="G754" s="41"/>
      <c r="H754" s="41"/>
      <c r="I754" s="41">
        <f t="shared" si="78"/>
        <v>0</v>
      </c>
      <c r="J754" s="41">
        <f t="shared" si="79"/>
        <v>0</v>
      </c>
      <c r="K754" s="41">
        <f t="shared" si="80"/>
        <v>0</v>
      </c>
      <c r="L754" s="42"/>
    </row>
    <row r="755" spans="2:12" x14ac:dyDescent="0.25">
      <c r="B755" s="36"/>
      <c r="C755" s="37"/>
      <c r="D755" s="38"/>
      <c r="E755" s="32"/>
      <c r="F755" s="40"/>
      <c r="G755" s="41"/>
      <c r="H755" s="41"/>
      <c r="I755" s="41">
        <f t="shared" si="78"/>
        <v>0</v>
      </c>
      <c r="J755" s="41">
        <f t="shared" si="79"/>
        <v>0</v>
      </c>
      <c r="K755" s="41">
        <f t="shared" si="80"/>
        <v>0</v>
      </c>
      <c r="L755" s="42"/>
    </row>
    <row r="756" spans="2:12" x14ac:dyDescent="0.25">
      <c r="B756" s="36"/>
      <c r="C756" s="37"/>
      <c r="D756" s="38"/>
      <c r="E756" s="32"/>
      <c r="F756" s="40"/>
      <c r="G756" s="41"/>
      <c r="H756" s="41"/>
      <c r="I756" s="41">
        <f t="shared" si="78"/>
        <v>0</v>
      </c>
      <c r="J756" s="41">
        <f t="shared" si="79"/>
        <v>0</v>
      </c>
      <c r="K756" s="41">
        <f t="shared" si="80"/>
        <v>0</v>
      </c>
      <c r="L756" s="42"/>
    </row>
    <row r="757" spans="2:12" x14ac:dyDescent="0.25">
      <c r="B757" s="36"/>
      <c r="C757" s="37"/>
      <c r="D757" s="38"/>
      <c r="E757" s="32"/>
      <c r="F757" s="40"/>
      <c r="G757" s="41"/>
      <c r="H757" s="41"/>
      <c r="I757" s="41">
        <f t="shared" si="60"/>
        <v>0</v>
      </c>
      <c r="J757" s="41">
        <f t="shared" si="61"/>
        <v>0</v>
      </c>
      <c r="K757" s="41">
        <f t="shared" si="62"/>
        <v>0</v>
      </c>
      <c r="L757" s="42"/>
    </row>
    <row r="758" spans="2:12" x14ac:dyDescent="0.25">
      <c r="B758" s="36"/>
      <c r="C758" s="37"/>
      <c r="D758" s="38"/>
      <c r="E758" s="32"/>
      <c r="F758" s="40"/>
      <c r="G758" s="41"/>
      <c r="H758" s="41"/>
      <c r="I758" s="41">
        <f t="shared" si="60"/>
        <v>0</v>
      </c>
      <c r="J758" s="41">
        <f t="shared" si="61"/>
        <v>0</v>
      </c>
      <c r="K758" s="41">
        <f t="shared" si="62"/>
        <v>0</v>
      </c>
      <c r="L758" s="42"/>
    </row>
  </sheetData>
  <autoFilter ref="B2:L758" xr:uid="{4012DB23-AC64-4E11-863F-2400A59A559A}"/>
  <dataConsolidate>
    <dataRefs count="1">
      <dataRef name="BNI"/>
    </dataRefs>
  </dataConsolidate>
  <phoneticPr fontId="8" type="noConversion"/>
  <conditionalFormatting sqref="B2 B393 B395:B397 B415:B416 B418 B420:B426 B428 B453:B455 B12:B391 B399:B413 B430:B433 B436:B448 B457:B461 B463:B469 B472:B592 B626:B758">
    <cfRule type="duplicateValues" dxfId="15" priority="171"/>
  </conditionalFormatting>
  <conditionalFormatting sqref="B2 E2 B393 B395:B397 B415:B416 B418 B420:B426 B428 B453:B455 B12:B391 B399:B413 B430:B433 B436:B448 B457:B461 B463:B469 B472:B592 E12:E592 B626:B758 E626:E758">
    <cfRule type="duplicateValues" dxfId="14" priority="188"/>
  </conditionalFormatting>
  <conditionalFormatting sqref="B3 E3">
    <cfRule type="duplicateValues" dxfId="13" priority="8"/>
  </conditionalFormatting>
  <conditionalFormatting sqref="B3">
    <cfRule type="duplicateValues" dxfId="12" priority="12"/>
  </conditionalFormatting>
  <conditionalFormatting sqref="B4:B5 E4:E5">
    <cfRule type="duplicateValues" dxfId="11" priority="11"/>
  </conditionalFormatting>
  <conditionalFormatting sqref="B4:B5">
    <cfRule type="duplicateValues" dxfId="10" priority="9"/>
  </conditionalFormatting>
  <conditionalFormatting sqref="B10">
    <cfRule type="duplicateValues" dxfId="9" priority="3"/>
    <cfRule type="duplicateValues" dxfId="8" priority="4"/>
  </conditionalFormatting>
  <conditionalFormatting sqref="B32">
    <cfRule type="duplicateValues" dxfId="7" priority="1"/>
    <cfRule type="duplicateValues" dxfId="6" priority="2"/>
  </conditionalFormatting>
  <conditionalFormatting sqref="B393 B395:B397 B415:B416 B418 B420:B426 B428 B453:B455 B2:B391 B399:B413 B430:B433 B436:B448 B457:B461 B463:B469 B472:B592 E2:E592 B626:B758 E626:E758">
    <cfRule type="duplicateValues" dxfId="5" priority="209"/>
  </conditionalFormatting>
  <conditionalFormatting sqref="E2 E12:E592 E626:E758">
    <cfRule type="duplicateValues" dxfId="4" priority="228"/>
  </conditionalFormatting>
  <conditionalFormatting sqref="E3">
    <cfRule type="duplicateValues" dxfId="3" priority="5"/>
    <cfRule type="duplicateValues" dxfId="2" priority="6"/>
    <cfRule type="duplicateValues" dxfId="1" priority="7"/>
  </conditionalFormatting>
  <conditionalFormatting sqref="E4:E5">
    <cfRule type="duplicateValues" dxfId="0" priority="10"/>
  </conditionalFormatting>
  <dataValidations count="10">
    <dataValidation type="list" allowBlank="1" showInputMessage="1" showErrorMessage="1" sqref="L2 L34:L51 L53:L68 L70:L96 L98:L152 L154:L158 L160:L172 L174:L227 L229:L273 L275:L296 L298:L333 L336:L371 L373:L375 L377:L383 L385:L413 L415:L421 L423:L425 L427:L430 L432 L435:L439 L441:L451 L453:L510 L512:L520 L523:L558 L560:L587 L590:L594 L596:L659 L661:L674 L676:L702 L705:L707 L710:L721 L723:L730 L732:L735 L737:L758" xr:uid="{C6B5AE13-D81A-493D-8AD6-028FF0B229BF}">
      <formula1>"DM, MARINELLE, REENA,GLEN, BNI, PROFORMA, GAGANDEEP, KF MARIYA, SABARISH"</formula1>
    </dataValidation>
    <dataValidation type="list" allowBlank="1" showInputMessage="1" showErrorMessage="1" sqref="L21 L13:L19 L11 L3:L6 L9 L23:L33 L69 L675 L722 L731" xr:uid="{5B75CD9B-734B-461C-B72E-EAD9C0D84434}">
      <formula1>"DM, MARINELLE, REENA,GLEN, PROFORMA,MELVIN"</formula1>
    </dataValidation>
    <dataValidation type="list" allowBlank="1" showInputMessage="1" showErrorMessage="1" sqref="L7:L8 L22 L20" xr:uid="{05FBDEA8-B160-4D30-B49E-1DCED7B8D140}">
      <formula1>"DM, MARINELLE, REENA,GLEN,BNI, PROFORMA,MELVIN"</formula1>
    </dataValidation>
    <dataValidation type="list" allowBlank="1" showInputMessage="1" showErrorMessage="1" sqref="L10 L12 L52 L97 L274 L372 L422 L433:L434 L511 L660 L709" xr:uid="{7F632ECB-8837-4DBA-AAB2-900A088E766D}">
      <formula1>"DM, MARINELLE, REENA,GLEN, BNI, PROFORMA, GAGANDEEP, KF MARIYA, ANAND"</formula1>
    </dataValidation>
    <dataValidation type="list" allowBlank="1" showInputMessage="1" showErrorMessage="1" sqref="L153 L173" xr:uid="{713E6D04-387A-4899-8138-A4397A204B5C}">
      <formula1>"DM, MARINELLE, REENA,GLEN, BNI, PROFORMA, GAGANDEEP, KF MARIYA, SABARISH, MELVIN"</formula1>
    </dataValidation>
    <dataValidation type="list" allowBlank="1" showInputMessage="1" showErrorMessage="1" sqref="L159" xr:uid="{E4AE716B-15E2-483B-B2BC-4AEEDC4DD42F}">
      <formula1>"9ORMA, GAGANDEEP, KF MARIYA, DINEL"</formula1>
    </dataValidation>
    <dataValidation type="list" allowBlank="1" showInputMessage="1" showErrorMessage="1" sqref="L228 L334:L335" xr:uid="{44C6DE42-9853-4913-9D86-B31EB7322342}">
      <formula1>"DM, MARINELLE, REENA,GLEN, BNI, PROFORMA, GAGANDEEP, KF M+$L$228ARIYA, ANAND"</formula1>
    </dataValidation>
    <dataValidation type="list" allowBlank="1" showInputMessage="1" showErrorMessage="1" sqref="L297 L376 L384 L431 L426 L440 L521:L522 L559 L588:L589 L595 L703:L704 L708 L736" xr:uid="{1C69ADFA-1D83-48CE-ADC4-A85571D00145}">
      <formula1>"DM, MARINELLE, REENA,GLEN, BNI, PROFORMA, GAGANDEEP, KF MARIYA, SREERAJ"</formula1>
    </dataValidation>
    <dataValidation type="list" allowBlank="1" showInputMessage="1" showErrorMessage="1" sqref="L414" xr:uid="{3E8A29BE-7274-4466-A31E-1F977FE049DC}">
      <formula1>"DM, MARINELLE, REENA,GLEN, BNI, PROFORMA, GAGANDEEP, KF MARIYA, DARSHAN"</formula1>
    </dataValidation>
    <dataValidation type="list" allowBlank="1" showInputMessage="1" showErrorMessage="1" sqref="L452" xr:uid="{2D653505-50E6-4657-9197-2543B7F63154}">
      <formula1>"DM, MARINELLE, REENA,GLEN, BNI, PROFORMA, GAGANDEEP, KF MARIYA, JAIRAJ"</formula1>
    </dataValidation>
  </dataValidations>
  <pageMargins left="0.7" right="0.7" top="0.75" bottom="0.75" header="0.3" footer="0.3"/>
  <pageSetup paperSize="9" scale="10" orientation="landscape" r:id="rId1"/>
  <rowBreaks count="1" manualBreakCount="1">
    <brk id="89" max="16383" man="1"/>
  </rowBreaks>
  <colBreaks count="2" manualBreakCount="2">
    <brk id="7" max="1048575" man="1"/>
    <brk id="12" max="1048575" man="1"/>
  </colBreaks>
  <ignoredErrors>
    <ignoredError sqref="E3:E21 E66 E72:E79 E81:E92 E94:E104 E23:E64 E106:E117 E119:E120 E122:E134 E140:E179 E181:E185 E202:E216 E219:E223 E226 E187:E199 E228:E257 E259:E268 E271:E279 E282:E286 E288:E302 E305:E335 E337:E351 E353:E368 E370:E387 E390:E403 E407:E428 E431:E432 E436:E445 E448:E455 E462:E469 E471:E480 E482:E566 E568:E589 E679:E685 E628:E677 E686:E694 E697:E74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REA Adv - Invoices</vt:lpstr>
      <vt:lpstr>'REA Adv - Invoices'!Print_Area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Advertising</dc:creator>
  <cp:lastModifiedBy>Rea Advertising</cp:lastModifiedBy>
  <cp:lastPrinted>2025-11-29T09:38:04Z</cp:lastPrinted>
  <dcterms:created xsi:type="dcterms:W3CDTF">2025-01-07T07:26:30Z</dcterms:created>
  <dcterms:modified xsi:type="dcterms:W3CDTF">2025-12-31T12:56:47Z</dcterms:modified>
</cp:coreProperties>
</file>